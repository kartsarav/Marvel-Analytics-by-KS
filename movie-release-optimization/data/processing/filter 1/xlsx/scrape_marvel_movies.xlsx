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tkat/github projects/Marvel-Analytics-by-KS/movie-release-optimization/data/processing/filter 1/xlsx/"/>
    </mc:Choice>
  </mc:AlternateContent>
  <xr:revisionPtr revIDLastSave="0" documentId="13_ncr:1_{9812037A-5997-2C44-B9C8-05B267B9CE8D}" xr6:coauthVersionLast="47" xr6:coauthVersionMax="47" xr10:uidLastSave="{00000000-0000-0000-0000-000000000000}"/>
  <bookViews>
    <workbookView xWindow="0" yWindow="0" windowWidth="19220" windowHeight="18000" xr2:uid="{0EAFD10D-0BCC-FA4E-8446-8BA5CD0E0E58}"/>
  </bookViews>
  <sheets>
    <sheet name="marvel_mov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<sst xmlns="http://schemas.openxmlformats.org/spreadsheetml/2006/main" count="79" uniqueCount="68">
  <si>
    <t>Iron Man</t>
  </si>
  <si>
    <t>The Incredible Hulk</t>
  </si>
  <si>
    <t>Iron Man 2</t>
  </si>
  <si>
    <t>Thor</t>
  </si>
  <si>
    <t>Captain America: The First Avenger</t>
  </si>
  <si>
    <t>The Avengers</t>
  </si>
  <si>
    <t>Iron Man 3</t>
  </si>
  <si>
    <t>Thor: The Dark World</t>
  </si>
  <si>
    <t>Captain America: The Winter Soldier</t>
  </si>
  <si>
    <t>Guardians of the Galaxy</t>
  </si>
  <si>
    <t>Avengers: Age of Ultron</t>
  </si>
  <si>
    <t>Ant-Man</t>
  </si>
  <si>
    <t>Captain America: Civil War</t>
  </si>
  <si>
    <t>Doctor Strange</t>
  </si>
  <si>
    <t>Guardians of the Galaxy Vol. 2</t>
  </si>
  <si>
    <t>Spider-Man: Homecoming</t>
  </si>
  <si>
    <t>Thor: Ragnarok</t>
  </si>
  <si>
    <t>Black Panther</t>
  </si>
  <si>
    <t>Avengers: Infinity War</t>
  </si>
  <si>
    <t>Ant-Man and the Wasp</t>
  </si>
  <si>
    <t>Captain Marvel</t>
  </si>
  <si>
    <t>Avengers: Endgame</t>
  </si>
  <si>
    <t>Spider-Man: Far From Home</t>
  </si>
  <si>
    <t>Black Widow</t>
  </si>
  <si>
    <t>Shang-Chi and the Legend of the Ten Rings</t>
  </si>
  <si>
    <t>Eternals</t>
  </si>
  <si>
    <t>Spider-Man: No Way Home</t>
  </si>
  <si>
    <t>Doctor Strange in the Multiverse of Madness</t>
  </si>
  <si>
    <t>Thor: Love and Thunder</t>
  </si>
  <si>
    <t>Black Panther: Wakanda Forever</t>
  </si>
  <si>
    <t>Ant-Man and the Wasp: Quantumania</t>
  </si>
  <si>
    <t>Guardians of the Galaxy Vol. 3</t>
  </si>
  <si>
    <t>The Marvels</t>
  </si>
  <si>
    <t>Deadpool &amp; Wolverine</t>
  </si>
  <si>
    <t>Captain America: Brave New World</t>
  </si>
  <si>
    <t>The Fantastic Four: First Steps</t>
  </si>
  <si>
    <t>$140¬†million</t>
  </si>
  <si>
    <t>$137.5‚Äì150¬†million</t>
  </si>
  <si>
    <t>$170‚Äì200¬†million</t>
  </si>
  <si>
    <t>$150¬†million</t>
  </si>
  <si>
    <t>$220¬†million</t>
  </si>
  <si>
    <t>$200¬†million</t>
  </si>
  <si>
    <t>$150‚Äì170¬†million</t>
  </si>
  <si>
    <t>$170‚Äì177¬†million</t>
  </si>
  <si>
    <t>$170¬†million</t>
  </si>
  <si>
    <t>$250‚Äì444¬†million</t>
  </si>
  <si>
    <t>$130¬†million</t>
  </si>
  <si>
    <t>$250¬†million</t>
  </si>
  <si>
    <t>$165¬†million</t>
  </si>
  <si>
    <t>$175¬†million</t>
  </si>
  <si>
    <t>$180¬†million</t>
  </si>
  <si>
    <t>$325‚Äì400¬†million</t>
  </si>
  <si>
    <t>$162¬†million</t>
  </si>
  <si>
    <t>$150‚Äì175¬†million</t>
  </si>
  <si>
    <t>$356‚Äì400¬†million</t>
  </si>
  <si>
    <t>$160¬†million</t>
  </si>
  <si>
    <t>$150‚Äì200¬†million</t>
  </si>
  <si>
    <t>$236.2¬†million</t>
  </si>
  <si>
    <t>$172‚Äì200¬†million</t>
  </si>
  <si>
    <t>$388.4¬†million</t>
  </si>
  <si>
    <t>$375¬†million</t>
  </si>
  <si>
    <t>Thunderbolts*</t>
  </si>
  <si>
    <t>budget</t>
  </si>
  <si>
    <t>title</t>
  </si>
  <si>
    <t>release_date</t>
  </si>
  <si>
    <t>release_month</t>
  </si>
  <si>
    <t>release_year</t>
  </si>
  <si>
    <t>ISO_week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</si>
</sst>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92C7A-5EAC-974A-A11F-B998F619FB8E}" name="Table1" displayName="Table1" ref="A1:F38" totalsRowShown="0">
  <autoFilter ref="A1:F38" xr:uid="{4F992C7A-5EAC-974A-A11F-B998F619FB8E}"/>
  <tableColumns count="6">
    <tableColumn id="1" xr3:uid="{0DD13513-F771-024A-A1CD-D8CE8FBDEF89}" name="title"/>
    <tableColumn id="2" xr3:uid="{CEC484DF-8126-B241-A1D6-6ADFACA33B11}" name="release_date" dataDxfId="3"/>
    <tableColumn id="3" xr3:uid="{F27F467F-F2C5-3D4A-8EDA-9BEA1680320D}" name="budget"/>
    <tableColumn id="4" xr3:uid="{CF9D56C7-CE31-3C4C-AB98-D4979BA826C3}" name="release_month" dataDxfId="2">
      <calculatedColumnFormula>MONTH(Table1[[#This Row],[release_date]])</calculatedColumnFormula>
    </tableColumn>
    <tableColumn id="5" xr3:uid="{DC2E2A6F-9A47-A74E-8AF6-FABEFDAE965E}" name="release_year" dataDxfId="1">
      <calculatedColumnFormula>YEAR(Table1[[#This Row],[release_date]])</calculatedColumnFormula>
    </tableColumn>
    <tableColumn id="6" xr3:uid="{6AEC0E5F-5C2F-C344-8DB2-22CB71218D93}" name="ISO_week" dataDxfId="0">
      <calculatedColumnFormula>_xlfn.ISOWEEKNUM(Table1[[#This Row],[release_date]])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5C09-312F-5C44-B538-879DE991E9FE}">
  <dimension ref="A1:F38"/>
  <sheetViews>
    <sheetView tabSelected="1" zoomScale="125" workbookViewId="0">
      <selection activeCell="G2" sqref="G2"/>
    </sheetView>
  </sheetViews>
  <sheetFormatPr baseColWidth="10" defaultRowHeight="16" x14ac:dyDescent="0.2"/>
  <cols>
    <col min="1" max="1" width="37.1640625" bestFit="1" customWidth="1"/>
    <col min="2" max="2" width="13.83203125" bestFit="1" customWidth="1"/>
    <col min="3" max="3" width="19.33203125" bestFit="1" customWidth="1"/>
  </cols>
  <sheetData>
    <row r="1" spans="1:6" x14ac:dyDescent="0.2">
      <c r="A1" t="s">
        <v>63</v>
      </c>
      <c r="B1" t="s">
        <v>64</v>
      </c>
      <c r="C1" t="s">
        <v>62</v>
      </c>
      <c r="D1" t="s">
        <v>65</v>
      </c>
      <c r="E1" t="s">
        <v>66</v>
      </c>
      <c r="F1" t="s">
        <v>67</v>
      </c>
    </row>
    <row r="2" spans="1:6" x14ac:dyDescent="0.2">
      <c r="A2" t="s">
        <v>0</v>
      </c>
      <c r="B2" s="2">
        <v>39570</v>
      </c>
      <c r="C2" s="1">
        <v>140000000</v>
      </c>
      <c r="D2">
        <f>MONTH(Table1[[#This Row],[release_date]])</f>
        <v>5</v>
      </c>
      <c r="E2">
        <f>YEAR(Table1[[#This Row],[release_date]])</f>
        <v>2008</v>
      </c>
      <c r="F2">
        <f>_xlfn.ISOWEEKNUM(Table1[[#This Row],[release_date]])</f>
        <v>18</v>
      </c>
    </row>
    <row r="3" spans="1:6" x14ac:dyDescent="0.2">
      <c r="A3" t="s">
        <v>1</v>
      </c>
      <c r="B3" s="2">
        <v>39612</v>
      </c>
      <c r="C3" t="s">
        <v>37</v>
      </c>
      <c r="D3">
        <f>MONTH(Table1[[#This Row],[release_date]])</f>
        <v>6</v>
      </c>
      <c r="E3">
        <f>YEAR(Table1[[#This Row],[release_date]])</f>
        <v>2008</v>
      </c>
      <c r="F3">
        <f>_xlfn.ISOWEEKNUM(Table1[[#This Row],[release_date]])</f>
        <v>24</v>
      </c>
    </row>
    <row r="4" spans="1:6" x14ac:dyDescent="0.2">
      <c r="A4" t="s">
        <v>2</v>
      </c>
      <c r="B4" s="2">
        <v>40305</v>
      </c>
      <c r="C4" t="s">
        <v>38</v>
      </c>
      <c r="D4">
        <f>MONTH(Table1[[#This Row],[release_date]])</f>
        <v>5</v>
      </c>
      <c r="E4">
        <f>YEAR(Table1[[#This Row],[release_date]])</f>
        <v>2010</v>
      </c>
      <c r="F4">
        <f>_xlfn.ISOWEEKNUM(Table1[[#This Row],[release_date]])</f>
        <v>18</v>
      </c>
    </row>
    <row r="5" spans="1:6" x14ac:dyDescent="0.2">
      <c r="A5" t="s">
        <v>3</v>
      </c>
      <c r="B5" s="2">
        <v>40669</v>
      </c>
      <c r="C5" t="s">
        <v>39</v>
      </c>
      <c r="D5">
        <f>MONTH(Table1[[#This Row],[release_date]])</f>
        <v>5</v>
      </c>
      <c r="E5">
        <f>YEAR(Table1[[#This Row],[release_date]])</f>
        <v>2011</v>
      </c>
      <c r="F5">
        <f>_xlfn.ISOWEEKNUM(Table1[[#This Row],[release_date]])</f>
        <v>18</v>
      </c>
    </row>
    <row r="6" spans="1:6" x14ac:dyDescent="0.2">
      <c r="A6" t="s">
        <v>4</v>
      </c>
      <c r="B6" s="2">
        <v>40746</v>
      </c>
      <c r="C6" t="s">
        <v>36</v>
      </c>
      <c r="D6">
        <f>MONTH(Table1[[#This Row],[release_date]])</f>
        <v>7</v>
      </c>
      <c r="E6">
        <f>YEAR(Table1[[#This Row],[release_date]])</f>
        <v>2011</v>
      </c>
      <c r="F6">
        <f>_xlfn.ISOWEEKNUM(Table1[[#This Row],[release_date]])</f>
        <v>29</v>
      </c>
    </row>
    <row r="7" spans="1:6" x14ac:dyDescent="0.2">
      <c r="A7" t="s">
        <v>5</v>
      </c>
      <c r="B7" s="2">
        <v>41033</v>
      </c>
      <c r="C7" t="s">
        <v>40</v>
      </c>
      <c r="D7">
        <f>MONTH(Table1[[#This Row],[release_date]])</f>
        <v>5</v>
      </c>
      <c r="E7">
        <f>YEAR(Table1[[#This Row],[release_date]])</f>
        <v>2012</v>
      </c>
      <c r="F7">
        <f>_xlfn.ISOWEEKNUM(Table1[[#This Row],[release_date]])</f>
        <v>18</v>
      </c>
    </row>
    <row r="8" spans="1:6" x14ac:dyDescent="0.2">
      <c r="A8" t="s">
        <v>6</v>
      </c>
      <c r="B8" s="2">
        <v>41397</v>
      </c>
      <c r="C8" t="s">
        <v>41</v>
      </c>
      <c r="D8">
        <f>MONTH(Table1[[#This Row],[release_date]])</f>
        <v>5</v>
      </c>
      <c r="E8">
        <f>YEAR(Table1[[#This Row],[release_date]])</f>
        <v>2013</v>
      </c>
      <c r="F8">
        <f>_xlfn.ISOWEEKNUM(Table1[[#This Row],[release_date]])</f>
        <v>18</v>
      </c>
    </row>
    <row r="9" spans="1:6" x14ac:dyDescent="0.2">
      <c r="A9" t="s">
        <v>7</v>
      </c>
      <c r="B9" s="2">
        <v>41586</v>
      </c>
      <c r="C9" t="s">
        <v>42</v>
      </c>
      <c r="D9">
        <f>MONTH(Table1[[#This Row],[release_date]])</f>
        <v>11</v>
      </c>
      <c r="E9">
        <f>YEAR(Table1[[#This Row],[release_date]])</f>
        <v>2013</v>
      </c>
      <c r="F9">
        <f>_xlfn.ISOWEEKNUM(Table1[[#This Row],[release_date]])</f>
        <v>45</v>
      </c>
    </row>
    <row r="10" spans="1:6" x14ac:dyDescent="0.2">
      <c r="A10" t="s">
        <v>8</v>
      </c>
      <c r="B10" s="2">
        <v>41733</v>
      </c>
      <c r="C10" t="s">
        <v>43</v>
      </c>
      <c r="D10">
        <f>MONTH(Table1[[#This Row],[release_date]])</f>
        <v>4</v>
      </c>
      <c r="E10">
        <f>YEAR(Table1[[#This Row],[release_date]])</f>
        <v>2014</v>
      </c>
      <c r="F10">
        <f>_xlfn.ISOWEEKNUM(Table1[[#This Row],[release_date]])</f>
        <v>14</v>
      </c>
    </row>
    <row r="11" spans="1:6" x14ac:dyDescent="0.2">
      <c r="A11" t="s">
        <v>9</v>
      </c>
      <c r="B11" s="2">
        <v>41852</v>
      </c>
      <c r="C11" t="s">
        <v>44</v>
      </c>
      <c r="D11">
        <f>MONTH(Table1[[#This Row],[release_date]])</f>
        <v>8</v>
      </c>
      <c r="E11">
        <f>YEAR(Table1[[#This Row],[release_date]])</f>
        <v>2014</v>
      </c>
      <c r="F11">
        <f>_xlfn.ISOWEEKNUM(Table1[[#This Row],[release_date]])</f>
        <v>31</v>
      </c>
    </row>
    <row r="12" spans="1:6" x14ac:dyDescent="0.2">
      <c r="A12" t="s">
        <v>10</v>
      </c>
      <c r="B12" s="2">
        <v>42125</v>
      </c>
      <c r="C12" t="s">
        <v>45</v>
      </c>
      <c r="D12">
        <f>MONTH(Table1[[#This Row],[release_date]])</f>
        <v>5</v>
      </c>
      <c r="E12">
        <f>YEAR(Table1[[#This Row],[release_date]])</f>
        <v>2015</v>
      </c>
      <c r="F12">
        <f>_xlfn.ISOWEEKNUM(Table1[[#This Row],[release_date]])</f>
        <v>18</v>
      </c>
    </row>
    <row r="13" spans="1:6" x14ac:dyDescent="0.2">
      <c r="A13" t="s">
        <v>11</v>
      </c>
      <c r="B13" s="2">
        <v>42202</v>
      </c>
      <c r="C13" t="s">
        <v>46</v>
      </c>
      <c r="D13">
        <f>MONTH(Table1[[#This Row],[release_date]])</f>
        <v>7</v>
      </c>
      <c r="E13">
        <f>YEAR(Table1[[#This Row],[release_date]])</f>
        <v>2015</v>
      </c>
      <c r="F13">
        <f>_xlfn.ISOWEEKNUM(Table1[[#This Row],[release_date]])</f>
        <v>29</v>
      </c>
    </row>
    <row r="14" spans="1:6" x14ac:dyDescent="0.2">
      <c r="A14" t="s">
        <v>12</v>
      </c>
      <c r="B14" s="2">
        <v>42496</v>
      </c>
      <c r="C14" t="s">
        <v>47</v>
      </c>
      <c r="D14">
        <f>MONTH(Table1[[#This Row],[release_date]])</f>
        <v>5</v>
      </c>
      <c r="E14">
        <f>YEAR(Table1[[#This Row],[release_date]])</f>
        <v>2016</v>
      </c>
      <c r="F14">
        <f>_xlfn.ISOWEEKNUM(Table1[[#This Row],[release_date]])</f>
        <v>18</v>
      </c>
    </row>
    <row r="15" spans="1:6" x14ac:dyDescent="0.2">
      <c r="A15" t="s">
        <v>13</v>
      </c>
      <c r="B15" s="2">
        <v>42678</v>
      </c>
      <c r="C15" t="s">
        <v>48</v>
      </c>
      <c r="D15">
        <f>MONTH(Table1[[#This Row],[release_date]])</f>
        <v>11</v>
      </c>
      <c r="E15">
        <f>YEAR(Table1[[#This Row],[release_date]])</f>
        <v>2016</v>
      </c>
      <c r="F15">
        <f>_xlfn.ISOWEEKNUM(Table1[[#This Row],[release_date]])</f>
        <v>44</v>
      </c>
    </row>
    <row r="16" spans="1:6" x14ac:dyDescent="0.2">
      <c r="A16" t="s">
        <v>14</v>
      </c>
      <c r="B16" s="2">
        <v>42860</v>
      </c>
      <c r="C16" t="s">
        <v>41</v>
      </c>
      <c r="D16">
        <f>MONTH(Table1[[#This Row],[release_date]])</f>
        <v>5</v>
      </c>
      <c r="E16">
        <f>YEAR(Table1[[#This Row],[release_date]])</f>
        <v>2017</v>
      </c>
      <c r="F16">
        <f>_xlfn.ISOWEEKNUM(Table1[[#This Row],[release_date]])</f>
        <v>18</v>
      </c>
    </row>
    <row r="17" spans="1:6" x14ac:dyDescent="0.2">
      <c r="A17" t="s">
        <v>15</v>
      </c>
      <c r="B17" s="2">
        <v>42923</v>
      </c>
      <c r="C17" t="s">
        <v>49</v>
      </c>
      <c r="D17">
        <f>MONTH(Table1[[#This Row],[release_date]])</f>
        <v>7</v>
      </c>
      <c r="E17">
        <f>YEAR(Table1[[#This Row],[release_date]])</f>
        <v>2017</v>
      </c>
      <c r="F17">
        <f>_xlfn.ISOWEEKNUM(Table1[[#This Row],[release_date]])</f>
        <v>27</v>
      </c>
    </row>
    <row r="18" spans="1:6" x14ac:dyDescent="0.2">
      <c r="A18" t="s">
        <v>16</v>
      </c>
      <c r="B18" s="2">
        <v>43042</v>
      </c>
      <c r="C18" t="s">
        <v>50</v>
      </c>
      <c r="D18">
        <f>MONTH(Table1[[#This Row],[release_date]])</f>
        <v>11</v>
      </c>
      <c r="E18">
        <f>YEAR(Table1[[#This Row],[release_date]])</f>
        <v>2017</v>
      </c>
      <c r="F18">
        <f>_xlfn.ISOWEEKNUM(Table1[[#This Row],[release_date]])</f>
        <v>44</v>
      </c>
    </row>
    <row r="19" spans="1:6" x14ac:dyDescent="0.2">
      <c r="A19" t="s">
        <v>17</v>
      </c>
      <c r="B19" s="2">
        <v>43147</v>
      </c>
      <c r="C19" t="s">
        <v>41</v>
      </c>
      <c r="D19">
        <f>MONTH(Table1[[#This Row],[release_date]])</f>
        <v>2</v>
      </c>
      <c r="E19">
        <f>YEAR(Table1[[#This Row],[release_date]])</f>
        <v>2018</v>
      </c>
      <c r="F19">
        <f>_xlfn.ISOWEEKNUM(Table1[[#This Row],[release_date]])</f>
        <v>7</v>
      </c>
    </row>
    <row r="20" spans="1:6" x14ac:dyDescent="0.2">
      <c r="A20" t="s">
        <v>18</v>
      </c>
      <c r="B20" s="2">
        <v>43217</v>
      </c>
      <c r="C20" t="s">
        <v>51</v>
      </c>
      <c r="D20">
        <f>MONTH(Table1[[#This Row],[release_date]])</f>
        <v>4</v>
      </c>
      <c r="E20">
        <f>YEAR(Table1[[#This Row],[release_date]])</f>
        <v>2018</v>
      </c>
      <c r="F20">
        <f>_xlfn.ISOWEEKNUM(Table1[[#This Row],[release_date]])</f>
        <v>17</v>
      </c>
    </row>
    <row r="21" spans="1:6" x14ac:dyDescent="0.2">
      <c r="A21" t="s">
        <v>19</v>
      </c>
      <c r="B21" s="2">
        <v>43287</v>
      </c>
      <c r="C21" t="s">
        <v>52</v>
      </c>
      <c r="D21">
        <f>MONTH(Table1[[#This Row],[release_date]])</f>
        <v>7</v>
      </c>
      <c r="E21">
        <f>YEAR(Table1[[#This Row],[release_date]])</f>
        <v>2018</v>
      </c>
      <c r="F21">
        <f>_xlfn.ISOWEEKNUM(Table1[[#This Row],[release_date]])</f>
        <v>27</v>
      </c>
    </row>
    <row r="22" spans="1:6" x14ac:dyDescent="0.2">
      <c r="A22" t="s">
        <v>20</v>
      </c>
      <c r="B22" s="2">
        <v>43532</v>
      </c>
      <c r="C22" t="s">
        <v>53</v>
      </c>
      <c r="D22">
        <f>MONTH(Table1[[#This Row],[release_date]])</f>
        <v>3</v>
      </c>
      <c r="E22">
        <f>YEAR(Table1[[#This Row],[release_date]])</f>
        <v>2019</v>
      </c>
      <c r="F22">
        <f>_xlfn.ISOWEEKNUM(Table1[[#This Row],[release_date]])</f>
        <v>10</v>
      </c>
    </row>
    <row r="23" spans="1:6" x14ac:dyDescent="0.2">
      <c r="A23" t="s">
        <v>21</v>
      </c>
      <c r="B23" s="2">
        <v>43581</v>
      </c>
      <c r="C23" t="s">
        <v>54</v>
      </c>
      <c r="D23">
        <f>MONTH(Table1[[#This Row],[release_date]])</f>
        <v>4</v>
      </c>
      <c r="E23">
        <f>YEAR(Table1[[#This Row],[release_date]])</f>
        <v>2019</v>
      </c>
      <c r="F23">
        <f>_xlfn.ISOWEEKNUM(Table1[[#This Row],[release_date]])</f>
        <v>17</v>
      </c>
    </row>
    <row r="24" spans="1:6" x14ac:dyDescent="0.2">
      <c r="A24" t="s">
        <v>22</v>
      </c>
      <c r="B24" s="2">
        <v>43648</v>
      </c>
      <c r="C24" t="s">
        <v>55</v>
      </c>
      <c r="D24">
        <f>MONTH(Table1[[#This Row],[release_date]])</f>
        <v>7</v>
      </c>
      <c r="E24">
        <f>YEAR(Table1[[#This Row],[release_date]])</f>
        <v>2019</v>
      </c>
      <c r="F24">
        <f>_xlfn.ISOWEEKNUM(Table1[[#This Row],[release_date]])</f>
        <v>27</v>
      </c>
    </row>
    <row r="25" spans="1:6" x14ac:dyDescent="0.2">
      <c r="A25" t="s">
        <v>23</v>
      </c>
      <c r="B25" s="2">
        <v>44386</v>
      </c>
      <c r="C25" t="s">
        <v>41</v>
      </c>
      <c r="D25">
        <f>MONTH(Table1[[#This Row],[release_date]])</f>
        <v>7</v>
      </c>
      <c r="E25">
        <f>YEAR(Table1[[#This Row],[release_date]])</f>
        <v>2021</v>
      </c>
      <c r="F25">
        <f>_xlfn.ISOWEEKNUM(Table1[[#This Row],[release_date]])</f>
        <v>27</v>
      </c>
    </row>
    <row r="26" spans="1:6" x14ac:dyDescent="0.2">
      <c r="A26" t="s">
        <v>24</v>
      </c>
      <c r="B26" s="2">
        <v>44442</v>
      </c>
      <c r="C26" t="s">
        <v>56</v>
      </c>
      <c r="D26">
        <f>MONTH(Table1[[#This Row],[release_date]])</f>
        <v>9</v>
      </c>
      <c r="E26">
        <f>YEAR(Table1[[#This Row],[release_date]])</f>
        <v>2021</v>
      </c>
      <c r="F26">
        <f>_xlfn.ISOWEEKNUM(Table1[[#This Row],[release_date]])</f>
        <v>35</v>
      </c>
    </row>
    <row r="27" spans="1:6" x14ac:dyDescent="0.2">
      <c r="A27" t="s">
        <v>25</v>
      </c>
      <c r="B27" s="2">
        <v>44505</v>
      </c>
      <c r="C27" t="s">
        <v>57</v>
      </c>
      <c r="D27">
        <f>MONTH(Table1[[#This Row],[release_date]])</f>
        <v>11</v>
      </c>
      <c r="E27">
        <f>YEAR(Table1[[#This Row],[release_date]])</f>
        <v>2021</v>
      </c>
      <c r="F27">
        <f>_xlfn.ISOWEEKNUM(Table1[[#This Row],[release_date]])</f>
        <v>44</v>
      </c>
    </row>
    <row r="28" spans="1:6" x14ac:dyDescent="0.2">
      <c r="A28" t="s">
        <v>26</v>
      </c>
      <c r="B28" s="2">
        <v>44547</v>
      </c>
      <c r="C28" t="s">
        <v>41</v>
      </c>
      <c r="D28">
        <f>MONTH(Table1[[#This Row],[release_date]])</f>
        <v>12</v>
      </c>
      <c r="E28">
        <f>YEAR(Table1[[#This Row],[release_date]])</f>
        <v>2021</v>
      </c>
      <c r="F28">
        <f>_xlfn.ISOWEEKNUM(Table1[[#This Row],[release_date]])</f>
        <v>50</v>
      </c>
    </row>
    <row r="29" spans="1:6" x14ac:dyDescent="0.2">
      <c r="A29" t="s">
        <v>27</v>
      </c>
      <c r="B29" s="2">
        <v>44687</v>
      </c>
      <c r="C29" t="s">
        <v>58</v>
      </c>
      <c r="D29">
        <f>MONTH(Table1[[#This Row],[release_date]])</f>
        <v>5</v>
      </c>
      <c r="E29">
        <f>YEAR(Table1[[#This Row],[release_date]])</f>
        <v>2022</v>
      </c>
      <c r="F29">
        <f>_xlfn.ISOWEEKNUM(Table1[[#This Row],[release_date]])</f>
        <v>18</v>
      </c>
    </row>
    <row r="30" spans="1:6" x14ac:dyDescent="0.2">
      <c r="A30" t="s">
        <v>28</v>
      </c>
      <c r="B30" s="2">
        <v>44750</v>
      </c>
      <c r="C30" t="s">
        <v>47</v>
      </c>
      <c r="D30">
        <f>MONTH(Table1[[#This Row],[release_date]])</f>
        <v>7</v>
      </c>
      <c r="E30">
        <f>YEAR(Table1[[#This Row],[release_date]])</f>
        <v>2022</v>
      </c>
      <c r="F30">
        <f>_xlfn.ISOWEEKNUM(Table1[[#This Row],[release_date]])</f>
        <v>27</v>
      </c>
    </row>
    <row r="31" spans="1:6" x14ac:dyDescent="0.2">
      <c r="A31" t="s">
        <v>29</v>
      </c>
      <c r="B31" s="2">
        <v>44876</v>
      </c>
      <c r="C31" t="s">
        <v>47</v>
      </c>
      <c r="D31">
        <f>MONTH(Table1[[#This Row],[release_date]])</f>
        <v>11</v>
      </c>
      <c r="E31">
        <f>YEAR(Table1[[#This Row],[release_date]])</f>
        <v>2022</v>
      </c>
      <c r="F31">
        <f>_xlfn.ISOWEEKNUM(Table1[[#This Row],[release_date]])</f>
        <v>45</v>
      </c>
    </row>
    <row r="32" spans="1:6" x14ac:dyDescent="0.2">
      <c r="A32" t="s">
        <v>30</v>
      </c>
      <c r="B32" s="2">
        <v>44974</v>
      </c>
      <c r="C32" t="s">
        <v>59</v>
      </c>
      <c r="D32">
        <f>MONTH(Table1[[#This Row],[release_date]])</f>
        <v>2</v>
      </c>
      <c r="E32">
        <f>YEAR(Table1[[#This Row],[release_date]])</f>
        <v>2023</v>
      </c>
      <c r="F32">
        <f>_xlfn.ISOWEEKNUM(Table1[[#This Row],[release_date]])</f>
        <v>7</v>
      </c>
    </row>
    <row r="33" spans="1:6" x14ac:dyDescent="0.2">
      <c r="A33" t="s">
        <v>31</v>
      </c>
      <c r="B33" s="2">
        <v>45051</v>
      </c>
      <c r="C33" t="s">
        <v>47</v>
      </c>
      <c r="D33">
        <f>MONTH(Table1[[#This Row],[release_date]])</f>
        <v>5</v>
      </c>
      <c r="E33">
        <f>YEAR(Table1[[#This Row],[release_date]])</f>
        <v>2023</v>
      </c>
      <c r="F33">
        <f>_xlfn.ISOWEEKNUM(Table1[[#This Row],[release_date]])</f>
        <v>18</v>
      </c>
    </row>
    <row r="34" spans="1:6" x14ac:dyDescent="0.2">
      <c r="A34" t="s">
        <v>32</v>
      </c>
      <c r="B34" s="2">
        <v>45240</v>
      </c>
      <c r="C34" t="s">
        <v>60</v>
      </c>
      <c r="D34">
        <f>MONTH(Table1[[#This Row],[release_date]])</f>
        <v>11</v>
      </c>
      <c r="E34">
        <f>YEAR(Table1[[#This Row],[release_date]])</f>
        <v>2023</v>
      </c>
      <c r="F34">
        <f>_xlfn.ISOWEEKNUM(Table1[[#This Row],[release_date]])</f>
        <v>45</v>
      </c>
    </row>
    <row r="35" spans="1:6" x14ac:dyDescent="0.2">
      <c r="A35" t="s">
        <v>33</v>
      </c>
      <c r="B35" s="2">
        <v>45499</v>
      </c>
      <c r="C35" t="s">
        <v>41</v>
      </c>
      <c r="D35">
        <f>MONTH(Table1[[#This Row],[release_date]])</f>
        <v>7</v>
      </c>
      <c r="E35">
        <f>YEAR(Table1[[#This Row],[release_date]])</f>
        <v>2024</v>
      </c>
      <c r="F35">
        <f>_xlfn.ISOWEEKNUM(Table1[[#This Row],[release_date]])</f>
        <v>30</v>
      </c>
    </row>
    <row r="36" spans="1:6" x14ac:dyDescent="0.2">
      <c r="A36" t="s">
        <v>34</v>
      </c>
      <c r="B36" s="2">
        <v>45702</v>
      </c>
      <c r="C36" t="s">
        <v>50</v>
      </c>
      <c r="D36">
        <f>MONTH(Table1[[#This Row],[release_date]])</f>
        <v>2</v>
      </c>
      <c r="E36">
        <f>YEAR(Table1[[#This Row],[release_date]])</f>
        <v>2025</v>
      </c>
      <c r="F36">
        <f>_xlfn.ISOWEEKNUM(Table1[[#This Row],[release_date]])</f>
        <v>7</v>
      </c>
    </row>
    <row r="37" spans="1:6" x14ac:dyDescent="0.2">
      <c r="A37" t="s">
        <v>61</v>
      </c>
      <c r="B37" s="2">
        <v>45779</v>
      </c>
      <c r="C37" t="s">
        <v>50</v>
      </c>
      <c r="D37">
        <f>MONTH(Table1[[#This Row],[release_date]])</f>
        <v>5</v>
      </c>
      <c r="E37">
        <f>YEAR(Table1[[#This Row],[release_date]])</f>
        <v>2025</v>
      </c>
      <c r="F37">
        <f>_xlfn.ISOWEEKNUM(Table1[[#This Row],[release_date]])</f>
        <v>18</v>
      </c>
    </row>
    <row r="38" spans="1:6" x14ac:dyDescent="0.2">
      <c r="A38" t="s">
        <v>35</v>
      </c>
      <c r="B38" s="2">
        <v>45863</v>
      </c>
      <c r="C38" t="s">
        <v>41</v>
      </c>
      <c r="D38">
        <f>MONTH(Table1[[#This Row],[release_date]])</f>
        <v>7</v>
      </c>
      <c r="E38">
        <f>YEAR(Table1[[#This Row],[release_date]])</f>
        <v>2025</v>
      </c>
      <c r="F38">
        <f>_xlfn.ISOWEEKNUM(Table1[[#This Row],[release_date]])</f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marvel_movies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ksarav</cp:lastModifiedBy>
  <dcterms:created xsi:type="dcterms:W3CDTF">2025-11-12T08:55:08Z</dcterms:created>
  <dcterms:modified xsi:type="dcterms:W3CDTF">2025-12-13T12:49:40Z</dcterms:modified>
</cp:coreProperties>
</file>