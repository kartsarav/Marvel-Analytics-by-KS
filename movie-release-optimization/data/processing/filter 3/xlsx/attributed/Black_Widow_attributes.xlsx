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D72C291F-11CA-4A4C-B1BA-D28BCDF73947}" xr6:coauthVersionLast="47" xr6:coauthVersionMax="47" xr10:uidLastSave="{00000000-0000-0000-0000-000000000000}"/>
  <bookViews>
    <workbookView xWindow="380" yWindow="80" windowWidth="28040" windowHeight="17180" xr2:uid="{58DCF1A0-B456-5C47-8ED0-C281F52E176D}"/>
  </bookViews>
  <sheets>
    <sheet name="Black_Widow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1" i="1" l="1"/>
  <c r="AQ41" i="1"/>
</calcChain>
</file>

<file path=xl/sharedStrings.xml><?xml version="1.0" encoding="utf-8"?>
<sst xmlns="http://schemas.openxmlformats.org/spreadsheetml/2006/main" count="937" uniqueCount="673">
  <si>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</si>
  <si>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</si>
  <si>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</si>
  <si>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</si>
  <si>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</si>
  <si>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</si>
  <si>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</si>
  <si>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</si>
  <si>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</si>
  <si>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</si>
  <si>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</si>
  <si>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</si>
  <si>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</si>
  <si>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</si>
  <si>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</si>
  <si>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</si>
  <si>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</si>
  <si>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</si>
  <si>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</si>
  <si>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</si>
  <si>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</si>
  <si>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</si>
  <si>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</si>
  <si>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</si>
  <si>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</si>
  <si>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</si>
  <si>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</si>
  <si>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</si>
  <si>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</si>
  <si>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</si>
  <si>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</si>
  <si>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</si>
  <si>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</si>
  <si>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</si>
  <si>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</si>
  <si>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</si>
  <si>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</si>
  <si>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</si>
  <si>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</si>
  <si>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</si>
  <si>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</si>
  <si>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</si>
  <si>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</si>
  <si>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The Conjuring: The Devil Made Me Do It</t>
  </si>
  <si>
    <t>Released</t>
  </si>
  <si>
    <t>tt7069210</t>
  </si>
  <si>
    <t>en</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</si>
  <si>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</si>
  <si>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</si>
  <si>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Horror, Mystery, Thriller</t>
  </si>
  <si>
    <t>new line cinema, the safran company, atomic monster</t>
  </si>
  <si>
    <t>United States of America</t>
  </si>
  <si>
    <t>English, Portugu‚àö‚Ñ¢s</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</si>
  <si>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Ruair‚àö‚â† O'Connor, Chris Greene, Charlene Amoia, Vince Pisani, Mitchell Hoog, Ashley LeConte Campbell, Mark Rowe, Patrick Wilson, Andrea Andrade, Sterling Jerins, Fabio William, Shannon Kook, Stella Doyle, Ronnie Gene Blevins</t>
  </si>
  <si>
    <t>Michael Chaves</t>
  </si>
  <si>
    <t>Michael Burgess</t>
  </si>
  <si>
    <t>Chad Hayes, David Leslie Johnson-McGoldrick, James Wan, Carey Hayes</t>
  </si>
  <si>
    <t>James Wan, Victoria Palmeri, Dave Neustadter, Judson Scott, Richard Brener, Peter Safran, Michelle Morrissey, Michael Clear</t>
  </si>
  <si>
    <t>Joseph Bishara</t>
  </si>
  <si>
    <t>/rQfX2xx8TUoNvyk892yKWNikJaM.jpg</t>
  </si>
  <si>
    <t>the conjuring: the devil made me do it</t>
  </si>
  <si>
    <t>black widow</t>
  </si>
  <si>
    <t>blank (53), internet (2), french speaking region (1), german speaking region (1), tv premiere (1), re-release (1)</t>
  </si>
  <si>
    <t>no</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</si>
  <si>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</si>
  <si>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</si>
  <si>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Estella‚Äö√Ñ√¥s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</si>
  <si>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</si>
  <si>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</si>
  <si>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</si>
  <si>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English, Fran‚àö√üais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</si>
  <si>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</si>
  <si>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Craig Gillespie</t>
  </si>
  <si>
    <t>Nicolas Karakatsanis</t>
  </si>
  <si>
    <t>Dodie Smith, Dana Fox, Kelly Marcel, Aline Brosh McKenna, Steve Zissis, Tony McNamara</t>
  </si>
  <si>
    <t>Jared LeBoff, Emma Stone, Andrew Gunn, Kristin Burr, Marc Platt, Glenn Close, Michelle Wright</t>
  </si>
  <si>
    <t>Nicholas Britell</t>
  </si>
  <si>
    <t>/hjS9mH8KvRiGHgjk6VUZH7OT0Ng.jpg</t>
  </si>
  <si>
    <t>cruella</t>
  </si>
  <si>
    <t>hollywood, california (1), premiere (2), blank (60), spain (1), limited (1), internet (5), dvd premiere (1), blu-ray release (1), tv premiere (1)</t>
  </si>
  <si>
    <t>Petite Maman</t>
  </si>
  <si>
    <t>tt13204490</t>
  </si>
  <si>
    <t>fr</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</si>
  <si>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</si>
  <si>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</si>
  <si>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</si>
  <si>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cin‚àö¬©ma</t>
  </si>
  <si>
    <t>France</t>
  </si>
  <si>
    <t>Fran‚àö√üais, English, Portugu‚àö‚Ñ¢s</t>
  </si>
  <si>
    <t>Nina Meurisse, St‚àö¬©phane Varupenne, Gabrielle Sanz, Jos‚àö¬©e Schuller, Margot Abascal, Flor‚àö¬Æs Cardo, Guyl‚àö¬Æne P‚àö¬©an, Jos‚àö¬©phine Sanz</t>
  </si>
  <si>
    <t>C‚àö¬©line Sciamma</t>
  </si>
  <si>
    <t>Claire Mathon</t>
  </si>
  <si>
    <t>B‚àö¬©n‚àö¬©dicte Couvreur</t>
  </si>
  <si>
    <t>Para One</t>
  </si>
  <si>
    <t>/fxl2ARZO2vRfUGDfqSz2bostauE.jpg</t>
  </si>
  <si>
    <t>petite maman</t>
  </si>
  <si>
    <t>berlin international film festival (1), blank (26), new femininity film festival (1), transilvania international film festival (1), melbourne international film festival (1), new horizons international film festival (1), karlovy vary international film festival (1), norwegian international film festival (1), summer international film festival (1), telluride film festival (1), toronto international film festival (1), film by the sea film festival (1), beijing international film festival (1), donostia-san sebasti√°n international film festival (1), woodstock film festival (1), nashville film festival (1), new york film festival (1), heartland international film festival (1), mill valley film festival (1), vancouver international film festival (1), hamptons international film festival (1), bfi london film festival (1), chicago international film festival (1), kyiv critics week (1), montclair film festival (1), independent film festival boston (1), madrid (1), barcelona (1), premiere (1), austin film festival (1), vienna international film festival (1), philadelphia international film festival (1), virginia film festival (1), internet (2), hawai'i international film festival (1), sydney film festival (1), international film festival mannheim-heidelberg (1), tallinn black nights film festival (1), afi fest (1), stockholm international film festival (1), houston cinema arts festival (1), dvd premiere (2), mar del plata film festival (1), north east international film festival (1), jakarta film week (1), moma - the contenders (1), singapore international film festival (1), human rights film festival (1), rio de janeiro international film festival (1), limited (4), helsinki international film festival (1), film festival ghent (1)</t>
  </si>
  <si>
    <t>In the Heights</t>
  </si>
  <si>
    <t>tt1321510</t>
  </si>
  <si>
    <t>The story of Usnavi, a bodega owner who has mixed feelings about closing his store and retiring to the Dominican Republic or staying in Washington Heights.</t>
  </si>
  <si>
    <t>The time has come.</t>
  </si>
  <si>
    <t>Drama, Romance</t>
  </si>
  <si>
    <t>likely story, scott sanders productions, 5000 broadway productions, barrio grrrl!, endeavor content</t>
  </si>
  <si>
    <t>English, Espa‚àö¬±ol</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</si>
  <si>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D‚àö‚â†az IV, Corey Hawkins, Olga Merediz, Analia Gomez, Jennifer Hernandez, Mateo G‚àö‚â•mez, Patrick Page, Mar‚àö‚â†a Hinojosa, Hugh M Jones III, Alexandra Campos, Dascha Polanco, Javier Mu‚àö¬±oz, The Kid Mero, Seth Stewart, Dean Scott Vazquez, Ariana S. Gomez, Ariana Greenblatt, Mason Vazquez, Marc Anthony, Valentina, Amp Ngernrungruangroj, Doreen Montalvo, Noah Catala</t>
  </si>
  <si>
    <t>Jon M. Chu</t>
  </si>
  <si>
    <t>Alice Brooks</t>
  </si>
  <si>
    <t>Quiara Alegr‚àö‚â†a Hudes, Lin-Manuel Miranda</t>
  </si>
  <si>
    <t>Anthony Bregman, Scott Sanders, Jeffrey Seller, Mara Jacobs, Lin-Manuel Miranda, Kevin McCollum, Quiara Alegr‚àö‚â†a Hudes, Jill Furman, Kevin McCormick, David Nicksay</t>
  </si>
  <si>
    <t>Bill Sherman, Alex Lacamoire, Lin-Manuel Miranda</t>
  </si>
  <si>
    <t>/RO4KoJyoQMQzh9z76d4v4FJMmJ.jpg</t>
  </si>
  <si>
    <t>in the heights</t>
  </si>
  <si>
    <t>blank (40), tribeca film festival (1), hbo max (1), internet (3), dolby cinema (1), beijing international film festival (1), video premiere (1), camerimage international film festival (1)</t>
  </si>
  <si>
    <t>Hitman's Wife's Bodyguard</t>
  </si>
  <si>
    <t>tt8385148</t>
  </si>
  <si>
    <t>The world‚Äö√Ñ√¥s most lethal odd couple ‚Äö√Ñ√¨ bodyguard Michael Bryce and hitman Darius Kincaid ‚Äö√Ñ√¨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</si>
  <si>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</si>
  <si>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Action, Comedy, Crime, Thriller</t>
  </si>
  <si>
    <t>nu boyana film studios, summit entertainment, lionsgate, millennium media, davis films, campbell grobman films, film i v‚àö¬ßst, filmgate films</t>
  </si>
  <si>
    <t>Bulgaria, France, Sweden, United States of America, United Kingdom</t>
  </si>
  <si>
    <t>English, √ä√≥‚Ä¢√ä√∫¬®√ã‚Ñ¢√ª, P‚Äî√â‚Äî√Ö‚Äî√Ö‚Äì‚à´‚Äì‚àè‚ÄìœÄ, Espa‚àö¬±ol</t>
  </si>
  <si>
    <t>Genevieve Barker, Harry Taurasi, Adrian Fekete, Mislav ∆í√•avajda, Vasil Yordanov, Ahmet Mehmet, Ryan Reynolds, Gary Oldman, Martina Drakuli∆í√°, Csilla Barath Bastai∆í√°, Enzo Squillino Jr., Jonny James, Tin Matijevi∆í√°, Richard E. Grant, Samuel L. Jackson, Gabriella Wright, Ivor Bagari∆í√ß, Ivan ∆í√™uri∆í√ßi∆í√°, Sabrina Hill, Miltos Yerolemou, Tom Hopper, Genko Ivanov, Roy Hill, Barry Atsma, Sergio Torrico, James McFay, Venice Smith, Stewart Alexander, Brian Caspe, Kristofer Kamiyasu, Morgan Freeman, Tine Joustra, Tomi May, Amar Bukvi∆í√°, Georgie Glen, Mariana Vekilska, Petra Ku‚âà¬∞an, Rodolfo Corsato, Antonio Banderas, Frank Grillo, Nikola Ceran, Mariana Hill, Dragan Mi∆í√°anovi∆í√°, Blake Ritson, Tsuwayuki Saotome, Giulio Berruti, Alice McMillan, Mikhail Gorevoy, Danko Jordanov, Caroline Goodall, Rebecca Front, Noortje Herlaar, Patrick Hughes, Salma Hayek Pinault, Didi Anderson, Sim‚àö‚â•n Andreu, Anna Maria Everett, Jonas Talkington, Michael Aston, Russell De Rozario, Antonio Scarpa</t>
  </si>
  <si>
    <t>Patrick Hughes</t>
  </si>
  <si>
    <t>Terry Stacey</t>
  </si>
  <si>
    <t>Brandon Murphy, Phillip Murphy, Tom O'Connor</t>
  </si>
  <si>
    <t>Matthew O'Toole, Avi Lerner, Peter Possne, Christa Campbell, Zygi Kamasa, Boaz Davidson, Matthew Milam, Mark Gill, Jeffrey Greenstein, Trevor Short, Lati Grobman, Les Weldon, Heidi Jo Markel, Yariv Lerner, Jonathan Yunger</t>
  </si>
  <si>
    <t>Atli ‚àö√±rvarsson</t>
  </si>
  <si>
    <t>/6zwGWDpY8Zu0L6W4SYWERBR8Msw.jpg</t>
  </si>
  <si>
    <t>hitman's wife's bodyguard</t>
  </si>
  <si>
    <t>blank (56), barcelona (1), madrid (1), premiere (1), internet (3), blu-ray release (1), re-release (1)</t>
  </si>
  <si>
    <t>Luca</t>
  </si>
  <si>
    <t>tt12801262</t>
  </si>
  <si>
    <t>Luca and his best friend Alberto experience an unforgettable summer on the Italian Riviera. But all the fun is threatened by a deeply-held secret: they are sea monsters from another world just below the water‚Äö√Ñ√¥s surface.</t>
  </si>
  <si>
    <t>Prepare for an unforgettable trip.</t>
  </si>
  <si>
    <t>Animation, Comedy, Fantasy, Adventure, Family</t>
  </si>
  <si>
    <t>pixar</t>
  </si>
  <si>
    <t>English, Italiano</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</si>
  <si>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</si>
  <si>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</si>
  <si>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</si>
  <si>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</si>
  <si>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</si>
  <si>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Dan Romer</t>
  </si>
  <si>
    <t>/9x4i9uKGXt8IiiIF5Ey0DIoY738.jpg</t>
  </si>
  <si>
    <t>luca</t>
  </si>
  <si>
    <t>blank (45), annecy international animation film festival (1), video premiere (1), internet (25), los angeles, california (1), blu-ray and dvd premiere (1), tv release (1)</t>
  </si>
  <si>
    <t>Flee</t>
  </si>
  <si>
    <t>tt8430054</t>
  </si>
  <si>
    <t>da</t>
  </si>
  <si>
    <t>Flugt</t>
  </si>
  <si>
    <t>Recounted mostly through animation to protect his identity, Amin looks back over his past as a child refugee from Afghanistan as he grapples with a secret he‚Äö√Ñ√¥s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</si>
  <si>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</si>
  <si>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</si>
  <si>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</si>
  <si>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</si>
  <si>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≈∏√Ö√ø√ü√ø¬±√ø‚â•‚Ç¨√•, P‚Äî√â‚Äî√Ö‚Äî√Ö‚Äì‚à´‚Äì‚àè‚ÄìœÄ, Fran‚àö√üais, svenska</t>
  </si>
  <si>
    <t>Bo Asdal Andersen, Ditte Graa Wulff, Tormod Ringnes, Christian Torp Carlsen, Susanna Azevedo, Milad Eskandari, Vadim Nedaskovskij, Behrouz Bigdeli, Viktor Melnikov, Georg Jagunov, Denis Rivin, Sadia Faiz, Gustaf Georg Lindstr‚àö‚àÇm, Fardin Mijdzadeh, Mauricio Gonz‚àö¬∞lez-Aranda, Hafiz H‚àö‚àèjmark, Belal Faiz, Elaha Faiz, The Dungeon Master, Navid Nazir, Amin Nawabi, Zahra Mehrwarz, Rashid Aitouganov, Daniel Karimyar, Mikhail Belinson</t>
  </si>
  <si>
    <t>Jonas Poher Rasmussen</t>
  </si>
  <si>
    <t>Eskil Vogt, Kenneth Ladekj‚àö¬∂r, Jonas Poher Rasmussen, Rasmus Heisterberg</t>
  </si>
  <si>
    <t>Riz Ahmed, Monica Hellstr‚àö‚àÇm, Signe Byrge S‚àö‚àèrensen, Charlotte de la Gournerie, Philippa Kowarsky, Nikolaj Coster-Waldau</t>
  </si>
  <si>
    <t>Uno Helmersson</t>
  </si>
  <si>
    <t>/vlMIbqOpYG553J1kOJXA7mwQvE6.jpg</t>
  </si>
  <si>
    <t>flee</t>
  </si>
  <si>
    <t>sundance film festival (1), g√∂teborg film festival (1), kosmorama trondheim international film festival (1), it's all true - international documentary film festival (1), hong kong international film festival (1), visions du r√©el film festival (1), oslo pix (1), biografilm festival (1), blank (21), annecy international animation film festival (1), zagrebdox (1), melbourne international film festival (1), malm√∂ queer film festival (1), karlovy vary international film festival (1), jerusalem film festival (1), telluride film festival (1), docs against gravity film festival (1), toronto international film festival (1), helsinki international film festival (1), nordisk panorama film festival (1), camden international film festival (1), zurich film festival (1), new york film festival (1), hot springs documentary film festival (1), woodstock film festival (1), vancouver international film festival (1), reykjavik international film festival (1), nashville film festival (1), busan international film festival (1), hamptons international film festival (1), heartland international film festival (1), film fest gent (1), bfi london film festival (1), chicago international film festival (1), san diego international film festival (1), el gouna film festival (1), philadelphia international film festival (1), dok leipzig (1), message to man international film festival (1), hawaii film festival (1), sydney film festival (1), seville european film festival (1), tallinn black nights film festival (1), doc nyc (1), melbourne queer film festival (1), international documentary festival amsterdam (1), idfa in groningen (1), limited (5), les arcs international film festival (1), fipadoc festival (1), blu-ray release (1), luxembourg city film festival (1), tv premiere (2), kharkiv meetdocs eastern ukrainian film festival (1), war on screen international film festival (1), dharamshala international film festival (1), queer wave (1), vesoul international film festival of asian cinemas (1), tv release (1), thessaloniki documentary festival (1)</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</si>
  <si>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</si>
  <si>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</si>
  <si>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</si>
  <si>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</si>
  <si>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Crime, Drama, Thriller</t>
  </si>
  <si>
    <t>above the clouds media group, caliwood pictures, 120db films, carte blanche, lb entertainment, lucky 13 productions, voltage pictures</t>
  </si>
  <si>
    <t>English, ‚óä¬¢√∑¬•‚óä√´√∑‚àû‚óä¬Æ√∑¬•‚óä√¥‚óä‚Ñ¢</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</si>
  <si>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</si>
  <si>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</si>
  <si>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</si>
  <si>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</si>
  <si>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</si>
  <si>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</si>
  <si>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</si>
  <si>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lansky</t>
  </si>
  <si>
    <t>blank (12), internet (4), dvd premiere (1), dvd and blu-ray premiere (1), blu-ray (1), blu-ray premiere (1), tv premiere (1), tv release (1), international jewish film festival in argentina (1)</t>
  </si>
  <si>
    <t>Moonbound</t>
  </si>
  <si>
    <t>tt14534992</t>
  </si>
  <si>
    <t>de</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</si>
  <si>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</si>
  <si>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Fairy‚Äö√Ñ√¥s dinner in the castle in the clouds, they can find out where Anne is ‚Äö√Ñ√¨ but there aren‚Äö√Ñ√¥t enough seats for everyone. So they join the wild race along the Milky Way against the five Spirits of Nature: Storm Giant, Lightning Witch, Henry Hail, Rainy Robin and Mother Frost‚Äö√Ñ¬∂</t>
  </si>
  <si>
    <t>An out-of-this-world adventure.</t>
  </si>
  <si>
    <t>Animation, Family</t>
  </si>
  <si>
    <t>little dream entertainment, brave new work gmbh, coop99 filmproduktion</t>
  </si>
  <si>
    <t>Austria, Germany</t>
  </si>
  <si>
    <t>Deutsch</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</si>
  <si>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</si>
  <si>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</si>
  <si>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</si>
  <si>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</si>
  <si>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A‚âà√ºk∆í¬±n</t>
  </si>
  <si>
    <t>/3vSW1xRJD0MJPRXGQoAf9D3954W.jpg</t>
  </si>
  <si>
    <t>moonbound</t>
  </si>
  <si>
    <t>blank (27), zurich film festival (1), schlingel - international film festival for children and young audience (1), trieste science+fiction festival (1), film festival cottbus (1), madrid (1), premiere (1), german speaking region (1), internet (2)</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</si>
  <si>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</si>
  <si>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</si>
  <si>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</si>
  <si>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</si>
  <si>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Horror, Comedy</t>
  </si>
  <si>
    <t>vanishing angle, ubisoft film &amp; television</t>
  </si>
  <si>
    <t>English</t>
  </si>
  <si>
    <t>Michael Chernus, Patrick M. Walsh, Anni Krueger, Harvey Guill‚àö¬©n, Catherine Curtin, Michaela Watkins, Cheyenne Jackson, George Basil, Sam Richardson, Wayne Duvall, Milana Vayntrub, Ritz, Sarah Burns, Glenn Fleshler, Rebecca Henderson</t>
  </si>
  <si>
    <t>Josh Ruben</t>
  </si>
  <si>
    <t>Matt Wise</t>
  </si>
  <si>
    <t>Philippe des Palli‚àö¬Æres, Mishna Wolff, Herv‚àö¬© Marly</t>
  </si>
  <si>
    <t>Margaret Boykin, Gerard Guillemot, Andrew Lieberman, Sam Richardson, Natalie Metzger, Jason Altman, Benjamin Wiessner</t>
  </si>
  <si>
    <t>Anna Drubich</t>
  </si>
  <si>
    <t>/5CGgbgyvmE39Yoqa80GKsgClbQm.jpg</t>
  </si>
  <si>
    <t>werewolves within</t>
  </si>
  <si>
    <t>tribeca film festival (1), blank (13), internet (8), limited (1), neuch√¢tel international fantastic film festival (1), dvd premiere (4), blu-ray and dvd release (1), sitges film festival (1), leiden international film festival (1), blu-ray release (1), blu-ray, dvd (1)</t>
  </si>
  <si>
    <t>Zola</t>
  </si>
  <si>
    <t>tt5439812</t>
  </si>
  <si>
    <t>A waitress agrees to accompany an exotic dancer, her put-upon boyfriend, and her mysterious and domineering roommate on a road trip to Florida to seek their fortune at a high-end strip club.</t>
  </si>
  <si>
    <t>Y'all wanna hear a story?</t>
  </si>
  <si>
    <t>Comedy, Crime</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</si>
  <si>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</si>
  <si>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</si>
  <si>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</si>
  <si>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Ari Wegner</t>
  </si>
  <si>
    <t>A'Ziah King, Janicza Bravo, David Kushner, Jeremy O. Harris</t>
  </si>
  <si>
    <t>Gia Walsh, Kara Baker, Christine Vachon, David Hinojosa, Elizabeth Haggard, A'Ziah King, David Kushner, Jennifer Konawal, Dave Franco, Vince Jolivette</t>
  </si>
  <si>
    <t>Mica Levi</t>
  </si>
  <si>
    <t>/bJLCPROp9bmNndurwZpVnOioVpB.jpg</t>
  </si>
  <si>
    <t>zola</t>
  </si>
  <si>
    <t>sundance film festival (1), internet (5), blank (7), melbourne international film festival (1), new horizons international film festival (1), norwegian international film festival (1), jerusalem film festival (1), blu-ray release (1), helsinki international film festival (1), limited (1), the projector (1), brisbane film festival (1), leiden international film festival (1), sydney film festival (1), weekend (1), american film festival (1), americana film fest (1), tv premiere (1)</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</si>
  <si>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</si>
  <si>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</si>
  <si>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</si>
  <si>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</si>
  <si>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Action, Horror, Thriller</t>
  </si>
  <si>
    <t>blumhouse productions, platinum dunes, universal pictures, man in a tree productions, perfect world pictures</t>
  </si>
  <si>
    <t>Louie Novoa, Gary Nohealii, Erin Dinsmore, Carol Cantu, Cassidy Freeman, Mark Krenik, Veronica Falc‚àö‚â•n, Zahn McClarnon, Tenoch Huerta Mej‚àö‚â†a,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</si>
  <si>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</si>
  <si>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Luis David Sansans</t>
  </si>
  <si>
    <t>James DeMonaco</t>
  </si>
  <si>
    <t>Everardo Gout, Marcei A. Brubaker Brown, Couper Samuelson, Andrew Form, Brad Fuller, Jason Blum, S‚àö¬©bastien K. Lemercier, Jeanette Volturno, James DeMonaco, Michael Bay</t>
  </si>
  <si>
    <t>Taylor Stewart, Andrew Grush</t>
  </si>
  <si>
    <t>/lB068qa6bQ0QKYKyC2xnYGvYjl7.jpg</t>
  </si>
  <si>
    <t>the forever purge</t>
  </si>
  <si>
    <t>blank (42), limited (1), madrid (1), premiere (1), internet (4), blu-ray release (2), dvd premiere (2), dvd and blu-ray premiere (1), tv premiere (1)</t>
  </si>
  <si>
    <t>The Boss Baby: Family Business</t>
  </si>
  <si>
    <t>tt6932874</t>
  </si>
  <si>
    <t>The Templeton brothers ‚Äö√Ñ√Æ Tim and his Boss Baby little bro Ted ‚Äö√Ñ√Æ have become adults and drifted away from each other. But a new boss baby with a cutting-edge approach and a can-do attitude is about to bring them together again ‚Äö√Ñ¬∂ and inspire a new family business.</t>
  </si>
  <si>
    <t>Playtime is over.</t>
  </si>
  <si>
    <t>Animation, Comedy, Adventure, Family</t>
  </si>
  <si>
    <t>dreamworks animation</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</si>
  <si>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</si>
  <si>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Tom McGrath</t>
  </si>
  <si>
    <t>Michael McCullers, Marla Frazee, Tom McGrath</t>
  </si>
  <si>
    <t>Marla Frazee, Jeff Hermann</t>
  </si>
  <si>
    <t>Hans Zimmer, Steve Mazzaro</t>
  </si>
  <si>
    <t>/kv2Qk9MKFFQo4WQPaYta599HkJP.jpg</t>
  </si>
  <si>
    <t>the boss baby: family business</t>
  </si>
  <si>
    <t>blank (53), internet (1)</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</si>
  <si>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</si>
  <si>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</si>
  <si>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</si>
  <si>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</si>
  <si>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Action, Comedy, Romance</t>
  </si>
  <si>
    <t>align, digital ignition entertainment, lionsgate</t>
  </si>
  <si>
    <t>John Tench, Stuart Hughes, Michelle Nolden, Justin Chatwin, Travis Fimmel, John Ralston, Ren‚àö¬©e Willett, Diego Boneta, Peter Schoelier, Alexandra Daddario, Neven Pajkic, Phoebe Miu, Leo Choy, Okiki Kendall, Nicola Correia Damude, Lily Gao, Emmanuelle Chriqui, Ella Clofine, Wade Allain-Marcus</t>
  </si>
  <si>
    <t>Collin Schiffli</t>
  </si>
  <si>
    <t>Magdalena G‚àö‚â•rka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</si>
  <si>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</si>
  <si>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</si>
  <si>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Ian Hultquist</t>
  </si>
  <si>
    <t>/byXLJZq5vfveYdAWaC4uMtojsWj.jpg</t>
  </si>
  <si>
    <t>die in a gunfight</t>
  </si>
  <si>
    <t>blank (7), internet (10), dvd premiere (2), dvd and blu-ray premiere (3), tv premiere (1)</t>
  </si>
  <si>
    <t>yes</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</si>
  <si>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</si>
  <si>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</si>
  <si>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</si>
  <si>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</si>
  <si>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Horror, Thriller, Mystery</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</si>
  <si>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</si>
  <si>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</si>
  <si>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Adam Robitel</t>
  </si>
  <si>
    <t>Marc Spicer, George Amos</t>
  </si>
  <si>
    <t>Oren Uziel, Will Honley, Christine Lavaf, Maria Melnik, Daniel Tuch, Fritz B‚àö‚àÇhm</t>
  </si>
  <si>
    <t>Karina Rahardja, Adam Robitel, Philip Waley, Neal H. Moritz</t>
  </si>
  <si>
    <t>Brian Tyler, John Carey</t>
  </si>
  <si>
    <t>/jGYJyPzVgrVV2bgClI9uvEZgVLE.jpg</t>
  </si>
  <si>
    <t>escape room: tournament of champions</t>
  </si>
  <si>
    <t>blank (82), blu-ray release (1), internet (3), dvd premiere (1), tv premiere (1)</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</si>
  <si>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</si>
  <si>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</si>
  <si>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</si>
  <si>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</si>
  <si>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Family, Comedy, Adventure, Animation, Science Fiction</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</si>
  <si>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</si>
  <si>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A‚Äö√Ñ√¥ja Wilson, Zendaya, Harper Leigh Alexander, Sue Bird, Justin Roiland, Eric Bauza, Cedric Joe, Xosha Roquemore, Anthony Davis</t>
  </si>
  <si>
    <t>Malcolm D. Lee</t>
  </si>
  <si>
    <t>Salvatore Totino</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</si>
  <si>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</si>
  <si>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</si>
  <si>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Kris Bowers</t>
  </si>
  <si>
    <t>/mDACFTANR34u6lvucazoYiFJOp7.jpg</t>
  </si>
  <si>
    <t>space jam: a new legacy</t>
  </si>
  <si>
    <t>los angeles, california (1), premiere (1), blank (51), internet (4)</t>
  </si>
  <si>
    <t>The Kids Are Alright: Destination Asturias</t>
  </si>
  <si>
    <t>tt13150080</t>
  </si>
  <si>
    <t>es</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</si>
  <si>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</si>
  <si>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</si>
  <si>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</si>
  <si>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Comedy, Family</t>
  </si>
  <si>
    <t>bowfinger, atresmedia, movistar plus+, buend‚àö‚â†a estudios, glow</t>
  </si>
  <si>
    <t>Spain</t>
  </si>
  <si>
    <t>Espa‚àö¬±ol</t>
  </si>
  <si>
    <t>Martita de Gran‚àö¬∞, Marta Gonz‚àö¬∞lez de Vega, Paz Vega, El Cejas, Santiago Urrialde, Boris Izaguirre, Ver‚àö‚â•nica L‚àö‚â•pez, Paz Padilla, Eneko Otero, Luis Carlos Tortosa, Cristina Pedroche, Joaqu‚àö‚â†n Reyes, Leo Harlem, Antonio Resines, Jorge Sanz, Sara S‚àö¬∞lamo, Antonio de la Torre, Goizalde N‚àö‚à´‚àö¬±ez, ‚àö√Ölvaro Tortosa, Javier Garc‚àö‚â†a, Josema Yuste, Florentino Fern‚àö¬∞ndez, David Guapo, Luna Fulgencio, Alan Miranda, Alberto Casado, Javier Los‚àö¬∞n, Itziar Castro, Sirena Segura, Santiago Segura, Eduardo Antu‚àö¬±a, Eva Isanta</t>
  </si>
  <si>
    <t>Santiago Segura</t>
  </si>
  <si>
    <t>‚àö√Öngel Iguacel</t>
  </si>
  <si>
    <t>Ingrid Morley-Pegge, Benjamin Euvrard, Charly de Witte, Marta Gonz‚àö¬∞lez de Vega, Benjamin Dumont, Santiago Segura</t>
  </si>
  <si>
    <t>Mar‚àö‚â†a Luisa Guti‚àö¬©rrez, Mercedes Gamero, Santiago Segura, Ricardo Marco Bud‚àö¬©, Ignacio Salazar-Simpson</t>
  </si>
  <si>
    <t>Roque Ba‚àö¬±os</t>
  </si>
  <si>
    <t>/xxK9GyYqEN8224PxSdkOKYbLPZX.jpg</t>
  </si>
  <si>
    <t>the kids are alright: destination asturias</t>
  </si>
  <si>
    <t>asturias (1), premiere (2), madrid (1), blank (1), tv release (1), internet (1)</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</si>
  <si>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</si>
  <si>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</si>
  <si>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</si>
  <si>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</si>
  <si>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</si>
  <si>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path‚àö¬©, france 2 cin‚àö¬©ma, france 3 cin‚àö¬©ma, belga productions</t>
  </si>
  <si>
    <t>Belgium, France, Netherlands</t>
  </si>
  <si>
    <t>Fran‚àö√üais, Latin</t>
  </si>
  <si>
    <t>Clotilde Courau, Fr‚àö¬©d‚àö¬©ric Sauzay, Pascal Le Corre, Satya Dusaugey, L‚àö¬©a Lopez, J‚àö¬©r‚àö¬•me Chappatte, Jonathan Couzini‚àö¬©, Ga‚àö¬¥lle Jeantet, Virginie Efira, David Clavel, El‚àö¬©na Plonka, Guilaine Londez, H‚àö¬©lo‚àö√òse Bresc, C‚àö¬©lia Kaci, Quentin D'Hainaut, Olivier Rabourdin, Lauriane Riquet, Vinciane Millereau, Antoine Lelandais, Lambert Wilson, Justine Bachelet, Herv‚àö¬© Pierre, S‚àö¬©bastien Chabane, Ewan Ribard, Louise Chevillotte, Fabrice Cals, Nicolas Gaspar, Boris Gillot, Benjamin Penemaria, Nicolas B‚àö¬©guinot, Daphn‚àö¬© Patakia, Rapha‚àö¬¥l Potier, Charlotte Rampling, Philippe Saunier, Olga Milshtein, Alexia Chardard, Sophie Breyer</t>
  </si>
  <si>
    <t>Paul Verhoeven</t>
  </si>
  <si>
    <t>Jeanne Lapoirie</t>
  </si>
  <si>
    <t>Judith C. Brown, Paul Verhoeven, David Birke, Pascal Bonitzer</t>
  </si>
  <si>
    <t>Michel Merkt, J‚àö¬©r‚àö¬•me Seydoux, Conchita Airoldi, Sa‚àö√òd Ben Sa‚àö√òd</t>
  </si>
  <si>
    <t>Anne Dudley</t>
  </si>
  <si>
    <t>/yofVXmLYQbr8pdOeyDRrf9N8rF4.jpg</t>
  </si>
  <si>
    <t>benedetta</t>
  </si>
  <si>
    <t>blank (31), cannes film festival (1), cinedays festival of european film (1), karlovy vary international film festival (1), closing film (1), summer international film festival (1), brussels international film festival (1), san sebasti√°n film festival (1), spain (1), subtitled version (1), premiere (1), new york film festival (1), ouff - ourense film festival (1), haifa film festival (1), reykjavik international film festival (1), golden apricot international film festival (1), busan international film festival (1), bfi london film festival (1), kaohsiung film festival (1), vienna international film festival (1), cinelibri international book &amp; movie festival (1), thessaloniki international film festival (1), ljubljana international film festival (1), stockholm international film festival (1), internet (5), limited (1), night visions international film festival (1), rio de janeiro international film festival (1), perth international arts festival (1), glasgow film festival (1), rtp 1 (1), tv premiere (1), dvd premiere (2), blu-ray release (2)</t>
  </si>
  <si>
    <t>Do You Do You Saint-Tropez</t>
  </si>
  <si>
    <t>tt10537660</t>
  </si>
  <si>
    <t>Myst‚àö¬Ære ‚àö‚Ä†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</si>
  <si>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everyone‚Äö√Ñ√¥s vacation into a hilarious game of ‚Äö√Ñ√≤Cluedo‚Äö√Ñ√¥!</t>
  </si>
  <si>
    <t>Everyone Has A Motive But He Does Not Have A Clue</t>
  </si>
  <si>
    <t>studiocanal, curiosa films, ouille productions, umedia, france 2 cin‚àö¬©ma</t>
  </si>
  <si>
    <t>France, Belgium</t>
  </si>
  <si>
    <t>Fran‚àö√üais</t>
  </si>
  <si>
    <t>Laurent D'Elia, Philippe Dusseau, Virginie Hocq, Tristan Aquilina, Elisa Bachir Bey, Nicolas Brian‚àö√üon, Camille Claris, J‚àö¬©r‚àö¬•me Commandeur, Chlo‚àö¬© Lambert, Thierry Lhermitte, Rossy de Palma, Gil Alma, Beno‚àö√Üt Poelvoorde, G‚àö¬©rard Depardieu, Christian Clavier, Philypa Phoenix, Vincent Desagnat</t>
  </si>
  <si>
    <t>Nicolas Benamou</t>
  </si>
  <si>
    <t>Philippe Guilbert</t>
  </si>
  <si>
    <t>Jean-Fran‚àö√üois Halin, Christian Clavier, Jean-Marie Poir‚àö¬©, Nicolas Benamou</t>
  </si>
  <si>
    <t>Adrian Politowski, Olivier Delbosc</t>
  </si>
  <si>
    <t>Maxime Desprez, Micha‚àö¬¥l Tordjman</t>
  </si>
  <si>
    <t>/bWpIB5MWhH3vDmNUOC1PuE0ejt1.jpg</t>
  </si>
  <si>
    <t>do you do you saint-tropez</t>
  </si>
  <si>
    <t>blank (13), french speaking region (1), internet (1)</t>
  </si>
  <si>
    <t>Pig</t>
  </si>
  <si>
    <t>tt11003218</t>
  </si>
  <si>
    <t>A truffle hunter who lives alone in the Oregon wilderness must visit Portland to find the mysterious person who stole his beloved foraging pig.</t>
  </si>
  <si>
    <t>We don‚Äö√Ñ√¥t get a lot of things to really care about.</t>
  </si>
  <si>
    <t>Drama, Mystery, Thriller</t>
  </si>
  <si>
    <t>ai film, pulse films, saturn films, valparaiso pictures, blockbox entertainment, endeavor content</t>
  </si>
  <si>
    <t>United Kingdom, United States of America</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</si>
  <si>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</si>
  <si>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</si>
  <si>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</si>
  <si>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</si>
  <si>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</si>
  <si>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</si>
  <si>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</si>
  <si>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pig</t>
  </si>
  <si>
    <t>blank (23), melbourne international film festival (1), edinburgh international film festival (1), internet (6), deauville american film festival (1), film by the sea film festival (1), helsinki international film festival (1), oldenburg international film festival (1), dvd premiere (1), haifa film festival (1), film fest gent (1), la roche-sur-yon international film festival (1), fantasy filmfest (1), leiden international film festival (1), american film festival (1), limited (2), coronado island film festival (1), dvd and blu-ray premiere (1), tv premiere (1), barcelona - bcn film fest (1), madrid - academia de cine (1), subtitled version (2), technical premiere (1), madrid (1), barcelona (1), premiere (1), beijing international film festival (1)</t>
  </si>
  <si>
    <t>Kaamelott: The First Chapter</t>
  </si>
  <si>
    <t>tt9844322</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</si>
  <si>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</si>
  <si>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</si>
  <si>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</si>
  <si>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</si>
  <si>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auvergne-rh‚àö¬•ne-alpes cin‚àö¬©ma, r‚àö¬©gion auvergne-rh‚àö¬•ne-alpes, regular production</t>
  </si>
  <si>
    <t>Neil Astier, Louy Valy, Clovis Cornillac, Guillaume Briat, Oc‚àö¬©ane Slim, Sandra Cheyssial, Reggie Vermeulen, Fran‚àö√üois Rollin, Ethan Astier, Guillaume Gallienne, Alain le Bars, Jacques Chambon, G‚àö¬©raldine Nakache, Enzo Pirat, Mathieu Duboclard, Jo‚àö¬¥lle Sevilla, Marie-Christine Orry, Anne Girouard, Sting, St‚àö¬©phane Margot, Caroline Ferrus, Pascal Vincent, Lionnel Astier, Anthony Martin, Audrey Fleurot, H‚àö¬©l‚àö¬Æne Rudermann, Mehdi Rahim-Silvioli, Isabelle Mattiussi, Yazan Al-Mashni, Thomas Neyret, Mark Eacersall, Alexandre Astier, Salwa Al Hajri, Antoine Bordes, J‚àö¬©r‚àö¬•me Palmer, Fran‚àö√üois Morel, Ayman El Kadhi, Gilles Graveleau, Franck Pitiot, Brice Fournier, David Ayala, Chlo‚àö¬© Guillot, Tigran Mekhitarian, Charlie Konat‚àö¬©-D‚àö¬©courchalle, Lamari Amine, Lo‚àö√òc Varraut, Serge Papagalli, ‚àö√¢tienne Fague, Cyrille Coton-Bonacchi, Jean-Robert Lombard, Sakir Uyar, Alain Chabat, Ariane Astier, Alban Lenoir, Carlo Brandt, Val‚àö¬©rie K‚àö¬©ruzor‚àö¬©, Thomas Cousseau, Jehnny Beth, Christophe Mazi‚àö¬Ære, Patricia Darr‚àö¬©, Bruno Fontaine, Nicolas Gabion, Antoine de Caunes, Aur‚àö¬©lien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</si>
  <si>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</si>
  <si>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</si>
  <si>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</si>
  <si>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</si>
  <si>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kaamelott: the first chapter</t>
  </si>
  <si>
    <t>limited (1), blank (20), french speaking region (1), internet (13), qu√©bec (1), german speaking region (1), english subtitled version (2), french film festival (1), dvd premiere (1), geneva international film festival (1)</t>
  </si>
  <si>
    <t>Old</t>
  </si>
  <si>
    <t>tt10954652</t>
  </si>
  <si>
    <t>A group of families on a tropical holiday discover that the secluded beach where they are staying is somehow causing them to age rapidly ‚Äö√Ñ√¨ reducing their entire lives into a single day.</t>
  </si>
  <si>
    <t>It's only a matter of time.</t>
  </si>
  <si>
    <t>Thriller, Mystery, Horror</t>
  </si>
  <si>
    <t>universal pictures, perfect world pictures, blinding edge pictures</t>
  </si>
  <si>
    <t>China, United States of America</t>
  </si>
  <si>
    <t>Jeffrey Holsman, Margaux Da Silva, Louise Walter, Embeth Davidtz, Daniel Ison, Abbey Lee, Luca Faustino Rodriguez, Aaron Pierre, Gustaf Hammarsten, Eliza Scanlen, Kathleen Chalfant, Deidra Ciolko, Julietta Rodr‚àö‚â†guez, Matthew Shear, Nikki Amuka-Bird, Emun Elliott, Rufus Sewell, Nolan River, Vicky Krieps, Alejandra Useche, Mikaya Fisher, Arturo A. Baez, Kailen Jude, Francesca Eastwood, Alexa Swinton, Kylie Begley, Ken Leung, John Twohy, Gael Garc‚àö‚â†a Bernal, Thomasin McKenzie, Alex Wolff, M. Night Shyamalan</t>
  </si>
  <si>
    <t>M. Night Shyamalan</t>
  </si>
  <si>
    <t>Mike Gioulakis</t>
  </si>
  <si>
    <t>Pierre Oscar L‚àö¬©vy, Fr‚àö¬©d‚àö¬©rik Peeters, M. Night Shyamalan</t>
  </si>
  <si>
    <t>Steven Schneider, Ashwin Rajan, Marc Bienstock, M. Night Shyamalan</t>
  </si>
  <si>
    <t>Trevor Gureckis</t>
  </si>
  <si>
    <t>/vclShucpUmPhdAOmKgf3B3Z4POD.jpg</t>
  </si>
  <si>
    <t>old</t>
  </si>
  <si>
    <t>new york city, new york (1), premiere (2), blank (80), madrid (1), blu-ray release (1), dvd premiere (1)</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</si>
  <si>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</si>
  <si>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</si>
  <si>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‚Äö√Ñ√¨ even if that means losing the trust of those closest to him.</t>
  </si>
  <si>
    <t>Every warrior has a beginning.</t>
  </si>
  <si>
    <t>Action, Adventure</t>
  </si>
  <si>
    <t>paramount pictures, metro-goldwyn-mayer, di bonaventura pictures, entertainment one, skydance media, hasbro</t>
  </si>
  <si>
    <t>Canada, Japan, United States of America</t>
  </si>
  <si>
    <t>√ø√ü≈∏√ë√øœÄ√ø¬±√ø¬Æ≈∏√§√ø¬©, English, Italiano, √ä√≥‚Ä¢√ä√∫¬®√ã‚Ñ¢√ª</t>
  </si>
  <si>
    <t>Henry Golding, Sean Owen Roberts, Ryan Klarenbach, Gui DaSilva-Greene, Brandon Melendy, Solomon Brende, Iko Uwais, Haruka Abe, ‚àö√∂rsula Corber‚àö‚â•,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</si>
  <si>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Robert Schwentke</t>
  </si>
  <si>
    <t>Bojan Bazelli</t>
  </si>
  <si>
    <t>Joe Shrapnel, Evan Spiliotopoulos, Anna Waterhouse</t>
  </si>
  <si>
    <t>Don Granger, David Ellison, Jeff G. Waxman, Dana Goldberg, Greg Mooradian, Erik Howsam, Brian Goldner, Lorenzo di Bonaventura</t>
  </si>
  <si>
    <t>Martin Todsharow</t>
  </si>
  <si>
    <t>/uIXF0sQGXOxQhbaEaKOi2VYlIL0.jpg</t>
  </si>
  <si>
    <t>snake eyes: g.i. joe origins</t>
  </si>
  <si>
    <t>internet (2), blank (53), dvd and blu-ray premiere (2), night visions international film festival (1)</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</si>
  <si>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</si>
  <si>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</si>
  <si>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</si>
  <si>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</si>
  <si>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</si>
  <si>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</si>
  <si>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Puerto Rico, United States of America</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</si>
  <si>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</si>
  <si>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</si>
  <si>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</si>
  <si>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</si>
  <si>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Pr‚àö‚â†ncipe,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</si>
  <si>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</si>
  <si>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</si>
  <si>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midnight in the switchgrass</t>
  </si>
  <si>
    <t>gasparilla international film festival (1), blank (9), internet (9), limited (1), dvd premiere (3), dvd and blu-ray premiere (2), tv premiere (1), tv release (1)</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</si>
  <si>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</si>
  <si>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</si>
  <si>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</si>
  <si>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They‚Äö√Ñ√¥re dying to save the world.</t>
  </si>
  <si>
    <t>Action, Comedy, Adventure</t>
  </si>
  <si>
    <t>dc films, atlas entertainment, the safran company, warner bros. pictures</t>
  </si>
  <si>
    <t>English, Fran‚àö√üais, Espa‚àö¬±ol</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</si>
  <si>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Joaqu‚àö‚â†n Cos‚àö‚â†o, Pom Klementieff</t>
  </si>
  <si>
    <t>James Gunn</t>
  </si>
  <si>
    <t>Henry Braham</t>
  </si>
  <si>
    <t>Walter Hamada, Charles Roven, Zack Snyder, Deborah Snyder, Nik Korda, Chantal Nong Vo, Richard Suckle, Peter Safran</t>
  </si>
  <si>
    <t>John Murphy</t>
  </si>
  <si>
    <t>/q61qEyssk2ku3okWICKArlAdhBn.jpg</t>
  </si>
  <si>
    <t>the suicide squad</t>
  </si>
  <si>
    <t>blank (54), fantasia international film festival (1), internet (2), blu-ray release (2), imax version (1), shanghai international film festival (1), tv premiere (1)</t>
  </si>
  <si>
    <t>Jungle Cruise</t>
  </si>
  <si>
    <t>tt0870154</t>
  </si>
  <si>
    <t>Dr. Lily Houghton enlists the aid of wisecracking skipper Frank Wolff to take her down the Amazon in his dilapidated boat. Together, they search for an ancient tree that holds the power to heal ‚Äö√Ñ√¨ a discovery that will change the future of medicine.</t>
  </si>
  <si>
    <t>The myth is real.</t>
  </si>
  <si>
    <t>Fantasy, Adventure</t>
  </si>
  <si>
    <t>walt disney pictures, seven bucks productions, davis entertainment, flynn picture company</t>
  </si>
  <si>
    <t>Deutsch, Fran‚àö√üais, English, Espa‚àö¬±ol, Italiano, Latin, Polski, Portugu‚àö‚Ñ¢s</t>
  </si>
  <si>
    <t>Sebastian Blunt, Simone Lockhart, Michael H. Cole, Dwayne Johnson, Justin Randell Brooke, Caroline Paige, Keith Arthur Bolden, Travis Gomez, Mark Ashworth, James Quattrochi, Pedro Lopez, Dan Dargan Carter, Veronica Falc‚àö‚â•n, Christina Souza, Philipp Maximilian, Edgar Ram‚àö‚â†rez, Quim Guti‚àö¬©rrez,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</si>
  <si>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Jaume Collet-Serra</t>
  </si>
  <si>
    <t>Flavio Mart‚àö‚â†nez Labiano</t>
  </si>
  <si>
    <t>Michael Green, John Requa, John Norville, Josh Goldstein, Glenn Ficarra</t>
  </si>
  <si>
    <t>Dany Garcia, Scott Sheldon, Douglas C. Merrifield, Dwayne Johnson, John Fox, Beau Flynn, John Davis, Hiram Garcia</t>
  </si>
  <si>
    <t>James Newton Howard</t>
  </si>
  <si>
    <t>/3UPz63cGsAQlYQnkOHfAbUhl1O3.jpg</t>
  </si>
  <si>
    <t>jungle cruise</t>
  </si>
  <si>
    <t>anaheim, california (1), premiere (1), giffoni film festival (1), blank (50), internet (5), blu-ray release (1)</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</si>
  <si>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</si>
  <si>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</si>
  <si>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</si>
  <si>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</si>
  <si>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</si>
  <si>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</si>
  <si>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Canada, Ireland, United States of America</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</si>
  <si>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Ana‚àö√òs Rizzo, Barry Keoghan, Adam Karim, Sean Harris, Aoibheann Garry</t>
  </si>
  <si>
    <t>David Lowery</t>
  </si>
  <si>
    <t>Andrew Droz Palermo</t>
  </si>
  <si>
    <t>Jason Cloth, Tim Headington, Tomas Deckaj, James M. Johnston, Eoin Egan, Theresa Page, Macdara Kelleher, Edmund Sampson, David Lowery, Aaron L. Gilbert, Toby Halbrooks</t>
  </si>
  <si>
    <t>Daniel Hart</t>
  </si>
  <si>
    <t>/if4hw3Ou5Sav9Em7WWHj66mnywp.jpg</t>
  </si>
  <si>
    <t>the green knight</t>
  </si>
  <si>
    <t>blank (38), internet (9), odesa international film festival (1), karlovy vary international film festival (1), helsinki international film festival (1), blu-ray release (1), closing film (1), sitges film festival (1), camerimage international film festival (1), film festival ghent (1), limited (1)</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</si>
  <si>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</si>
  <si>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</si>
  <si>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</si>
  <si>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</si>
  <si>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Drama, Crime, Thriller</t>
  </si>
  <si>
    <t>participant, dreamworks pictures, slow pony, anonymous content, 3dot productions, supernatural pictures, focus features, mandate international, firstep</t>
  </si>
  <si>
    <t>France, United States of America</t>
  </si>
  <si>
    <t>Pierre-Jean Ta‚àö√òeb-Renassia, Marc Boubli, Sophia Johnson, Idir Azougli, Carlos Ramirez, Jean-Marc Michelangeli, Abigail Breslin, Gr‚àö¬©gory Di Meglio, Hamza Baggour, Nicolas Dubus, J‚àö¬©rome Care-Aulanier, Lilou Siauvaud, Berth‚àö¬©l‚àö¬©my Giulj, Abdeljalil Belbrail, Sarah Brooks, Clarisse Tennessy, Gilbert Tra‚àö√òna, Chris Tomneer, Victor Sansano, Mohamed-Yassine Ferrat, Karim Traikia, Sabri Siad, Mama Bouras, Lakhdar Mouissette, Florine Mullard, Youghorta Mimouni, Jacques Kounta, Isabelle Tanakil, Pierre Piacentino, Guillaume Le-Xuan, Michel Bompoil, Leah McCormick, Olivier Ho Hio Hen, Mahia Zrouki, C‚àö¬©line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d'Asni‚àö¬Æres, Eric Starkey, Fabio Montale</t>
  </si>
  <si>
    <t>Tom McCarthy</t>
  </si>
  <si>
    <t>Masanobu Takayanagi</t>
  </si>
  <si>
    <t>Marcus Hinchey, Thomas Bidegain, No‚àö¬© Debr‚àö¬©, Tom McCarthy</t>
  </si>
  <si>
    <t>Jonathan King, Liza Chasin, Mari-Jo Winkler, No‚àö¬© Debr‚àö¬©, Steve Golin, Tom McCarthy, Jeff Skoll, David Linde, Robert Kessel, Thomas Bidegain</t>
  </si>
  <si>
    <t>Mychael Danna</t>
  </si>
  <si>
    <t>/1lrPR7ah1KElPKnCsxmIRE1OlIh.jpg</t>
  </si>
  <si>
    <t>stillwater</t>
  </si>
  <si>
    <t>cannes film festival (1), blank (25), internet (7), deauville american film festival (1), festival image de ville (1), s√£o paulo international film festival (1), blu-ray premiere (1), american film festival (1), geneva international film festival (1), blu-ray release (1), dvd premiere (1), tv premiere (1)</t>
  </si>
  <si>
    <t>Masquerade</t>
  </si>
  <si>
    <t>tt11448490</t>
  </si>
  <si>
    <t>A young girl struggles to survive after a group of home invaders break into her house to steal her family's priceless artwork.</t>
  </si>
  <si>
    <t>The ultimate disguise in terror.</t>
  </si>
  <si>
    <t>Thriller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</si>
  <si>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</si>
  <si>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</si>
  <si>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</si>
  <si>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</si>
  <si>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</si>
  <si>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Ben Lovett</t>
  </si>
  <si>
    <t>/ylqaqBXsVsN3f7IeS9GOjJaPM0e.jpg</t>
  </si>
  <si>
    <t>masquerade</t>
  </si>
  <si>
    <t>blank (4), limited (1), dvd premiere (2), tv premiere (1), internet (6)</t>
  </si>
  <si>
    <t>PAW Patrol: The Movie</t>
  </si>
  <si>
    <t>tt11832046</t>
  </si>
  <si>
    <t>Ryder and the pups are called to Adventure City to stop Mayor Humdinger from turning the bustling metropolis into a state of chaos.</t>
  </si>
  <si>
    <t>No Job's too big, no Pup's too small.</t>
  </si>
  <si>
    <t>Family, Comedy, Adventure, Animation</t>
  </si>
  <si>
    <t>spin master, nickelodeon movies, paramount pictures, mikros image, mikros animation</t>
  </si>
  <si>
    <t>Canada, France, United States of America</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</si>
  <si>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Gonz‚àö¬∞lez,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</si>
  <si>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Cal Brunker</t>
  </si>
  <si>
    <t>Billy Frolick, Bob Barlen, Cal Brunker</t>
  </si>
  <si>
    <t>Peter Schlessel, Ronnen Harary, Jennifer Dodge, Lisa A. Becker, Adam Beder</t>
  </si>
  <si>
    <t>Heitor Pereira</t>
  </si>
  <si>
    <t>/jXavWyam2VPR6bOhLwwuP3K2Hw4.jpg</t>
  </si>
  <si>
    <t>paw patrol: the movie</t>
  </si>
  <si>
    <t>london (1), premiere (1), blank (64), internet (3), blu-ray release (1)</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</si>
  <si>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</si>
  <si>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</si>
  <si>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</si>
  <si>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</si>
  <si>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</si>
  <si>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</si>
  <si>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Se‚àö¬∞n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</si>
  <si>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Shawn Levy</t>
  </si>
  <si>
    <t>George Richmond</t>
  </si>
  <si>
    <t>Zak Penn, Matt Lieberman</t>
  </si>
  <si>
    <t>Dan Levine, Josh McLaglen, Mary McLaglen, George Dewey, Adam Kolbrenner, Sarah Schechter, Dan Cohen, Michael McGrath, Shawn Levy, Greg Berlanti, Ryan Reynolds</t>
  </si>
  <si>
    <t>Christophe Beck</t>
  </si>
  <si>
    <t>/6PFJrMvoQwBxQITLYHj09VeJ37q.jpg</t>
  </si>
  <si>
    <t>free guy</t>
  </si>
  <si>
    <t>locarno film festival (1), blank (70), imax (1), vod (1), internet (4), blu-ray release (1), dvd,4k uhd,blu-ray (1), tv release (1)</t>
  </si>
  <si>
    <t>Sinkhole</t>
  </si>
  <si>
    <t>tt12664618</t>
  </si>
  <si>
    <t>ko</t>
  </si>
  <si>
    <t>√è√£¬±√å√Ö¬®√å√¥√Ñ</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</si>
  <si>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</si>
  <si>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</si>
  <si>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Comedy, Drama</t>
  </si>
  <si>
    <t>the tower pictures, showbox</t>
  </si>
  <si>
    <t>South Korea</t>
  </si>
  <si>
    <t>√å√Ø√∫√ç¬µ‚â†√è√±¬•/√è¬∞‚àû√è√ë‚Ä†√é√ü√™</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</si>
  <si>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</si>
  <si>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</si>
  <si>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</si>
  <si>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</si>
  <si>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</si>
  <si>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Choi Jung-in, Kim Tae-seong</t>
  </si>
  <si>
    <t>/alBxLvZ5LkDRJPw4TX1PgkWLE8a.jpg</t>
  </si>
  <si>
    <t>sinkhole</t>
  </si>
  <si>
    <t>locarno film festival (1), premiere (1), blank (11), closing film (1), new york asian film festival (1), vancouver international film festival (1), busan international film festival (1), san diego asian film festival (1), internet (2), blu-ray release (1)</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</si>
  <si>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</si>
  <si>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</si>
  <si>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</si>
  <si>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</si>
  <si>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Thriller, Horror</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</si>
  <si>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</si>
  <si>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</si>
  <si>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</si>
  <si>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Pedro Luque</t>
  </si>
  <si>
    <t>Fede ‚àö√Ölvarez, Rodo Sayagues</t>
  </si>
  <si>
    <t>Nathan Kahane, Sam Raimi, Fede ‚àö√Ölvarez, Stephen Lang, Robert Tapert, Erin Westerman, Andrew Pfeffer, Joseph Drake, Rick Jacobson</t>
  </si>
  <si>
    <t>/r7HEBkkRN93d3eFBZgPJfRaob5p.jpg</t>
  </si>
  <si>
    <t>don't breathe 2</t>
  </si>
  <si>
    <t>blank (47), limited (1), internet (4)</t>
  </si>
  <si>
    <t>Respect</t>
  </si>
  <si>
    <t>tt2452150</t>
  </si>
  <si>
    <t>The rise of Aretha Franklin‚Äö√Ñ√¥s career from a child singing in her father‚Äö√Ñ√¥s church‚Äö√Ñ√¥s choir to her international superstardom.</t>
  </si>
  <si>
    <t>Find out what it means.</t>
  </si>
  <si>
    <t>Drama, Music, History</t>
  </si>
  <si>
    <t>metro-goldwyn-mayer, bron studios, one community, chislehurst entertainment, harvey mason media, glickmania</t>
  </si>
  <si>
    <t>United States of America, Canada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</si>
  <si>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</si>
  <si>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</si>
  <si>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Kramer Morgenthau</t>
  </si>
  <si>
    <t>Tracey Scott Wilson, Callie Khouri</t>
  </si>
  <si>
    <t>Scott Bernstein, Aaron L. Gilbert, Jonathan Glickman, Jason Cloth, Harvey Mason Jr., Stacey Sher, Sue Baden-Powell, Jennifer Hudson</t>
  </si>
  <si>
    <t>/iUtPwOBZJc8uJnDqlCXTibdgxKz.jpg</t>
  </si>
  <si>
    <t>respect</t>
  </si>
  <si>
    <t>blank (39), locarno film festival (1), helsinki international film festival (1), camerimage international film festival (1), tallinn black nights film festival (1), internet (1), tv premiere (1)</t>
  </si>
  <si>
    <t>Lamb</t>
  </si>
  <si>
    <t>tt9812474</t>
  </si>
  <si>
    <t>is</t>
  </si>
  <si>
    <t>D‚àöŒ©ri‚àö‚àû</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</si>
  <si>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</si>
  <si>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</si>
  <si>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</si>
  <si>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v‚àö¬ßst, chimney sweden, chimney poland</t>
  </si>
  <si>
    <t>Iceland, Poland, Sweden</t>
  </si>
  <si>
    <t>‚àö√ßslenska</t>
  </si>
  <si>
    <t>Noomi Rapace, Ingvar E. Sigur‚àö‚àûsson, Gunnar ‚àö√ªor Karlsson, L‚àö¬∞ra Bj‚àö‚àÇrk Hall, Ester Bibi, Theod‚àö‚â•r Ingi ‚àö√¨lafsson, Sigur‚àö‚àûur Elvar Vi‚àö‚àûarson, Hilmir Sn‚àö¬∂r Gu‚àö‚àûnason, Arn‚àö√¶ru‚àö‚àûur D‚àö‚àÇgg Sigur‚àö‚àûard‚àö‚â•ttir, Bj‚àö‚àÇrn Hlynur Haraldsson</t>
  </si>
  <si>
    <t>Valdimar J‚àö‚â•hannsson</t>
  </si>
  <si>
    <t>Eli Arenson</t>
  </si>
  <si>
    <t>Valdimar J‚àö‚â•hannsson, Sj‚àö‚â•n</t>
  </si>
  <si>
    <t>Noomi Rapace, H‚àö‚Ä¢kan Pettersson, Peter Gustafsson, Jon Mankell, Erik Rydell, Jan Naszewski, Sara Nassim, Klaudia ‚âà√∂mieja-Rostworowska, Zuzanna Hencz, Marcin Drabi‚âà√ëski, Hr‚àö‚àÇnn Kristinsd‚àö‚â•ttir, Peter Possne, B‚àö¬©la Tarr</t>
  </si>
  <si>
    <t>T‚àö‚â•ti Gu‚àö‚àûnason</t>
  </si>
  <si>
    <t>/gP9yviboTGWGolqUZKIB1UkF1C2.jpg</t>
  </si>
  <si>
    <t>lamb</t>
  </si>
  <si>
    <t>cannes film festival (1), melbourne international film festival (1), blank (30), new horizons international film festival (1), karlovy vary international film festival (1), jerusalem film festival (1), zurich film festival (1), gdynia film festival (1), fantastic fest (1), beyond fest (1), parool film fest (1), festifreak - festival internacional de cine independiente de la plata (1), l'absurde s√©ance - nantes (1), internet (3), fest - new directors, new films festival (1), sitges film festival (1), limited (2), bfi london film festival (1), film fest gent (1), fantasy filmfest (1), riga international film festival (1), s√£o paulo film festival (1), trieste science+fiction festival (1), leiden international film festival (1), razor reel flanders film festival (1), cork international film festival (1), geneva international film festival (1), camerimage international film festival (1), splat!filmfest horror film festival (1), tallinn black nights film festival (1), maskoon fantastic film festival (1), les arcs international film festival (1), jos√© ignacio international film festival (1), g√∂teborg film festival (1), off camera film festival (1), blu-ray release (1), hong kong international film festival (1), espoo cine international film festival (1), helsinki international film festival (1), tv and internet (1), rtp 2 (1), tv premiere (1)</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</si>
  <si>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</si>
  <si>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</si>
  <si>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</si>
  <si>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</si>
  <si>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Drama, Music, Romance</t>
  </si>
  <si>
    <t>vend‚àö¬•me pictures, path‚àö¬©,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</si>
  <si>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</si>
  <si>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</si>
  <si>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</si>
  <si>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Carr‚àö¬© de Malberg, Victoria Bedos, Sian Heder, Eric Lartigau, Thomas Bidegain</t>
  </si>
  <si>
    <t>Philippe Rousselet, Sarah Borch-Jacobsen, Ardavan Safaee, Patrick Wachsberger, Fabrice Gianfermi, J‚àö¬©r‚àö¬•me Seydoux</t>
  </si>
  <si>
    <t>Marius de Vries</t>
  </si>
  <si>
    <t>/BzVjmm8l23rPsijLiNLUzuQtyd.jpg</t>
  </si>
  <si>
    <t>coda</t>
  </si>
  <si>
    <t>sundance film festival (2), nantucket film festival (1), sundance london film festival (1), melbourne international film festival (1), internet (24), limited (4), blank (15), norwegian international film festival (1), torino film festival (1), madrid (1), premiere (1), re-release (3), santa barbara international film festival (1), cambodia international film festival (1)</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</si>
  <si>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</si>
  <si>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</si>
  <si>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</si>
  <si>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</si>
  <si>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</si>
  <si>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</si>
  <si>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Ren‚àö¬©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</si>
  <si>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</si>
  <si>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Paul Cameron</t>
  </si>
  <si>
    <t>Athena Wickham, Jonathan Nolan, Lisa Joy, Aaron Ryder, Michael De Luca, D. Scott Lumpkin, Elishia Holmes</t>
  </si>
  <si>
    <t>Ramin Djawadi</t>
  </si>
  <si>
    <t>/17siH6wJRQ2jZiqz9BWUhy1UtZ.jpg</t>
  </si>
  <si>
    <t>reminiscence</t>
  </si>
  <si>
    <t>london (1), premiere (2), hollywood, california (1), blank (50), limited (1), internet (3), dvd premiere (2), tv premiere (1)</t>
  </si>
  <si>
    <t>Hostage: Missing Celebrity</t>
  </si>
  <si>
    <t>tt14941222</t>
  </si>
  <si>
    <t>√è√π‚àè√è√ü√†</t>
  </si>
  <si>
    <t>A box office star has to prove his action credentials in the real world when he's kidnapped and held for ransom.</t>
  </si>
  <si>
    <t>There was no CCTV or witnesses of the kidnapping of Hwang Jung-min.</t>
  </si>
  <si>
    <t>Action</t>
  </si>
  <si>
    <t>filmmaker r&amp;k, next entertainment world, the sam company, library pictures international</t>
  </si>
  <si>
    <t>English, √å√Ø√∫√ç¬µ‚â†√è√±¬•/√è¬∞‚àû√è√ë‚Ä†√é√ü√™</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</si>
  <si>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</si>
  <si>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</si>
  <si>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Choi Young-hwan</t>
  </si>
  <si>
    <t>Lee Jun-kyu, Kim Woo-taek, Kang Hye-jung, Ryoo Seung-wan, Cho Sung-min</t>
  </si>
  <si>
    <t>/friTd4TghctdY7raG8PjnoODAFo.jpg</t>
  </si>
  <si>
    <t>hostage: missing celebrity</t>
  </si>
  <si>
    <t>blank (5), fantastic fest, austin (1), udine far east film festival (1), five flavours asian film festival (1), internet (1), re-release (1)</t>
  </si>
  <si>
    <t>Drive My Car</t>
  </si>
  <si>
    <t>tt14039582</t>
  </si>
  <si>
    <t>ja</t>
  </si>
  <si>
    <t>‚Äû√â√¢‚Äû√â¬©‚Äû√á¬ß‚Äû√â√±‚Äû√â¬™‚Äû√â√ª‚Äû√á¬ß‚Äû√â¬™‚Äû√á¬¥‚Äû√â¬∫</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</si>
  <si>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</si>
  <si>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</si>
  <si>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Drama</t>
  </si>
  <si>
    <t>bitters end, c&amp;i entertainment, culture entertainment, j-lod, nekojarashi, quaras, bungeishunju, nippan group holdings, the asahi shimbun, l'espace vision</t>
  </si>
  <si>
    <t>Japan</t>
  </si>
  <si>
    <t xml:space="preserve">√ä√¥√Ü√à√Ñ√∂√ã√ò√π, English, Deutsch, Bahasa indonesia, √ä√≥‚Ä¢√ä√∫¬®√ã‚Ñ¢√ª, √å√Ø√∫√ç¬µ‚â†√è√±¬•/√è¬∞‚àû√è√ë‚Ä†√é√ü√™,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</si>
  <si>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</si>
  <si>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Ry‚âà¬¥suke Hamaguchi</t>
  </si>
  <si>
    <t>Hidetoshi Shinomiya</t>
  </si>
  <si>
    <t>Ry‚âà¬¥suke Hamaguchi, Takamasa Oe, Haruki Murakami</t>
  </si>
  <si>
    <t>Sachio Matsushita, Osamu Kubota, Kazuo Nakanishi, Teruhisa Yamamoto, Yuji Sadai, Jin Suzuki, Yoshito Nakabe, Keiji Okumura, Tsuyoshi Gor‚àö¬•</t>
  </si>
  <si>
    <t>Eiko Ishibashi, Yoshitaka Fujimoto</t>
  </si>
  <si>
    <t>/3cOsf5HBjPK2QCz9ebQlGHNnE7y.jpg</t>
  </si>
  <si>
    <t>drive my car</t>
  </si>
  <si>
    <t>cannes film festival (1), melbourne international film festival (1), new horizons international film festival (1), blank (30), karlovy vary international film festival (1), limited (4), toronto international film festival (1), donostia-san sebasti√°n international film festival (1), new york film festival (1), vancouver international film festival (1), reykjavik international film festival (1), busan international film festival (1), antalya golden orange film festival (1), bfi london film festival (1), hamptons international film festival (1), chicago international film festival (1), kyiv critics week (1), philadelphia international film festival (1), vienna international film festival (1), hong kong asian film festival (1), montclair film festival (1), san diego asian film festival (1), asian film festival barcelona (1), hawaii film festival (1), thessaloniki international film festival (1), ljubljana international film festival (1), sydney film festival (1), tallinn black nights film festival (1), afi fest (1), moma - the contenders (1), mar del plata film festival (1), new york city, new york (1), qcinema international film festival (1), cannes film festival week (1), human rights film festival (1), rio de janeiro international film festival (1), international film festival rotterdam (1), jos√© ignacio international film festival (1), g√∂teborg film festival (1), madrid - academia de cine (1), subtitled version (1), technical premiere (1), buenos aires (1), internet (3), festival internacional de cine del uruguay (1), blu-ray release (1), quito international film festival (1), helsinki international film festival (1), dvd premiere (1), re-release (1), taipei golden horse film festival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</si>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</sst>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F91C1-6059-504D-ABCA-BDF0CF8599E9}" name="Table1" displayName="Table1" ref="A1:AQ41" totalsRowCount="1">
  <autoFilter ref="A1:AQ40" xr:uid="{63CF91C1-6059-504D-ABCA-BDF0CF8599E9}">
    <filterColumn colId="41">
      <filters>
        <filter val="no"/>
      </filters>
    </filterColumn>
  </autoFilter>
  <tableColumns count="43">
    <tableColumn id="1" xr3:uid="{DEC4024D-976D-1D44-9592-04E016F55B8C}" name="id" totalsRowLabel="Total"/>
    <tableColumn id="2" xr3:uid="{13112C77-0C5B-A04F-B9EA-9877752A63E9}" name="title"/>
    <tableColumn id="3" xr3:uid="{A97F032D-4FBD-1D44-B071-0114732CEB99}" name="vote_average"/>
    <tableColumn id="4" xr3:uid="{5D2AA8D8-8EB0-4348-9B05-D2DF98BBB903}" name="vote_count"/>
    <tableColumn id="5" xr3:uid="{988D593F-33CC-5448-826C-B6F5358EF1A0}" name="status"/>
    <tableColumn id="6" xr3:uid="{0FCD54BE-D0F8-624E-A733-D6A39862F0F9}" name="release_date" dataDxfId="0"/>
    <tableColumn id="7" xr3:uid="{5E115B70-BFFC-964A-8283-0E1C26FCD0EB}" name="revenue"/>
    <tableColumn id="8" xr3:uid="{DCC7C7B9-A793-044D-B323-3E06E58BBF34}" name="runtime"/>
    <tableColumn id="9" xr3:uid="{1F6C8DC1-8065-404F-8EDB-3AEDA0E6FB6F}" name="budget"/>
    <tableColumn id="10" xr3:uid="{3D0D1B67-637B-C346-8681-1CB149C5FF44}" name="imdb_id"/>
    <tableColumn id="11" xr3:uid="{65BC4868-C51C-6543-809A-0EFD3BC6621F}" name="original_language"/>
    <tableColumn id="12" xr3:uid="{94536BDB-AE73-4940-A503-69C579CCB5A3}" name="original_title"/>
    <tableColumn id="13" xr3:uid="{A7E2731F-F1C3-A749-83E7-7251FE665D9D}" name="overview"/>
    <tableColumn id="14" xr3:uid="{94A5E11E-80BE-0749-B841-CC094323A2BD}" name="popularity"/>
    <tableColumn id="15" xr3:uid="{15955B50-0A6F-B047-8736-CE738840385C}" name="tagline"/>
    <tableColumn id="16" xr3:uid="{2B728E2A-8AD8-164E-B443-468948CC0266}" name="genres"/>
    <tableColumn id="17" xr3:uid="{8BCA1022-0AD4-D44D-9FA9-B8D76C140FD9}" name="production_companies"/>
    <tableColumn id="18" xr3:uid="{81D31FDC-F104-FA43-AD61-B38BBA94BC0B}" name="production_countries"/>
    <tableColumn id="19" xr3:uid="{C59CAE2D-C978-FC47-8D71-ECBAC0D83EE5}" name="spoken_languages"/>
    <tableColumn id="20" xr3:uid="{4CCFD16C-7D3B-4D42-830A-56B2B967832C}" name="cast"/>
    <tableColumn id="21" xr3:uid="{109C1B26-E3FA-734E-A8E4-B018B3A52399}" name="director"/>
    <tableColumn id="22" xr3:uid="{A1399F50-A5C9-AF47-BE2D-6FD0FD965E3F}" name="director_of_photography"/>
    <tableColumn id="23" xr3:uid="{0E907F2C-6CD9-5645-ABC4-99856EF12ADD}" name="writers"/>
    <tableColumn id="24" xr3:uid="{6E2B3D1A-28EF-5E4E-B9CE-6E30CA9862F6}" name="producers"/>
    <tableColumn id="25" xr3:uid="{891BF935-B4F7-EF4F-B6B9-6B0FE12E3B4A}" name="music_composer"/>
    <tableColumn id="26" xr3:uid="{215FEE37-CF62-4542-8288-C85A52C5E2C8}" name="imdb_rating"/>
    <tableColumn id="27" xr3:uid="{BC34046A-D386-5E49-A313-A0242DF53CCB}" name="imdb_votes"/>
    <tableColumn id="28" xr3:uid="{FB208CB6-B30C-A043-89C9-63FCC5F7F53A}" name="poster_path"/>
    <tableColumn id="29" xr3:uid="{E2FABF62-B152-DE44-889A-AB33A72EE08B}" name="release_month"/>
    <tableColumn id="30" xr3:uid="{68938764-FC84-644B-8747-DD8A4C9AC672}" name="release_year"/>
    <tableColumn id="31" xr3:uid="{2AF369EA-7636-8E41-8174-4F49715833BF}" name="iso_week"/>
    <tableColumn id="32" xr3:uid="{AEEE7322-2967-A142-B3AC-D8B33ACA42B8}" name="title_clean"/>
    <tableColumn id="33" xr3:uid="{3EAEBCD7-D46C-E54A-AC56-D5D10DA1682A}" name="distance"/>
    <tableColumn id="34" xr3:uid="{CBD66BC8-00BF-2541-B877-169929F3FD59}" name="strength"/>
    <tableColumn id="35" xr3:uid="{4C0D98CF-F42D-0949-BF67-CDA4A0E5BCBD}" name="score" totalsRowFunction="sum"/>
    <tableColumn id="36" xr3:uid="{05FE77CD-2B86-C44C-8609-2169AB175BE4}" name="marvel_movie"/>
    <tableColumn id="37" xr3:uid="{6ADCEA66-3DAB-2B46-99FE-43DB768A4CED}" name="attributes"/>
    <tableColumn id="38" xr3:uid="{2E9006F1-1F78-9D4B-879E-5F1935D5CCB2}" name="blank"/>
    <tableColumn id="39" xr3:uid="{DB4ACDB8-E1F6-DC42-9DE4-370E4759C175}" name="internet"/>
    <tableColumn id="40" xr3:uid="{B290FE9A-731C-7541-95FD-014AED8F375B}" name="total"/>
    <tableColumn id="41" xr3:uid="{8CBCF0E3-A318-FD40-897E-3965F87E7F4D}" name="internet_ratio"/>
    <tableColumn id="42" xr3:uid="{28F1C3C6-A302-BA4F-AEEA-79EC9D8FB646}" name="internet_dominance"/>
    <tableColumn id="43" xr3:uid="{49EC0C65-3362-7A48-8B6F-F4D482E68D7B}"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FE1B-E292-8B42-8A6E-936A7A0107E2}">
  <dimension ref="A1:AQ41"/>
  <sheetViews>
    <sheetView tabSelected="1" topLeftCell="AA6" workbookViewId="0">
      <selection activeCell="AI41" sqref="AI4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423108</v>
      </c>
      <c r="B2" t="s">
        <v>43</v>
      </c>
      <c r="C2">
        <v>7.4</v>
      </c>
      <c r="D2">
        <v>6323</v>
      </c>
      <c r="E2" t="s">
        <v>44</v>
      </c>
      <c r="F2" s="1">
        <v>44341</v>
      </c>
      <c r="G2">
        <v>206444123</v>
      </c>
      <c r="H2">
        <v>111</v>
      </c>
      <c r="I2">
        <v>39000000</v>
      </c>
      <c r="J2" t="s">
        <v>45</v>
      </c>
      <c r="K2" t="s">
        <v>46</v>
      </c>
      <c r="L2" t="s">
        <v>43</v>
      </c>
      <c r="M2" t="s">
        <v>47</v>
      </c>
      <c r="N2">
        <v>20.1968</v>
      </c>
      <c r="O2" t="s">
        <v>48</v>
      </c>
      <c r="P2" t="s">
        <v>49</v>
      </c>
      <c r="Q2" t="s">
        <v>50</v>
      </c>
      <c r="R2" t="s">
        <v>51</v>
      </c>
      <c r="S2" t="s">
        <v>52</v>
      </c>
      <c r="T2" t="s">
        <v>53</v>
      </c>
      <c r="U2" t="s">
        <v>54</v>
      </c>
      <c r="V2" t="s">
        <v>55</v>
      </c>
      <c r="W2" t="s">
        <v>56</v>
      </c>
      <c r="X2" t="s">
        <v>57</v>
      </c>
      <c r="Y2" t="s">
        <v>58</v>
      </c>
      <c r="Z2">
        <v>6.2</v>
      </c>
      <c r="AA2">
        <v>163078</v>
      </c>
      <c r="AB2" t="s">
        <v>59</v>
      </c>
      <c r="AC2">
        <v>5</v>
      </c>
      <c r="AD2">
        <v>2021</v>
      </c>
      <c r="AE2">
        <v>21</v>
      </c>
      <c r="AF2" t="s">
        <v>60</v>
      </c>
      <c r="AG2">
        <v>-43</v>
      </c>
      <c r="AH2">
        <v>19.145540347793901</v>
      </c>
      <c r="AI2">
        <v>0.435125916995317</v>
      </c>
      <c r="AJ2" t="s">
        <v>61</v>
      </c>
      <c r="AK2" t="s">
        <v>62</v>
      </c>
      <c r="AL2">
        <v>53</v>
      </c>
      <c r="AM2">
        <v>2</v>
      </c>
      <c r="AN2">
        <v>59</v>
      </c>
      <c r="AO2">
        <v>0.03</v>
      </c>
      <c r="AP2" t="s">
        <v>63</v>
      </c>
      <c r="AQ2" t="s">
        <v>63</v>
      </c>
    </row>
    <row r="3" spans="1:43" x14ac:dyDescent="0.2">
      <c r="A3">
        <v>337404</v>
      </c>
      <c r="B3" t="s">
        <v>64</v>
      </c>
      <c r="C3">
        <v>8</v>
      </c>
      <c r="D3">
        <v>9775</v>
      </c>
      <c r="E3" t="s">
        <v>44</v>
      </c>
      <c r="F3" s="1">
        <v>44342</v>
      </c>
      <c r="G3">
        <v>233503234</v>
      </c>
      <c r="H3">
        <v>134</v>
      </c>
      <c r="I3">
        <v>200000000</v>
      </c>
      <c r="J3" t="s">
        <v>65</v>
      </c>
      <c r="K3" t="s">
        <v>46</v>
      </c>
      <c r="L3" t="s">
        <v>64</v>
      </c>
      <c r="M3" t="s">
        <v>66</v>
      </c>
      <c r="N3">
        <v>13.811500000000001</v>
      </c>
      <c r="O3" t="s">
        <v>67</v>
      </c>
      <c r="P3" t="s">
        <v>68</v>
      </c>
      <c r="Q3" t="s">
        <v>69</v>
      </c>
      <c r="R3" t="s">
        <v>51</v>
      </c>
      <c r="S3" t="s">
        <v>70</v>
      </c>
      <c r="T3" t="s">
        <v>71</v>
      </c>
      <c r="U3" t="s">
        <v>72</v>
      </c>
      <c r="V3" t="s">
        <v>73</v>
      </c>
      <c r="W3" t="s">
        <v>74</v>
      </c>
      <c r="X3" t="s">
        <v>75</v>
      </c>
      <c r="Y3" t="s">
        <v>76</v>
      </c>
      <c r="Z3">
        <v>7.3</v>
      </c>
      <c r="AA3">
        <v>288689</v>
      </c>
      <c r="AB3" t="s">
        <v>77</v>
      </c>
      <c r="AC3">
        <v>5</v>
      </c>
      <c r="AD3">
        <v>2021</v>
      </c>
      <c r="AE3">
        <v>21</v>
      </c>
      <c r="AF3" t="s">
        <v>78</v>
      </c>
      <c r="AG3">
        <v>-42</v>
      </c>
      <c r="AH3">
        <v>19.268706489366899</v>
      </c>
      <c r="AI3">
        <v>0.44810945324109203</v>
      </c>
      <c r="AJ3" t="s">
        <v>61</v>
      </c>
      <c r="AK3" t="s">
        <v>79</v>
      </c>
      <c r="AL3">
        <v>60</v>
      </c>
      <c r="AM3">
        <v>5</v>
      </c>
      <c r="AN3">
        <v>73</v>
      </c>
      <c r="AO3">
        <v>7.0000000000000007E-2</v>
      </c>
      <c r="AP3" t="s">
        <v>63</v>
      </c>
      <c r="AQ3" t="s">
        <v>63</v>
      </c>
    </row>
    <row r="4" spans="1:43" x14ac:dyDescent="0.2">
      <c r="A4">
        <v>749004</v>
      </c>
      <c r="B4" t="s">
        <v>80</v>
      </c>
      <c r="C4">
        <v>7.2</v>
      </c>
      <c r="D4">
        <v>414</v>
      </c>
      <c r="E4" t="s">
        <v>44</v>
      </c>
      <c r="F4" s="1">
        <v>44349</v>
      </c>
      <c r="G4">
        <v>1024575</v>
      </c>
      <c r="H4">
        <v>72</v>
      </c>
      <c r="I4">
        <v>3100000</v>
      </c>
      <c r="J4" t="s">
        <v>81</v>
      </c>
      <c r="K4" t="s">
        <v>82</v>
      </c>
      <c r="L4" t="s">
        <v>80</v>
      </c>
      <c r="M4" t="s">
        <v>83</v>
      </c>
      <c r="N4">
        <v>1.5133000000000001</v>
      </c>
      <c r="O4" t="s">
        <v>84</v>
      </c>
      <c r="P4" t="s">
        <v>85</v>
      </c>
      <c r="Q4" t="s">
        <v>86</v>
      </c>
      <c r="R4" t="s">
        <v>87</v>
      </c>
      <c r="S4" t="s">
        <v>88</v>
      </c>
      <c r="T4" t="s">
        <v>89</v>
      </c>
      <c r="U4" t="s">
        <v>90</v>
      </c>
      <c r="V4" t="s">
        <v>91</v>
      </c>
      <c r="W4" t="s">
        <v>90</v>
      </c>
      <c r="X4" t="s">
        <v>92</v>
      </c>
      <c r="Y4" t="s">
        <v>93</v>
      </c>
      <c r="Z4">
        <v>7.4</v>
      </c>
      <c r="AA4">
        <v>20189</v>
      </c>
      <c r="AB4" t="s">
        <v>94</v>
      </c>
      <c r="AC4">
        <v>6</v>
      </c>
      <c r="AD4">
        <v>2021</v>
      </c>
      <c r="AE4">
        <v>22</v>
      </c>
      <c r="AF4" t="s">
        <v>95</v>
      </c>
      <c r="AG4">
        <v>-35</v>
      </c>
      <c r="AH4">
        <v>13.839789426437701</v>
      </c>
      <c r="AI4">
        <v>0.384438595178826</v>
      </c>
      <c r="AJ4" t="s">
        <v>61</v>
      </c>
      <c r="AK4" t="s">
        <v>96</v>
      </c>
      <c r="AL4">
        <v>26</v>
      </c>
      <c r="AM4">
        <v>2</v>
      </c>
      <c r="AN4">
        <v>82</v>
      </c>
      <c r="AO4">
        <v>0.02</v>
      </c>
      <c r="AP4" t="s">
        <v>63</v>
      </c>
      <c r="AQ4" t="s">
        <v>63</v>
      </c>
    </row>
    <row r="5" spans="1:43" x14ac:dyDescent="0.2">
      <c r="A5">
        <v>467909</v>
      </c>
      <c r="B5" t="s">
        <v>97</v>
      </c>
      <c r="C5">
        <v>7.1</v>
      </c>
      <c r="D5">
        <v>760</v>
      </c>
      <c r="E5" t="s">
        <v>44</v>
      </c>
      <c r="F5" s="1">
        <v>44357</v>
      </c>
      <c r="G5">
        <v>45175167</v>
      </c>
      <c r="H5">
        <v>143</v>
      </c>
      <c r="I5">
        <v>55000000</v>
      </c>
      <c r="J5" t="s">
        <v>98</v>
      </c>
      <c r="K5" t="s">
        <v>46</v>
      </c>
      <c r="L5" t="s">
        <v>97</v>
      </c>
      <c r="M5" t="s">
        <v>99</v>
      </c>
      <c r="N5">
        <v>1.8423</v>
      </c>
      <c r="O5" t="s">
        <v>100</v>
      </c>
      <c r="P5" t="s">
        <v>101</v>
      </c>
      <c r="Q5" t="s">
        <v>102</v>
      </c>
      <c r="R5" t="s">
        <v>51</v>
      </c>
      <c r="S5" t="s">
        <v>103</v>
      </c>
      <c r="T5" t="s">
        <v>104</v>
      </c>
      <c r="U5" t="s">
        <v>105</v>
      </c>
      <c r="V5" t="s">
        <v>106</v>
      </c>
      <c r="W5" t="s">
        <v>107</v>
      </c>
      <c r="X5" t="s">
        <v>108</v>
      </c>
      <c r="Y5" t="s">
        <v>109</v>
      </c>
      <c r="Z5">
        <v>7.2</v>
      </c>
      <c r="AA5">
        <v>55022</v>
      </c>
      <c r="AB5" t="s">
        <v>110</v>
      </c>
      <c r="AC5">
        <v>6</v>
      </c>
      <c r="AD5">
        <v>2021</v>
      </c>
      <c r="AE5">
        <v>23</v>
      </c>
      <c r="AF5" t="s">
        <v>111</v>
      </c>
      <c r="AG5">
        <v>-27</v>
      </c>
      <c r="AH5">
        <v>17.626058113306701</v>
      </c>
      <c r="AI5">
        <v>0.62950207547523895</v>
      </c>
      <c r="AJ5" t="s">
        <v>61</v>
      </c>
      <c r="AK5" t="s">
        <v>112</v>
      </c>
      <c r="AL5">
        <v>40</v>
      </c>
      <c r="AM5">
        <v>3</v>
      </c>
      <c r="AN5">
        <v>49</v>
      </c>
      <c r="AO5">
        <v>0.06</v>
      </c>
      <c r="AP5" t="s">
        <v>63</v>
      </c>
      <c r="AQ5" t="s">
        <v>63</v>
      </c>
    </row>
    <row r="6" spans="1:43" x14ac:dyDescent="0.2">
      <c r="A6">
        <v>522931</v>
      </c>
      <c r="B6" t="s">
        <v>113</v>
      </c>
      <c r="C6">
        <v>6.6639999999999997</v>
      </c>
      <c r="D6">
        <v>2452</v>
      </c>
      <c r="E6" t="s">
        <v>44</v>
      </c>
      <c r="F6" s="1">
        <v>44361</v>
      </c>
      <c r="G6">
        <v>70060492</v>
      </c>
      <c r="H6">
        <v>117</v>
      </c>
      <c r="I6">
        <v>70000000</v>
      </c>
      <c r="J6" t="s">
        <v>114</v>
      </c>
      <c r="K6" t="s">
        <v>46</v>
      </c>
      <c r="L6" t="s">
        <v>113</v>
      </c>
      <c r="M6" t="s">
        <v>115</v>
      </c>
      <c r="N6">
        <v>5.5602</v>
      </c>
      <c r="O6" t="s">
        <v>116</v>
      </c>
      <c r="P6" t="s">
        <v>117</v>
      </c>
      <c r="Q6" t="s">
        <v>118</v>
      </c>
      <c r="R6" t="s">
        <v>119</v>
      </c>
      <c r="S6" t="s">
        <v>120</v>
      </c>
      <c r="T6" t="s">
        <v>121</v>
      </c>
      <c r="U6" t="s">
        <v>122</v>
      </c>
      <c r="V6" t="s">
        <v>123</v>
      </c>
      <c r="W6" t="s">
        <v>124</v>
      </c>
      <c r="X6" t="s">
        <v>125</v>
      </c>
      <c r="Y6" t="s">
        <v>126</v>
      </c>
      <c r="Z6">
        <v>6.1</v>
      </c>
      <c r="AA6">
        <v>117236</v>
      </c>
      <c r="AB6" t="s">
        <v>127</v>
      </c>
      <c r="AC6">
        <v>6</v>
      </c>
      <c r="AD6">
        <v>2021</v>
      </c>
      <c r="AE6">
        <v>24</v>
      </c>
      <c r="AF6" t="s">
        <v>128</v>
      </c>
      <c r="AG6">
        <v>-23</v>
      </c>
      <c r="AH6">
        <v>18.064869612534402</v>
      </c>
      <c r="AI6">
        <v>0.75270290052226796</v>
      </c>
      <c r="AJ6" t="s">
        <v>61</v>
      </c>
      <c r="AK6" t="s">
        <v>129</v>
      </c>
      <c r="AL6">
        <v>56</v>
      </c>
      <c r="AM6">
        <v>3</v>
      </c>
      <c r="AN6">
        <v>64</v>
      </c>
      <c r="AO6">
        <v>0.05</v>
      </c>
      <c r="AP6" t="s">
        <v>63</v>
      </c>
      <c r="AQ6" t="s">
        <v>63</v>
      </c>
    </row>
    <row r="7" spans="1:43" x14ac:dyDescent="0.2">
      <c r="A7">
        <v>508943</v>
      </c>
      <c r="B7" t="s">
        <v>130</v>
      </c>
      <c r="C7">
        <v>7.8</v>
      </c>
      <c r="D7">
        <v>8710</v>
      </c>
      <c r="E7" t="s">
        <v>44</v>
      </c>
      <c r="F7" s="1">
        <v>44364</v>
      </c>
      <c r="G7">
        <v>51074773</v>
      </c>
      <c r="H7">
        <v>95</v>
      </c>
      <c r="I7">
        <v>200000000</v>
      </c>
      <c r="J7" t="s">
        <v>131</v>
      </c>
      <c r="K7" t="s">
        <v>46</v>
      </c>
      <c r="L7" t="s">
        <v>130</v>
      </c>
      <c r="M7" t="s">
        <v>132</v>
      </c>
      <c r="N7">
        <v>11.921799999999999</v>
      </c>
      <c r="O7" t="s">
        <v>133</v>
      </c>
      <c r="P7" t="s">
        <v>134</v>
      </c>
      <c r="Q7" t="s">
        <v>135</v>
      </c>
      <c r="R7" t="s">
        <v>51</v>
      </c>
      <c r="S7" t="s">
        <v>136</v>
      </c>
      <c r="T7" t="s">
        <v>137</v>
      </c>
      <c r="U7" t="s">
        <v>138</v>
      </c>
      <c r="V7" t="s">
        <v>139</v>
      </c>
      <c r="W7" t="s">
        <v>140</v>
      </c>
      <c r="X7" t="s">
        <v>141</v>
      </c>
      <c r="Y7" t="s">
        <v>142</v>
      </c>
      <c r="Z7">
        <v>7.4</v>
      </c>
      <c r="AA7">
        <v>216902</v>
      </c>
      <c r="AB7" t="s">
        <v>143</v>
      </c>
      <c r="AC7">
        <v>6</v>
      </c>
      <c r="AD7">
        <v>2021</v>
      </c>
      <c r="AE7">
        <v>24</v>
      </c>
      <c r="AF7" t="s">
        <v>144</v>
      </c>
      <c r="AG7">
        <v>-20</v>
      </c>
      <c r="AH7">
        <v>17.748801273792701</v>
      </c>
      <c r="AI7">
        <v>0.84518101303775095</v>
      </c>
      <c r="AJ7" t="s">
        <v>61</v>
      </c>
      <c r="AK7" t="s">
        <v>145</v>
      </c>
      <c r="AL7">
        <v>45</v>
      </c>
      <c r="AM7">
        <v>25</v>
      </c>
      <c r="AN7">
        <v>75</v>
      </c>
      <c r="AO7">
        <v>0.33</v>
      </c>
      <c r="AP7" t="s">
        <v>63</v>
      </c>
      <c r="AQ7" t="s">
        <v>63</v>
      </c>
    </row>
    <row r="8" spans="1:43" x14ac:dyDescent="0.2">
      <c r="A8">
        <v>680813</v>
      </c>
      <c r="B8" t="s">
        <v>146</v>
      </c>
      <c r="C8">
        <v>7.8</v>
      </c>
      <c r="D8">
        <v>377</v>
      </c>
      <c r="E8" t="s">
        <v>44</v>
      </c>
      <c r="F8" s="1">
        <v>44364</v>
      </c>
      <c r="G8">
        <v>712229</v>
      </c>
      <c r="H8">
        <v>89</v>
      </c>
      <c r="I8">
        <v>3400000</v>
      </c>
      <c r="J8" t="s">
        <v>147</v>
      </c>
      <c r="K8" t="s">
        <v>148</v>
      </c>
      <c r="L8" t="s">
        <v>149</v>
      </c>
      <c r="M8" t="s">
        <v>150</v>
      </c>
      <c r="N8">
        <v>1.7816000000000001</v>
      </c>
      <c r="O8" t="s">
        <v>151</v>
      </c>
      <c r="P8" t="s">
        <v>152</v>
      </c>
      <c r="Q8" t="s">
        <v>153</v>
      </c>
      <c r="R8" t="s">
        <v>154</v>
      </c>
      <c r="S8" t="s">
        <v>155</v>
      </c>
      <c r="T8" t="s">
        <v>156</v>
      </c>
      <c r="U8" t="s">
        <v>157</v>
      </c>
      <c r="W8" t="s">
        <v>158</v>
      </c>
      <c r="X8" t="s">
        <v>159</v>
      </c>
      <c r="Y8" t="s">
        <v>160</v>
      </c>
      <c r="Z8">
        <v>7.9</v>
      </c>
      <c r="AA8">
        <v>20864</v>
      </c>
      <c r="AB8" t="s">
        <v>161</v>
      </c>
      <c r="AC8">
        <v>6</v>
      </c>
      <c r="AD8">
        <v>2021</v>
      </c>
      <c r="AE8">
        <v>24</v>
      </c>
      <c r="AF8" t="s">
        <v>162</v>
      </c>
      <c r="AG8">
        <v>-20</v>
      </c>
      <c r="AH8">
        <v>13.4761561719378</v>
      </c>
      <c r="AI8">
        <v>0.64172172247322901</v>
      </c>
      <c r="AJ8" t="s">
        <v>61</v>
      </c>
      <c r="AK8" t="s">
        <v>163</v>
      </c>
      <c r="AL8">
        <v>21</v>
      </c>
      <c r="AM8">
        <v>0</v>
      </c>
      <c r="AN8">
        <v>85</v>
      </c>
      <c r="AO8">
        <v>0</v>
      </c>
      <c r="AP8" t="s">
        <v>63</v>
      </c>
      <c r="AQ8" t="s">
        <v>63</v>
      </c>
    </row>
    <row r="9" spans="1:43" x14ac:dyDescent="0.2">
      <c r="A9">
        <v>693827</v>
      </c>
      <c r="B9" t="s">
        <v>164</v>
      </c>
      <c r="C9">
        <v>6</v>
      </c>
      <c r="D9">
        <v>152</v>
      </c>
      <c r="E9" t="s">
        <v>44</v>
      </c>
      <c r="F9" s="1">
        <v>44371</v>
      </c>
      <c r="G9">
        <v>136579</v>
      </c>
      <c r="H9">
        <v>119</v>
      </c>
      <c r="I9">
        <v>5000000</v>
      </c>
      <c r="J9" t="s">
        <v>165</v>
      </c>
      <c r="K9" t="s">
        <v>46</v>
      </c>
      <c r="L9" t="s">
        <v>164</v>
      </c>
      <c r="M9" t="s">
        <v>166</v>
      </c>
      <c r="N9">
        <v>2.0373999999999999</v>
      </c>
      <c r="O9" t="s">
        <v>167</v>
      </c>
      <c r="P9" t="s">
        <v>168</v>
      </c>
      <c r="Q9" t="s">
        <v>169</v>
      </c>
      <c r="R9" t="s">
        <v>51</v>
      </c>
      <c r="S9" t="s">
        <v>170</v>
      </c>
      <c r="T9" t="s">
        <v>171</v>
      </c>
      <c r="U9" t="s">
        <v>172</v>
      </c>
      <c r="V9" t="s">
        <v>173</v>
      </c>
      <c r="W9" t="s">
        <v>174</v>
      </c>
      <c r="X9" t="s">
        <v>175</v>
      </c>
      <c r="Y9" t="s">
        <v>176</v>
      </c>
      <c r="Z9">
        <v>6.2</v>
      </c>
      <c r="AA9">
        <v>11067</v>
      </c>
      <c r="AB9" t="s">
        <v>177</v>
      </c>
      <c r="AC9">
        <v>6</v>
      </c>
      <c r="AD9">
        <v>2021</v>
      </c>
      <c r="AE9">
        <v>25</v>
      </c>
      <c r="AF9" t="s">
        <v>178</v>
      </c>
      <c r="AG9">
        <v>-13</v>
      </c>
      <c r="AH9">
        <v>11.824665802515</v>
      </c>
      <c r="AI9">
        <v>0.84461898589393403</v>
      </c>
      <c r="AJ9" t="s">
        <v>61</v>
      </c>
      <c r="AK9" t="s">
        <v>179</v>
      </c>
      <c r="AL9">
        <v>12</v>
      </c>
      <c r="AM9">
        <v>4</v>
      </c>
      <c r="AN9">
        <v>23</v>
      </c>
      <c r="AO9">
        <v>0.17</v>
      </c>
      <c r="AP9" t="s">
        <v>63</v>
      </c>
      <c r="AQ9" t="s">
        <v>63</v>
      </c>
    </row>
    <row r="10" spans="1:43" x14ac:dyDescent="0.2">
      <c r="A10">
        <v>809717</v>
      </c>
      <c r="B10" t="s">
        <v>180</v>
      </c>
      <c r="C10">
        <v>6.4</v>
      </c>
      <c r="D10">
        <v>90</v>
      </c>
      <c r="E10" t="s">
        <v>44</v>
      </c>
      <c r="F10" s="1">
        <v>44371</v>
      </c>
      <c r="G10">
        <v>6666618</v>
      </c>
      <c r="H10">
        <v>81</v>
      </c>
      <c r="I10">
        <v>2000000</v>
      </c>
      <c r="J10" t="s">
        <v>181</v>
      </c>
      <c r="K10" t="s">
        <v>182</v>
      </c>
      <c r="L10" t="s">
        <v>183</v>
      </c>
      <c r="M10" t="s">
        <v>184</v>
      </c>
      <c r="N10">
        <v>2.9769999999999999</v>
      </c>
      <c r="O10" t="s">
        <v>185</v>
      </c>
      <c r="P10" t="s">
        <v>186</v>
      </c>
      <c r="Q10" t="s">
        <v>187</v>
      </c>
      <c r="R10" t="s">
        <v>188</v>
      </c>
      <c r="S10" t="s">
        <v>189</v>
      </c>
      <c r="T10" t="s">
        <v>190</v>
      </c>
      <c r="U10" t="s">
        <v>191</v>
      </c>
      <c r="W10" t="s">
        <v>192</v>
      </c>
      <c r="X10" t="s">
        <v>193</v>
      </c>
      <c r="Y10" t="s">
        <v>194</v>
      </c>
      <c r="Z10">
        <v>4.9000000000000004</v>
      </c>
      <c r="AA10">
        <v>732</v>
      </c>
      <c r="AB10" t="s">
        <v>195</v>
      </c>
      <c r="AC10">
        <v>6</v>
      </c>
      <c r="AD10">
        <v>2021</v>
      </c>
      <c r="AE10">
        <v>25</v>
      </c>
      <c r="AF10" t="s">
        <v>196</v>
      </c>
      <c r="AG10">
        <v>-13</v>
      </c>
      <c r="AH10">
        <v>15.712623392824501</v>
      </c>
      <c r="AI10">
        <v>1.12233024234461</v>
      </c>
      <c r="AJ10" t="s">
        <v>61</v>
      </c>
      <c r="AK10" t="s">
        <v>197</v>
      </c>
      <c r="AL10">
        <v>27</v>
      </c>
      <c r="AM10">
        <v>2</v>
      </c>
      <c r="AN10">
        <v>36</v>
      </c>
      <c r="AO10">
        <v>0.06</v>
      </c>
      <c r="AP10" t="s">
        <v>63</v>
      </c>
      <c r="AQ10" t="s">
        <v>63</v>
      </c>
    </row>
    <row r="11" spans="1:43" x14ac:dyDescent="0.2">
      <c r="A11">
        <v>800497</v>
      </c>
      <c r="B11" t="s">
        <v>198</v>
      </c>
      <c r="C11">
        <v>6</v>
      </c>
      <c r="D11">
        <v>574</v>
      </c>
      <c r="E11" t="s">
        <v>44</v>
      </c>
      <c r="F11" s="1">
        <v>44372</v>
      </c>
      <c r="G11">
        <v>937490</v>
      </c>
      <c r="H11">
        <v>97</v>
      </c>
      <c r="I11">
        <v>6500000</v>
      </c>
      <c r="J11" t="s">
        <v>199</v>
      </c>
      <c r="K11" t="s">
        <v>46</v>
      </c>
      <c r="L11" t="s">
        <v>198</v>
      </c>
      <c r="M11" t="s">
        <v>200</v>
      </c>
      <c r="N11">
        <v>2.5232999999999999</v>
      </c>
      <c r="O11" t="s">
        <v>201</v>
      </c>
      <c r="P11" t="s">
        <v>202</v>
      </c>
      <c r="Q11" t="s">
        <v>203</v>
      </c>
      <c r="R11" t="s">
        <v>51</v>
      </c>
      <c r="S11" t="s">
        <v>204</v>
      </c>
      <c r="T11" t="s">
        <v>205</v>
      </c>
      <c r="U11" t="s">
        <v>206</v>
      </c>
      <c r="V11" t="s">
        <v>207</v>
      </c>
      <c r="W11" t="s">
        <v>208</v>
      </c>
      <c r="X11" t="s">
        <v>209</v>
      </c>
      <c r="Y11" t="s">
        <v>210</v>
      </c>
      <c r="Z11">
        <v>6</v>
      </c>
      <c r="AA11">
        <v>28426</v>
      </c>
      <c r="AB11" t="s">
        <v>211</v>
      </c>
      <c r="AC11">
        <v>6</v>
      </c>
      <c r="AD11">
        <v>2021</v>
      </c>
      <c r="AE11">
        <v>25</v>
      </c>
      <c r="AF11" t="s">
        <v>212</v>
      </c>
      <c r="AG11">
        <v>-12</v>
      </c>
      <c r="AH11">
        <v>13.7509624367806</v>
      </c>
      <c r="AI11">
        <v>1.05776634129081</v>
      </c>
      <c r="AJ11" t="s">
        <v>61</v>
      </c>
      <c r="AK11" t="s">
        <v>213</v>
      </c>
      <c r="AL11">
        <v>13</v>
      </c>
      <c r="AM11">
        <v>8</v>
      </c>
      <c r="AN11">
        <v>33</v>
      </c>
      <c r="AO11">
        <v>0.24</v>
      </c>
      <c r="AP11" t="s">
        <v>63</v>
      </c>
      <c r="AQ11" t="s">
        <v>63</v>
      </c>
    </row>
    <row r="12" spans="1:43" x14ac:dyDescent="0.2">
      <c r="A12">
        <v>539565</v>
      </c>
      <c r="B12" t="s">
        <v>214</v>
      </c>
      <c r="C12">
        <v>6.2</v>
      </c>
      <c r="D12">
        <v>251</v>
      </c>
      <c r="E12" t="s">
        <v>44</v>
      </c>
      <c r="F12" s="1">
        <v>44377</v>
      </c>
      <c r="G12">
        <v>3500000</v>
      </c>
      <c r="H12">
        <v>86</v>
      </c>
      <c r="I12">
        <v>5000000</v>
      </c>
      <c r="J12" t="s">
        <v>215</v>
      </c>
      <c r="K12" t="s">
        <v>46</v>
      </c>
      <c r="L12" t="s">
        <v>214</v>
      </c>
      <c r="M12" t="s">
        <v>216</v>
      </c>
      <c r="N12">
        <v>5.1852</v>
      </c>
      <c r="O12" t="s">
        <v>217</v>
      </c>
      <c r="P12" t="s">
        <v>218</v>
      </c>
      <c r="Q12" t="s">
        <v>219</v>
      </c>
      <c r="R12" t="s">
        <v>51</v>
      </c>
      <c r="S12" t="s">
        <v>103</v>
      </c>
      <c r="T12" t="s">
        <v>220</v>
      </c>
      <c r="U12" t="s">
        <v>221</v>
      </c>
      <c r="V12" t="s">
        <v>222</v>
      </c>
      <c r="W12" t="s">
        <v>223</v>
      </c>
      <c r="X12" t="s">
        <v>224</v>
      </c>
      <c r="Y12" t="s">
        <v>225</v>
      </c>
      <c r="Z12">
        <v>6.4</v>
      </c>
      <c r="AA12">
        <v>19590</v>
      </c>
      <c r="AB12" t="s">
        <v>226</v>
      </c>
      <c r="AC12">
        <v>6</v>
      </c>
      <c r="AD12">
        <v>2021</v>
      </c>
      <c r="AE12">
        <v>26</v>
      </c>
      <c r="AF12" t="s">
        <v>227</v>
      </c>
      <c r="AG12">
        <v>-7</v>
      </c>
      <c r="AH12">
        <v>15.0682738121738</v>
      </c>
      <c r="AI12">
        <v>1.8835342265217301</v>
      </c>
      <c r="AJ12" t="s">
        <v>61</v>
      </c>
      <c r="AK12" t="s">
        <v>228</v>
      </c>
      <c r="AL12">
        <v>7</v>
      </c>
      <c r="AM12">
        <v>5</v>
      </c>
      <c r="AN12">
        <v>28</v>
      </c>
      <c r="AO12">
        <v>0.18</v>
      </c>
      <c r="AP12" t="s">
        <v>63</v>
      </c>
      <c r="AQ12" t="s">
        <v>63</v>
      </c>
    </row>
    <row r="13" spans="1:43" x14ac:dyDescent="0.2">
      <c r="A13">
        <v>602223</v>
      </c>
      <c r="B13" t="s">
        <v>229</v>
      </c>
      <c r="C13">
        <v>6.9</v>
      </c>
      <c r="D13">
        <v>2598</v>
      </c>
      <c r="E13" t="s">
        <v>44</v>
      </c>
      <c r="F13" s="1">
        <v>44377</v>
      </c>
      <c r="G13">
        <v>76994245</v>
      </c>
      <c r="H13">
        <v>103</v>
      </c>
      <c r="I13">
        <v>18000000</v>
      </c>
      <c r="J13" t="s">
        <v>230</v>
      </c>
      <c r="K13" t="s">
        <v>46</v>
      </c>
      <c r="L13" t="s">
        <v>229</v>
      </c>
      <c r="M13" t="s">
        <v>231</v>
      </c>
      <c r="N13">
        <v>7.8070000000000004</v>
      </c>
      <c r="O13" t="s">
        <v>232</v>
      </c>
      <c r="P13" t="s">
        <v>233</v>
      </c>
      <c r="Q13" t="s">
        <v>234</v>
      </c>
      <c r="R13" t="s">
        <v>51</v>
      </c>
      <c r="S13" t="s">
        <v>204</v>
      </c>
      <c r="T13" t="s">
        <v>235</v>
      </c>
      <c r="U13" t="s">
        <v>236</v>
      </c>
      <c r="V13" t="s">
        <v>237</v>
      </c>
      <c r="W13" t="s">
        <v>238</v>
      </c>
      <c r="X13" t="s">
        <v>239</v>
      </c>
      <c r="Y13" t="s">
        <v>240</v>
      </c>
      <c r="Z13">
        <v>5.4</v>
      </c>
      <c r="AA13">
        <v>47675</v>
      </c>
      <c r="AB13" t="s">
        <v>241</v>
      </c>
      <c r="AC13">
        <v>6</v>
      </c>
      <c r="AD13">
        <v>2021</v>
      </c>
      <c r="AE13">
        <v>26</v>
      </c>
      <c r="AF13" t="s">
        <v>242</v>
      </c>
      <c r="AG13">
        <v>-7</v>
      </c>
      <c r="AH13">
        <v>18.159241249752998</v>
      </c>
      <c r="AI13">
        <v>2.2699051562191199</v>
      </c>
      <c r="AJ13" t="s">
        <v>61</v>
      </c>
      <c r="AK13" t="s">
        <v>243</v>
      </c>
      <c r="AL13">
        <v>42</v>
      </c>
      <c r="AM13">
        <v>4</v>
      </c>
      <c r="AN13">
        <v>55</v>
      </c>
      <c r="AO13">
        <v>7.0000000000000007E-2</v>
      </c>
      <c r="AP13" t="s">
        <v>63</v>
      </c>
      <c r="AQ13" t="s">
        <v>63</v>
      </c>
    </row>
    <row r="14" spans="1:43" x14ac:dyDescent="0.2">
      <c r="A14">
        <v>459151</v>
      </c>
      <c r="B14" t="s">
        <v>244</v>
      </c>
      <c r="C14">
        <v>7.3</v>
      </c>
      <c r="D14">
        <v>2633</v>
      </c>
      <c r="E14" t="s">
        <v>44</v>
      </c>
      <c r="F14" s="1">
        <v>44378</v>
      </c>
      <c r="G14">
        <v>146745280</v>
      </c>
      <c r="H14">
        <v>107</v>
      </c>
      <c r="I14">
        <v>82000000</v>
      </c>
      <c r="J14" t="s">
        <v>245</v>
      </c>
      <c r="K14" t="s">
        <v>46</v>
      </c>
      <c r="L14" t="s">
        <v>244</v>
      </c>
      <c r="M14" t="s">
        <v>246</v>
      </c>
      <c r="N14">
        <v>6.8295000000000003</v>
      </c>
      <c r="O14" t="s">
        <v>247</v>
      </c>
      <c r="P14" t="s">
        <v>248</v>
      </c>
      <c r="Q14" t="s">
        <v>249</v>
      </c>
      <c r="R14" t="s">
        <v>51</v>
      </c>
      <c r="S14" t="s">
        <v>204</v>
      </c>
      <c r="T14" t="s">
        <v>250</v>
      </c>
      <c r="U14" t="s">
        <v>251</v>
      </c>
      <c r="W14" t="s">
        <v>252</v>
      </c>
      <c r="X14" t="s">
        <v>253</v>
      </c>
      <c r="Y14" t="s">
        <v>254</v>
      </c>
      <c r="Z14">
        <v>5.9</v>
      </c>
      <c r="AA14">
        <v>25495</v>
      </c>
      <c r="AB14" t="s">
        <v>255</v>
      </c>
      <c r="AC14">
        <v>7</v>
      </c>
      <c r="AD14">
        <v>2021</v>
      </c>
      <c r="AE14">
        <v>26</v>
      </c>
      <c r="AF14" t="s">
        <v>256</v>
      </c>
      <c r="AG14">
        <v>-6</v>
      </c>
      <c r="AH14">
        <v>18.8042088594263</v>
      </c>
      <c r="AI14">
        <v>2.6863155513466102</v>
      </c>
      <c r="AJ14" t="s">
        <v>61</v>
      </c>
      <c r="AK14" t="s">
        <v>257</v>
      </c>
      <c r="AL14">
        <v>53</v>
      </c>
      <c r="AM14">
        <v>1</v>
      </c>
      <c r="AN14">
        <v>54</v>
      </c>
      <c r="AO14">
        <v>0.02</v>
      </c>
      <c r="AP14" t="s">
        <v>63</v>
      </c>
      <c r="AQ14" t="s">
        <v>63</v>
      </c>
    </row>
    <row r="15" spans="1:43" hidden="1" x14ac:dyDescent="0.2">
      <c r="A15">
        <v>481879</v>
      </c>
      <c r="B15" t="s">
        <v>258</v>
      </c>
      <c r="C15">
        <v>5.3</v>
      </c>
      <c r="D15">
        <v>139</v>
      </c>
      <c r="E15" t="s">
        <v>44</v>
      </c>
      <c r="F15" s="1">
        <v>44378</v>
      </c>
      <c r="G15">
        <v>31395</v>
      </c>
      <c r="H15">
        <v>92</v>
      </c>
      <c r="I15">
        <v>4000000</v>
      </c>
      <c r="J15" t="s">
        <v>259</v>
      </c>
      <c r="K15" t="s">
        <v>46</v>
      </c>
      <c r="L15" t="s">
        <v>258</v>
      </c>
      <c r="M15" t="s">
        <v>260</v>
      </c>
      <c r="N15">
        <v>2.665</v>
      </c>
      <c r="O15" t="s">
        <v>261</v>
      </c>
      <c r="P15" t="s">
        <v>262</v>
      </c>
      <c r="Q15" t="s">
        <v>263</v>
      </c>
      <c r="R15" t="s">
        <v>51</v>
      </c>
      <c r="S15" t="s">
        <v>136</v>
      </c>
      <c r="T15" t="s">
        <v>264</v>
      </c>
      <c r="U15" t="s">
        <v>265</v>
      </c>
      <c r="V15" t="s">
        <v>266</v>
      </c>
      <c r="W15" t="s">
        <v>267</v>
      </c>
      <c r="X15" t="s">
        <v>268</v>
      </c>
      <c r="Y15" t="s">
        <v>269</v>
      </c>
      <c r="Z15">
        <v>4.5</v>
      </c>
      <c r="AA15">
        <v>5063</v>
      </c>
      <c r="AB15" t="s">
        <v>270</v>
      </c>
      <c r="AC15">
        <v>7</v>
      </c>
      <c r="AD15">
        <v>2021</v>
      </c>
      <c r="AE15">
        <v>26</v>
      </c>
      <c r="AF15" t="s">
        <v>271</v>
      </c>
      <c r="AG15">
        <v>-6</v>
      </c>
      <c r="AH15">
        <v>10.354435775246699</v>
      </c>
      <c r="AI15">
        <v>1.4792051107495201</v>
      </c>
      <c r="AJ15" t="s">
        <v>61</v>
      </c>
      <c r="AK15" t="s">
        <v>272</v>
      </c>
      <c r="AL15">
        <v>7</v>
      </c>
      <c r="AM15">
        <v>10</v>
      </c>
      <c r="AN15">
        <v>23</v>
      </c>
      <c r="AO15">
        <v>0.43</v>
      </c>
      <c r="AP15" t="s">
        <v>273</v>
      </c>
      <c r="AQ15" t="s">
        <v>63</v>
      </c>
    </row>
    <row r="16" spans="1:43" x14ac:dyDescent="0.2">
      <c r="A16">
        <v>585216</v>
      </c>
      <c r="B16" t="s">
        <v>274</v>
      </c>
      <c r="C16">
        <v>6.5</v>
      </c>
      <c r="D16">
        <v>2165</v>
      </c>
      <c r="E16" t="s">
        <v>44</v>
      </c>
      <c r="F16" s="1">
        <v>44378</v>
      </c>
      <c r="G16">
        <v>65774490</v>
      </c>
      <c r="H16">
        <v>88</v>
      </c>
      <c r="I16">
        <v>15000000</v>
      </c>
      <c r="J16" t="s">
        <v>275</v>
      </c>
      <c r="K16" t="s">
        <v>46</v>
      </c>
      <c r="L16" t="s">
        <v>274</v>
      </c>
      <c r="M16" t="s">
        <v>276</v>
      </c>
      <c r="N16">
        <v>5.6528999999999998</v>
      </c>
      <c r="O16" t="s">
        <v>277</v>
      </c>
      <c r="P16" t="s">
        <v>278</v>
      </c>
      <c r="Q16" t="s">
        <v>279</v>
      </c>
      <c r="R16" t="s">
        <v>51</v>
      </c>
      <c r="S16" t="s">
        <v>204</v>
      </c>
      <c r="T16" t="s">
        <v>280</v>
      </c>
      <c r="U16" t="s">
        <v>281</v>
      </c>
      <c r="V16" t="s">
        <v>282</v>
      </c>
      <c r="W16" t="s">
        <v>283</v>
      </c>
      <c r="X16" t="s">
        <v>284</v>
      </c>
      <c r="Y16" t="s">
        <v>285</v>
      </c>
      <c r="Z16">
        <v>5.7</v>
      </c>
      <c r="AA16">
        <v>66791</v>
      </c>
      <c r="AB16" t="s">
        <v>286</v>
      </c>
      <c r="AC16">
        <v>7</v>
      </c>
      <c r="AD16">
        <v>2021</v>
      </c>
      <c r="AE16">
        <v>26</v>
      </c>
      <c r="AF16" t="s">
        <v>287</v>
      </c>
      <c r="AG16">
        <v>-6</v>
      </c>
      <c r="AH16">
        <v>18.001742646358199</v>
      </c>
      <c r="AI16">
        <v>2.57167752090831</v>
      </c>
      <c r="AJ16" t="s">
        <v>61</v>
      </c>
      <c r="AK16" t="s">
        <v>288</v>
      </c>
      <c r="AL16">
        <v>82</v>
      </c>
      <c r="AM16">
        <v>3</v>
      </c>
      <c r="AN16">
        <v>88</v>
      </c>
      <c r="AO16">
        <v>0.03</v>
      </c>
      <c r="AP16" t="s">
        <v>63</v>
      </c>
      <c r="AQ16" t="s">
        <v>63</v>
      </c>
    </row>
    <row r="17" spans="1:43" x14ac:dyDescent="0.2">
      <c r="A17">
        <v>379686</v>
      </c>
      <c r="B17" t="s">
        <v>289</v>
      </c>
      <c r="C17">
        <v>6.7</v>
      </c>
      <c r="D17">
        <v>4132</v>
      </c>
      <c r="E17" t="s">
        <v>44</v>
      </c>
      <c r="F17" s="1">
        <v>44385</v>
      </c>
      <c r="G17">
        <v>163692228</v>
      </c>
      <c r="H17">
        <v>115</v>
      </c>
      <c r="I17">
        <v>150000000</v>
      </c>
      <c r="J17" t="s">
        <v>290</v>
      </c>
      <c r="K17" t="s">
        <v>46</v>
      </c>
      <c r="L17" t="s">
        <v>289</v>
      </c>
      <c r="M17" t="s">
        <v>291</v>
      </c>
      <c r="N17">
        <v>4.0217999999999998</v>
      </c>
      <c r="O17" t="s">
        <v>292</v>
      </c>
      <c r="P17" t="s">
        <v>293</v>
      </c>
      <c r="Q17" t="s">
        <v>294</v>
      </c>
      <c r="R17" t="s">
        <v>51</v>
      </c>
      <c r="S17" t="s">
        <v>204</v>
      </c>
      <c r="T17" t="s">
        <v>295</v>
      </c>
      <c r="U17" t="s">
        <v>296</v>
      </c>
      <c r="V17" t="s">
        <v>297</v>
      </c>
      <c r="W17" t="s">
        <v>298</v>
      </c>
      <c r="X17" t="s">
        <v>299</v>
      </c>
      <c r="Y17" t="s">
        <v>300</v>
      </c>
      <c r="Z17">
        <v>4.5</v>
      </c>
      <c r="AA17">
        <v>85330</v>
      </c>
      <c r="AB17" t="s">
        <v>301</v>
      </c>
      <c r="AC17">
        <v>7</v>
      </c>
      <c r="AD17">
        <v>2021</v>
      </c>
      <c r="AE17">
        <v>27</v>
      </c>
      <c r="AF17" t="s">
        <v>302</v>
      </c>
      <c r="AG17">
        <v>1</v>
      </c>
      <c r="AH17">
        <v>18.913498570230999</v>
      </c>
      <c r="AI17">
        <v>9.4567492851155297</v>
      </c>
      <c r="AJ17" t="s">
        <v>61</v>
      </c>
      <c r="AK17" t="s">
        <v>303</v>
      </c>
      <c r="AL17">
        <v>51</v>
      </c>
      <c r="AM17">
        <v>4</v>
      </c>
      <c r="AN17">
        <v>57</v>
      </c>
      <c r="AO17">
        <v>7.0000000000000007E-2</v>
      </c>
      <c r="AP17" t="s">
        <v>63</v>
      </c>
      <c r="AQ17" t="s">
        <v>63</v>
      </c>
    </row>
    <row r="18" spans="1:43" x14ac:dyDescent="0.2">
      <c r="A18">
        <v>800823</v>
      </c>
      <c r="B18" t="s">
        <v>304</v>
      </c>
      <c r="C18">
        <v>5.7</v>
      </c>
      <c r="D18">
        <v>157</v>
      </c>
      <c r="E18" t="s">
        <v>44</v>
      </c>
      <c r="F18" s="1">
        <v>44385</v>
      </c>
      <c r="G18">
        <v>9600000</v>
      </c>
      <c r="H18">
        <v>89</v>
      </c>
      <c r="I18">
        <v>5300000</v>
      </c>
      <c r="J18" t="s">
        <v>305</v>
      </c>
      <c r="K18" t="s">
        <v>306</v>
      </c>
      <c r="L18" t="s">
        <v>307</v>
      </c>
      <c r="M18" t="s">
        <v>308</v>
      </c>
      <c r="N18">
        <v>1.6092</v>
      </c>
      <c r="O18" t="s">
        <v>309</v>
      </c>
      <c r="P18" t="s">
        <v>310</v>
      </c>
      <c r="Q18" t="s">
        <v>311</v>
      </c>
      <c r="R18" t="s">
        <v>312</v>
      </c>
      <c r="S18" t="s">
        <v>313</v>
      </c>
      <c r="T18" t="s">
        <v>314</v>
      </c>
      <c r="U18" t="s">
        <v>315</v>
      </c>
      <c r="V18" t="s">
        <v>316</v>
      </c>
      <c r="W18" t="s">
        <v>317</v>
      </c>
      <c r="X18" t="s">
        <v>318</v>
      </c>
      <c r="Y18" t="s">
        <v>319</v>
      </c>
      <c r="Z18">
        <v>5.3</v>
      </c>
      <c r="AA18">
        <v>1478</v>
      </c>
      <c r="AB18" t="s">
        <v>320</v>
      </c>
      <c r="AC18">
        <v>7</v>
      </c>
      <c r="AD18">
        <v>2021</v>
      </c>
      <c r="AE18">
        <v>27</v>
      </c>
      <c r="AF18" t="s">
        <v>321</v>
      </c>
      <c r="AG18">
        <v>1</v>
      </c>
      <c r="AH18">
        <v>16.077273760604701</v>
      </c>
      <c r="AI18">
        <v>8.0386368803023593</v>
      </c>
      <c r="AJ18" t="s">
        <v>61</v>
      </c>
      <c r="AK18" t="s">
        <v>322</v>
      </c>
      <c r="AL18">
        <v>1</v>
      </c>
      <c r="AM18">
        <v>1</v>
      </c>
      <c r="AN18">
        <v>7</v>
      </c>
      <c r="AO18">
        <v>0.14000000000000001</v>
      </c>
      <c r="AP18" t="s">
        <v>63</v>
      </c>
      <c r="AQ18" t="s">
        <v>63</v>
      </c>
    </row>
    <row r="19" spans="1:43" x14ac:dyDescent="0.2">
      <c r="A19">
        <v>454527</v>
      </c>
      <c r="B19" t="s">
        <v>323</v>
      </c>
      <c r="C19">
        <v>6.6</v>
      </c>
      <c r="D19">
        <v>1095</v>
      </c>
      <c r="E19" t="s">
        <v>44</v>
      </c>
      <c r="F19" s="1">
        <v>44386</v>
      </c>
      <c r="G19">
        <v>2652725</v>
      </c>
      <c r="H19">
        <v>131</v>
      </c>
      <c r="I19">
        <v>24350000</v>
      </c>
      <c r="J19" t="s">
        <v>324</v>
      </c>
      <c r="K19" t="s">
        <v>82</v>
      </c>
      <c r="L19" t="s">
        <v>323</v>
      </c>
      <c r="M19" t="s">
        <v>325</v>
      </c>
      <c r="N19">
        <v>6.3743999999999996</v>
      </c>
      <c r="O19" t="s">
        <v>326</v>
      </c>
      <c r="P19" t="s">
        <v>327</v>
      </c>
      <c r="Q19" t="s">
        <v>328</v>
      </c>
      <c r="R19" t="s">
        <v>329</v>
      </c>
      <c r="S19" t="s">
        <v>330</v>
      </c>
      <c r="T19" t="s">
        <v>331</v>
      </c>
      <c r="U19" t="s">
        <v>332</v>
      </c>
      <c r="V19" t="s">
        <v>333</v>
      </c>
      <c r="W19" t="s">
        <v>334</v>
      </c>
      <c r="X19" t="s">
        <v>335</v>
      </c>
      <c r="Y19" t="s">
        <v>336</v>
      </c>
      <c r="Z19">
        <v>6.7</v>
      </c>
      <c r="AA19">
        <v>28943</v>
      </c>
      <c r="AB19" t="s">
        <v>337</v>
      </c>
      <c r="AC19">
        <v>7</v>
      </c>
      <c r="AD19">
        <v>2021</v>
      </c>
      <c r="AE19">
        <v>27</v>
      </c>
      <c r="AF19" t="s">
        <v>338</v>
      </c>
      <c r="AG19">
        <v>2</v>
      </c>
      <c r="AH19">
        <v>14.7910983484797</v>
      </c>
      <c r="AI19">
        <v>4.9303661161599104</v>
      </c>
      <c r="AJ19" t="s">
        <v>61</v>
      </c>
      <c r="AK19" t="s">
        <v>339</v>
      </c>
      <c r="AL19">
        <v>31</v>
      </c>
      <c r="AM19">
        <v>5</v>
      </c>
      <c r="AN19">
        <v>70</v>
      </c>
      <c r="AO19">
        <v>7.0000000000000007E-2</v>
      </c>
      <c r="AP19" t="s">
        <v>63</v>
      </c>
      <c r="AQ19" t="s">
        <v>63</v>
      </c>
    </row>
    <row r="20" spans="1:43" x14ac:dyDescent="0.2">
      <c r="A20">
        <v>611408</v>
      </c>
      <c r="B20" t="s">
        <v>340</v>
      </c>
      <c r="C20">
        <v>5.0999999999999996</v>
      </c>
      <c r="D20">
        <v>186</v>
      </c>
      <c r="E20" t="s">
        <v>44</v>
      </c>
      <c r="F20" s="1">
        <v>44391</v>
      </c>
      <c r="G20">
        <v>1453459</v>
      </c>
      <c r="H20">
        <v>89</v>
      </c>
      <c r="I20">
        <v>16438275</v>
      </c>
      <c r="J20" t="s">
        <v>341</v>
      </c>
      <c r="K20" t="s">
        <v>82</v>
      </c>
      <c r="L20" t="s">
        <v>342</v>
      </c>
      <c r="M20" t="s">
        <v>343</v>
      </c>
      <c r="N20">
        <v>2.2823000000000002</v>
      </c>
      <c r="O20" t="s">
        <v>344</v>
      </c>
      <c r="P20" t="s">
        <v>218</v>
      </c>
      <c r="Q20" t="s">
        <v>345</v>
      </c>
      <c r="R20" t="s">
        <v>346</v>
      </c>
      <c r="S20" t="s">
        <v>347</v>
      </c>
      <c r="T20" t="s">
        <v>348</v>
      </c>
      <c r="U20" t="s">
        <v>349</v>
      </c>
      <c r="V20" t="s">
        <v>350</v>
      </c>
      <c r="W20" t="s">
        <v>351</v>
      </c>
      <c r="X20" t="s">
        <v>352</v>
      </c>
      <c r="Y20" t="s">
        <v>353</v>
      </c>
      <c r="Z20">
        <v>5</v>
      </c>
      <c r="AA20">
        <v>2020</v>
      </c>
      <c r="AB20" t="s">
        <v>354</v>
      </c>
      <c r="AC20">
        <v>7</v>
      </c>
      <c r="AD20">
        <v>2021</v>
      </c>
      <c r="AE20">
        <v>28</v>
      </c>
      <c r="AF20" t="s">
        <v>355</v>
      </c>
      <c r="AG20">
        <v>7</v>
      </c>
      <c r="AH20">
        <v>14.189457478822501</v>
      </c>
      <c r="AI20">
        <v>1.7736821848528099</v>
      </c>
      <c r="AJ20" t="s">
        <v>61</v>
      </c>
      <c r="AK20" t="s">
        <v>356</v>
      </c>
      <c r="AL20">
        <v>13</v>
      </c>
      <c r="AM20">
        <v>1</v>
      </c>
      <c r="AN20">
        <v>15</v>
      </c>
      <c r="AO20">
        <v>7.0000000000000007E-2</v>
      </c>
      <c r="AP20" t="s">
        <v>63</v>
      </c>
      <c r="AQ20" t="s">
        <v>63</v>
      </c>
    </row>
    <row r="21" spans="1:43" x14ac:dyDescent="0.2">
      <c r="A21">
        <v>635731</v>
      </c>
      <c r="B21" t="s">
        <v>357</v>
      </c>
      <c r="C21">
        <v>6.7</v>
      </c>
      <c r="D21">
        <v>1598</v>
      </c>
      <c r="E21" t="s">
        <v>44</v>
      </c>
      <c r="F21" s="1">
        <v>44393</v>
      </c>
      <c r="G21">
        <v>4638959</v>
      </c>
      <c r="H21">
        <v>92</v>
      </c>
      <c r="I21">
        <v>3000000</v>
      </c>
      <c r="J21" t="s">
        <v>358</v>
      </c>
      <c r="K21" t="s">
        <v>46</v>
      </c>
      <c r="L21" t="s">
        <v>357</v>
      </c>
      <c r="M21" t="s">
        <v>359</v>
      </c>
      <c r="N21">
        <v>3.6112000000000002</v>
      </c>
      <c r="O21" t="s">
        <v>360</v>
      </c>
      <c r="P21" t="s">
        <v>361</v>
      </c>
      <c r="Q21" t="s">
        <v>362</v>
      </c>
      <c r="R21" t="s">
        <v>363</v>
      </c>
      <c r="S21" t="s">
        <v>204</v>
      </c>
      <c r="T21" t="s">
        <v>364</v>
      </c>
      <c r="U21" t="s">
        <v>365</v>
      </c>
      <c r="V21" t="s">
        <v>366</v>
      </c>
      <c r="W21" t="s">
        <v>367</v>
      </c>
      <c r="X21" t="s">
        <v>368</v>
      </c>
      <c r="Y21" t="s">
        <v>369</v>
      </c>
      <c r="Z21">
        <v>6.9</v>
      </c>
      <c r="AA21">
        <v>102292</v>
      </c>
      <c r="AB21" t="s">
        <v>370</v>
      </c>
      <c r="AC21">
        <v>7</v>
      </c>
      <c r="AD21">
        <v>2021</v>
      </c>
      <c r="AE21">
        <v>28</v>
      </c>
      <c r="AF21" t="s">
        <v>371</v>
      </c>
      <c r="AG21">
        <v>9</v>
      </c>
      <c r="AH21">
        <v>15.350000761148699</v>
      </c>
      <c r="AI21">
        <v>1.5350000761148701</v>
      </c>
      <c r="AJ21" t="s">
        <v>61</v>
      </c>
      <c r="AK21" t="s">
        <v>372</v>
      </c>
      <c r="AL21">
        <v>23</v>
      </c>
      <c r="AM21">
        <v>6</v>
      </c>
      <c r="AN21">
        <v>56</v>
      </c>
      <c r="AO21">
        <v>0.11</v>
      </c>
      <c r="AP21" t="s">
        <v>63</v>
      </c>
      <c r="AQ21" t="s">
        <v>63</v>
      </c>
    </row>
    <row r="22" spans="1:43" x14ac:dyDescent="0.2">
      <c r="A22">
        <v>577242</v>
      </c>
      <c r="B22" t="s">
        <v>373</v>
      </c>
      <c r="C22">
        <v>6.609</v>
      </c>
      <c r="D22">
        <v>720</v>
      </c>
      <c r="E22" t="s">
        <v>44</v>
      </c>
      <c r="F22" s="1">
        <v>44398</v>
      </c>
      <c r="G22">
        <v>19002036</v>
      </c>
      <c r="H22">
        <v>120</v>
      </c>
      <c r="I22">
        <v>17516235</v>
      </c>
      <c r="J22" t="s">
        <v>374</v>
      </c>
      <c r="K22" t="s">
        <v>82</v>
      </c>
      <c r="L22" t="s">
        <v>375</v>
      </c>
      <c r="M22" t="s">
        <v>376</v>
      </c>
      <c r="N22">
        <v>2.0914000000000001</v>
      </c>
      <c r="O22" t="s">
        <v>377</v>
      </c>
      <c r="P22" t="s">
        <v>378</v>
      </c>
      <c r="Q22" t="s">
        <v>379</v>
      </c>
      <c r="R22" t="s">
        <v>87</v>
      </c>
      <c r="S22" t="s">
        <v>347</v>
      </c>
      <c r="T22" t="s">
        <v>380</v>
      </c>
      <c r="U22" t="s">
        <v>381</v>
      </c>
      <c r="V22" t="s">
        <v>382</v>
      </c>
      <c r="W22" t="s">
        <v>381</v>
      </c>
      <c r="X22" t="s">
        <v>383</v>
      </c>
      <c r="Y22" t="s">
        <v>381</v>
      </c>
      <c r="Z22">
        <v>6.1</v>
      </c>
      <c r="AA22">
        <v>4549</v>
      </c>
      <c r="AB22" t="s">
        <v>384</v>
      </c>
      <c r="AC22">
        <v>7</v>
      </c>
      <c r="AD22">
        <v>2021</v>
      </c>
      <c r="AE22">
        <v>29</v>
      </c>
      <c r="AF22" t="s">
        <v>385</v>
      </c>
      <c r="AG22">
        <v>14</v>
      </c>
      <c r="AH22">
        <v>16.760056741910301</v>
      </c>
      <c r="AI22">
        <v>1.11733711612735</v>
      </c>
      <c r="AJ22" t="s">
        <v>61</v>
      </c>
      <c r="AK22" t="s">
        <v>386</v>
      </c>
      <c r="AL22">
        <v>20</v>
      </c>
      <c r="AM22">
        <v>13</v>
      </c>
      <c r="AN22">
        <v>42</v>
      </c>
      <c r="AO22">
        <v>0.31</v>
      </c>
      <c r="AP22" t="s">
        <v>63</v>
      </c>
      <c r="AQ22" t="s">
        <v>63</v>
      </c>
    </row>
    <row r="23" spans="1:43" x14ac:dyDescent="0.2">
      <c r="A23">
        <v>631843</v>
      </c>
      <c r="B23" t="s">
        <v>387</v>
      </c>
      <c r="C23">
        <v>6.3</v>
      </c>
      <c r="D23">
        <v>4701</v>
      </c>
      <c r="E23" t="s">
        <v>44</v>
      </c>
      <c r="F23" s="1">
        <v>44398</v>
      </c>
      <c r="G23">
        <v>90146510</v>
      </c>
      <c r="H23">
        <v>108</v>
      </c>
      <c r="I23">
        <v>18000000</v>
      </c>
      <c r="J23" t="s">
        <v>388</v>
      </c>
      <c r="K23" t="s">
        <v>46</v>
      </c>
      <c r="L23" t="s">
        <v>387</v>
      </c>
      <c r="M23" t="s">
        <v>389</v>
      </c>
      <c r="N23">
        <v>8.5070999999999994</v>
      </c>
      <c r="O23" t="s">
        <v>390</v>
      </c>
      <c r="P23" t="s">
        <v>391</v>
      </c>
      <c r="Q23" t="s">
        <v>392</v>
      </c>
      <c r="R23" t="s">
        <v>393</v>
      </c>
      <c r="S23" t="s">
        <v>204</v>
      </c>
      <c r="T23" t="s">
        <v>394</v>
      </c>
      <c r="U23" t="s">
        <v>395</v>
      </c>
      <c r="V23" t="s">
        <v>396</v>
      </c>
      <c r="W23" t="s">
        <v>397</v>
      </c>
      <c r="X23" t="s">
        <v>398</v>
      </c>
      <c r="Y23" t="s">
        <v>399</v>
      </c>
      <c r="Z23">
        <v>5.8</v>
      </c>
      <c r="AA23">
        <v>180386</v>
      </c>
      <c r="AB23" t="s">
        <v>400</v>
      </c>
      <c r="AC23">
        <v>7</v>
      </c>
      <c r="AD23">
        <v>2021</v>
      </c>
      <c r="AE23">
        <v>29</v>
      </c>
      <c r="AF23" t="s">
        <v>401</v>
      </c>
      <c r="AG23">
        <v>14</v>
      </c>
      <c r="AH23">
        <v>18.316946804701502</v>
      </c>
      <c r="AI23">
        <v>1.2211297869801001</v>
      </c>
      <c r="AJ23" t="s">
        <v>61</v>
      </c>
      <c r="AK23" t="s">
        <v>402</v>
      </c>
      <c r="AL23">
        <v>80</v>
      </c>
      <c r="AM23">
        <v>0</v>
      </c>
      <c r="AN23">
        <v>86</v>
      </c>
      <c r="AO23">
        <v>0</v>
      </c>
      <c r="AP23" t="s">
        <v>63</v>
      </c>
      <c r="AQ23" t="s">
        <v>63</v>
      </c>
    </row>
    <row r="24" spans="1:43" x14ac:dyDescent="0.2">
      <c r="A24">
        <v>568620</v>
      </c>
      <c r="B24" t="s">
        <v>403</v>
      </c>
      <c r="C24">
        <v>6.5</v>
      </c>
      <c r="D24">
        <v>1647</v>
      </c>
      <c r="E24" t="s">
        <v>44</v>
      </c>
      <c r="F24" s="1">
        <v>44399</v>
      </c>
      <c r="G24">
        <v>36964325</v>
      </c>
      <c r="H24">
        <v>121</v>
      </c>
      <c r="I24">
        <v>88000000</v>
      </c>
      <c r="J24" t="s">
        <v>404</v>
      </c>
      <c r="K24" t="s">
        <v>46</v>
      </c>
      <c r="L24" t="s">
        <v>403</v>
      </c>
      <c r="M24" t="s">
        <v>405</v>
      </c>
      <c r="N24">
        <v>5.8483000000000001</v>
      </c>
      <c r="O24" t="s">
        <v>406</v>
      </c>
      <c r="P24" t="s">
        <v>407</v>
      </c>
      <c r="Q24" t="s">
        <v>408</v>
      </c>
      <c r="R24" t="s">
        <v>409</v>
      </c>
      <c r="S24" t="s">
        <v>410</v>
      </c>
      <c r="T24" t="s">
        <v>411</v>
      </c>
      <c r="U24" t="s">
        <v>412</v>
      </c>
      <c r="V24" t="s">
        <v>413</v>
      </c>
      <c r="W24" t="s">
        <v>414</v>
      </c>
      <c r="X24" t="s">
        <v>415</v>
      </c>
      <c r="Y24" t="s">
        <v>416</v>
      </c>
      <c r="Z24">
        <v>5.4</v>
      </c>
      <c r="AA24">
        <v>47473</v>
      </c>
      <c r="AB24" t="s">
        <v>417</v>
      </c>
      <c r="AC24">
        <v>7</v>
      </c>
      <c r="AD24">
        <v>2021</v>
      </c>
      <c r="AE24">
        <v>29</v>
      </c>
      <c r="AF24" t="s">
        <v>418</v>
      </c>
      <c r="AG24">
        <v>15</v>
      </c>
      <c r="AH24">
        <v>17.425463843343</v>
      </c>
      <c r="AI24">
        <v>1.0890914902089299</v>
      </c>
      <c r="AJ24" t="s">
        <v>61</v>
      </c>
      <c r="AK24" t="s">
        <v>419</v>
      </c>
      <c r="AL24">
        <v>53</v>
      </c>
      <c r="AM24">
        <v>2</v>
      </c>
      <c r="AN24">
        <v>58</v>
      </c>
      <c r="AO24">
        <v>0.03</v>
      </c>
      <c r="AP24" t="s">
        <v>63</v>
      </c>
      <c r="AQ24" t="s">
        <v>63</v>
      </c>
    </row>
    <row r="25" spans="1:43" x14ac:dyDescent="0.2">
      <c r="A25">
        <v>693113</v>
      </c>
      <c r="B25" t="s">
        <v>420</v>
      </c>
      <c r="C25">
        <v>5.8</v>
      </c>
      <c r="D25">
        <v>460</v>
      </c>
      <c r="E25" t="s">
        <v>44</v>
      </c>
      <c r="F25" s="1">
        <v>44400</v>
      </c>
      <c r="G25">
        <v>229811</v>
      </c>
      <c r="H25">
        <v>99</v>
      </c>
      <c r="I25">
        <v>15000000</v>
      </c>
      <c r="J25" t="s">
        <v>421</v>
      </c>
      <c r="K25" t="s">
        <v>46</v>
      </c>
      <c r="L25" t="s">
        <v>420</v>
      </c>
      <c r="M25" t="s">
        <v>422</v>
      </c>
      <c r="N25">
        <v>2.9752000000000001</v>
      </c>
      <c r="O25" t="s">
        <v>423</v>
      </c>
      <c r="P25" t="s">
        <v>424</v>
      </c>
      <c r="Q25" t="s">
        <v>425</v>
      </c>
      <c r="R25" t="s">
        <v>426</v>
      </c>
      <c r="S25" t="s">
        <v>204</v>
      </c>
      <c r="T25" t="s">
        <v>427</v>
      </c>
      <c r="U25" t="s">
        <v>428</v>
      </c>
      <c r="V25" t="s">
        <v>429</v>
      </c>
      <c r="W25" t="s">
        <v>430</v>
      </c>
      <c r="X25" t="s">
        <v>431</v>
      </c>
      <c r="Y25" t="s">
        <v>432</v>
      </c>
      <c r="Z25">
        <v>4.5999999999999996</v>
      </c>
      <c r="AA25">
        <v>12625</v>
      </c>
      <c r="AB25" t="s">
        <v>433</v>
      </c>
      <c r="AC25">
        <v>7</v>
      </c>
      <c r="AD25">
        <v>2021</v>
      </c>
      <c r="AE25">
        <v>29</v>
      </c>
      <c r="AF25" t="s">
        <v>434</v>
      </c>
      <c r="AG25">
        <v>16</v>
      </c>
      <c r="AH25">
        <v>12.3450168623545</v>
      </c>
      <c r="AI25">
        <v>0.72617746249144399</v>
      </c>
      <c r="AJ25" t="s">
        <v>61</v>
      </c>
      <c r="AK25" t="s">
        <v>435</v>
      </c>
      <c r="AL25">
        <v>9</v>
      </c>
      <c r="AM25">
        <v>9</v>
      </c>
      <c r="AN25">
        <v>27</v>
      </c>
      <c r="AO25">
        <v>0.33</v>
      </c>
      <c r="AP25" t="s">
        <v>63</v>
      </c>
      <c r="AQ25" t="s">
        <v>63</v>
      </c>
    </row>
    <row r="26" spans="1:43" x14ac:dyDescent="0.2">
      <c r="A26">
        <v>436969</v>
      </c>
      <c r="B26" t="s">
        <v>436</v>
      </c>
      <c r="C26">
        <v>7.4779999999999998</v>
      </c>
      <c r="D26">
        <v>9214</v>
      </c>
      <c r="E26" t="s">
        <v>44</v>
      </c>
      <c r="F26" s="1">
        <v>44405</v>
      </c>
      <c r="G26">
        <v>168717425</v>
      </c>
      <c r="H26">
        <v>132</v>
      </c>
      <c r="I26">
        <v>185000000</v>
      </c>
      <c r="J26" t="s">
        <v>437</v>
      </c>
      <c r="K26" t="s">
        <v>46</v>
      </c>
      <c r="L26" t="s">
        <v>436</v>
      </c>
      <c r="M26" t="s">
        <v>438</v>
      </c>
      <c r="N26">
        <v>16.931799999999999</v>
      </c>
      <c r="O26" t="s">
        <v>439</v>
      </c>
      <c r="P26" t="s">
        <v>440</v>
      </c>
      <c r="Q26" t="s">
        <v>441</v>
      </c>
      <c r="R26" t="s">
        <v>51</v>
      </c>
      <c r="S26" t="s">
        <v>442</v>
      </c>
      <c r="T26" t="s">
        <v>443</v>
      </c>
      <c r="U26" t="s">
        <v>444</v>
      </c>
      <c r="V26" t="s">
        <v>445</v>
      </c>
      <c r="W26" t="s">
        <v>444</v>
      </c>
      <c r="X26" t="s">
        <v>446</v>
      </c>
      <c r="Y26" t="s">
        <v>447</v>
      </c>
      <c r="Z26">
        <v>7.2</v>
      </c>
      <c r="AA26">
        <v>448757</v>
      </c>
      <c r="AB26" t="s">
        <v>448</v>
      </c>
      <c r="AC26">
        <v>7</v>
      </c>
      <c r="AD26">
        <v>2021</v>
      </c>
      <c r="AE26">
        <v>30</v>
      </c>
      <c r="AF26" t="s">
        <v>449</v>
      </c>
      <c r="AG26">
        <v>21</v>
      </c>
      <c r="AH26">
        <v>18.943735837972898</v>
      </c>
      <c r="AI26">
        <v>0.86107890172603996</v>
      </c>
      <c r="AJ26" t="s">
        <v>61</v>
      </c>
      <c r="AK26" t="s">
        <v>450</v>
      </c>
      <c r="AL26">
        <v>54</v>
      </c>
      <c r="AM26">
        <v>2</v>
      </c>
      <c r="AN26">
        <v>62</v>
      </c>
      <c r="AO26">
        <v>0.03</v>
      </c>
      <c r="AP26" t="s">
        <v>63</v>
      </c>
      <c r="AQ26" t="s">
        <v>63</v>
      </c>
    </row>
    <row r="27" spans="1:43" x14ac:dyDescent="0.2">
      <c r="A27">
        <v>451048</v>
      </c>
      <c r="B27" t="s">
        <v>451</v>
      </c>
      <c r="C27">
        <v>7.3239999999999998</v>
      </c>
      <c r="D27">
        <v>5955</v>
      </c>
      <c r="E27" t="s">
        <v>44</v>
      </c>
      <c r="F27" s="1">
        <v>44405</v>
      </c>
      <c r="G27">
        <v>220889446</v>
      </c>
      <c r="H27">
        <v>127</v>
      </c>
      <c r="I27">
        <v>200000000</v>
      </c>
      <c r="J27" t="s">
        <v>452</v>
      </c>
      <c r="K27" t="s">
        <v>46</v>
      </c>
      <c r="L27" t="s">
        <v>451</v>
      </c>
      <c r="M27" t="s">
        <v>453</v>
      </c>
      <c r="N27">
        <v>6.6721000000000004</v>
      </c>
      <c r="O27" t="s">
        <v>454</v>
      </c>
      <c r="P27" t="s">
        <v>455</v>
      </c>
      <c r="Q27" t="s">
        <v>456</v>
      </c>
      <c r="R27" t="s">
        <v>51</v>
      </c>
      <c r="S27" t="s">
        <v>457</v>
      </c>
      <c r="T27" t="s">
        <v>458</v>
      </c>
      <c r="U27" t="s">
        <v>459</v>
      </c>
      <c r="V27" t="s">
        <v>460</v>
      </c>
      <c r="W27" t="s">
        <v>461</v>
      </c>
      <c r="X27" t="s">
        <v>462</v>
      </c>
      <c r="Y27" t="s">
        <v>463</v>
      </c>
      <c r="Z27">
        <v>6.5</v>
      </c>
      <c r="AA27">
        <v>223752</v>
      </c>
      <c r="AB27" t="s">
        <v>464</v>
      </c>
      <c r="AC27">
        <v>7</v>
      </c>
      <c r="AD27">
        <v>2021</v>
      </c>
      <c r="AE27">
        <v>30</v>
      </c>
      <c r="AF27" t="s">
        <v>465</v>
      </c>
      <c r="AG27">
        <v>21</v>
      </c>
      <c r="AH27">
        <v>19.213172894501302</v>
      </c>
      <c r="AI27">
        <v>0.87332604065915098</v>
      </c>
      <c r="AJ27" t="s">
        <v>61</v>
      </c>
      <c r="AK27" t="s">
        <v>466</v>
      </c>
      <c r="AL27">
        <v>50</v>
      </c>
      <c r="AM27">
        <v>5</v>
      </c>
      <c r="AN27">
        <v>59</v>
      </c>
      <c r="AO27">
        <v>0.08</v>
      </c>
      <c r="AP27" t="s">
        <v>63</v>
      </c>
      <c r="AQ27" t="s">
        <v>63</v>
      </c>
    </row>
    <row r="28" spans="1:43" x14ac:dyDescent="0.2">
      <c r="A28">
        <v>559907</v>
      </c>
      <c r="B28" t="s">
        <v>467</v>
      </c>
      <c r="C28">
        <v>6.6059999999999999</v>
      </c>
      <c r="D28">
        <v>2067</v>
      </c>
      <c r="E28" t="s">
        <v>44</v>
      </c>
      <c r="F28" s="1">
        <v>44406</v>
      </c>
      <c r="G28">
        <v>18887953</v>
      </c>
      <c r="H28">
        <v>130</v>
      </c>
      <c r="I28">
        <v>15000000</v>
      </c>
      <c r="J28" t="s">
        <v>468</v>
      </c>
      <c r="K28" t="s">
        <v>46</v>
      </c>
      <c r="L28" t="s">
        <v>467</v>
      </c>
      <c r="M28" t="s">
        <v>469</v>
      </c>
      <c r="N28">
        <v>5.9447000000000001</v>
      </c>
      <c r="O28" t="s">
        <v>470</v>
      </c>
      <c r="P28" t="s">
        <v>471</v>
      </c>
      <c r="Q28" t="s">
        <v>472</v>
      </c>
      <c r="R28" t="s">
        <v>473</v>
      </c>
      <c r="S28" t="s">
        <v>204</v>
      </c>
      <c r="T28" t="s">
        <v>474</v>
      </c>
      <c r="U28" t="s">
        <v>475</v>
      </c>
      <c r="V28" t="s">
        <v>476</v>
      </c>
      <c r="W28" t="s">
        <v>475</v>
      </c>
      <c r="X28" t="s">
        <v>477</v>
      </c>
      <c r="Y28" t="s">
        <v>478</v>
      </c>
      <c r="Z28">
        <v>6.6</v>
      </c>
      <c r="AA28">
        <v>128444</v>
      </c>
      <c r="AB28" t="s">
        <v>479</v>
      </c>
      <c r="AC28">
        <v>7</v>
      </c>
      <c r="AD28">
        <v>2021</v>
      </c>
      <c r="AE28">
        <v>30</v>
      </c>
      <c r="AF28" t="s">
        <v>480</v>
      </c>
      <c r="AG28">
        <v>22</v>
      </c>
      <c r="AH28">
        <v>16.754034922335698</v>
      </c>
      <c r="AI28">
        <v>0.728436300971121</v>
      </c>
      <c r="AJ28" t="s">
        <v>61</v>
      </c>
      <c r="AK28" t="s">
        <v>481</v>
      </c>
      <c r="AL28">
        <v>38</v>
      </c>
      <c r="AM28">
        <v>9</v>
      </c>
      <c r="AN28">
        <v>56</v>
      </c>
      <c r="AO28">
        <v>0.16</v>
      </c>
      <c r="AP28" t="s">
        <v>63</v>
      </c>
      <c r="AQ28" t="s">
        <v>63</v>
      </c>
    </row>
    <row r="29" spans="1:43" x14ac:dyDescent="0.2">
      <c r="A29">
        <v>616651</v>
      </c>
      <c r="B29" t="s">
        <v>482</v>
      </c>
      <c r="C29">
        <v>6.6</v>
      </c>
      <c r="D29">
        <v>1340</v>
      </c>
      <c r="E29" t="s">
        <v>44</v>
      </c>
      <c r="F29" s="1">
        <v>44406</v>
      </c>
      <c r="G29">
        <v>19754272</v>
      </c>
      <c r="H29">
        <v>139</v>
      </c>
      <c r="I29">
        <v>20000000</v>
      </c>
      <c r="J29" t="s">
        <v>483</v>
      </c>
      <c r="K29" t="s">
        <v>46</v>
      </c>
      <c r="L29" t="s">
        <v>482</v>
      </c>
      <c r="M29" t="s">
        <v>484</v>
      </c>
      <c r="N29">
        <v>4.6478000000000002</v>
      </c>
      <c r="O29" t="s">
        <v>485</v>
      </c>
      <c r="P29" t="s">
        <v>486</v>
      </c>
      <c r="Q29" t="s">
        <v>487</v>
      </c>
      <c r="R29" t="s">
        <v>488</v>
      </c>
      <c r="S29" t="s">
        <v>442</v>
      </c>
      <c r="T29" t="s">
        <v>489</v>
      </c>
      <c r="U29" t="s">
        <v>490</v>
      </c>
      <c r="V29" t="s">
        <v>491</v>
      </c>
      <c r="W29" t="s">
        <v>492</v>
      </c>
      <c r="X29" t="s">
        <v>493</v>
      </c>
      <c r="Y29" t="s">
        <v>494</v>
      </c>
      <c r="Z29">
        <v>6.6</v>
      </c>
      <c r="AA29">
        <v>62763</v>
      </c>
      <c r="AB29" t="s">
        <v>495</v>
      </c>
      <c r="AC29">
        <v>7</v>
      </c>
      <c r="AD29">
        <v>2021</v>
      </c>
      <c r="AE29">
        <v>30</v>
      </c>
      <c r="AF29" t="s">
        <v>496</v>
      </c>
      <c r="AG29">
        <v>22</v>
      </c>
      <c r="AH29">
        <v>16.798880380340499</v>
      </c>
      <c r="AI29">
        <v>0.73038610349306698</v>
      </c>
      <c r="AJ29" t="s">
        <v>61</v>
      </c>
      <c r="AK29" t="s">
        <v>497</v>
      </c>
      <c r="AL29">
        <v>25</v>
      </c>
      <c r="AM29">
        <v>7</v>
      </c>
      <c r="AN29">
        <v>42</v>
      </c>
      <c r="AO29">
        <v>0.17</v>
      </c>
      <c r="AP29" t="s">
        <v>63</v>
      </c>
      <c r="AQ29" t="s">
        <v>63</v>
      </c>
    </row>
    <row r="30" spans="1:43" hidden="1" x14ac:dyDescent="0.2">
      <c r="A30">
        <v>835551</v>
      </c>
      <c r="B30" t="s">
        <v>498</v>
      </c>
      <c r="C30">
        <v>5.5</v>
      </c>
      <c r="D30">
        <v>102</v>
      </c>
      <c r="E30" t="s">
        <v>44</v>
      </c>
      <c r="F30" s="1">
        <v>44407</v>
      </c>
      <c r="G30">
        <v>8866</v>
      </c>
      <c r="H30">
        <v>80</v>
      </c>
      <c r="I30">
        <v>2500000</v>
      </c>
      <c r="J30" t="s">
        <v>499</v>
      </c>
      <c r="K30" t="s">
        <v>46</v>
      </c>
      <c r="L30" t="s">
        <v>498</v>
      </c>
      <c r="M30" t="s">
        <v>500</v>
      </c>
      <c r="N30">
        <v>2.6457000000000002</v>
      </c>
      <c r="O30" t="s">
        <v>501</v>
      </c>
      <c r="P30" t="s">
        <v>502</v>
      </c>
      <c r="Q30" t="s">
        <v>503</v>
      </c>
      <c r="R30" t="s">
        <v>51</v>
      </c>
      <c r="S30" t="s">
        <v>204</v>
      </c>
      <c r="T30" t="s">
        <v>504</v>
      </c>
      <c r="U30" t="s">
        <v>505</v>
      </c>
      <c r="V30" t="s">
        <v>506</v>
      </c>
      <c r="W30" t="s">
        <v>505</v>
      </c>
      <c r="X30" t="s">
        <v>507</v>
      </c>
      <c r="Y30" t="s">
        <v>508</v>
      </c>
      <c r="Z30">
        <v>3.9</v>
      </c>
      <c r="AA30">
        <v>1328</v>
      </c>
      <c r="AB30" t="s">
        <v>509</v>
      </c>
      <c r="AC30">
        <v>7</v>
      </c>
      <c r="AD30">
        <v>2021</v>
      </c>
      <c r="AE30">
        <v>30</v>
      </c>
      <c r="AF30" t="s">
        <v>510</v>
      </c>
      <c r="AG30">
        <v>23</v>
      </c>
      <c r="AH30">
        <v>9.0900917993799997</v>
      </c>
      <c r="AI30">
        <v>0.37875382497416599</v>
      </c>
      <c r="AJ30" t="s">
        <v>61</v>
      </c>
      <c r="AK30" t="s">
        <v>511</v>
      </c>
      <c r="AL30">
        <v>4</v>
      </c>
      <c r="AM30">
        <v>6</v>
      </c>
      <c r="AN30">
        <v>14</v>
      </c>
      <c r="AO30">
        <v>0.43</v>
      </c>
      <c r="AP30" t="s">
        <v>273</v>
      </c>
      <c r="AQ30" t="s">
        <v>63</v>
      </c>
    </row>
    <row r="31" spans="1:43" x14ac:dyDescent="0.2">
      <c r="A31">
        <v>675445</v>
      </c>
      <c r="B31" t="s">
        <v>512</v>
      </c>
      <c r="C31">
        <v>7.4</v>
      </c>
      <c r="D31">
        <v>1245</v>
      </c>
      <c r="E31" t="s">
        <v>44</v>
      </c>
      <c r="F31" s="1">
        <v>44417</v>
      </c>
      <c r="G31">
        <v>144327371</v>
      </c>
      <c r="H31">
        <v>86</v>
      </c>
      <c r="I31">
        <v>26000000</v>
      </c>
      <c r="J31" t="s">
        <v>513</v>
      </c>
      <c r="K31" t="s">
        <v>46</v>
      </c>
      <c r="L31" t="s">
        <v>512</v>
      </c>
      <c r="M31" t="s">
        <v>514</v>
      </c>
      <c r="N31">
        <v>6.8433000000000002</v>
      </c>
      <c r="O31" t="s">
        <v>515</v>
      </c>
      <c r="P31" t="s">
        <v>516</v>
      </c>
      <c r="Q31" t="s">
        <v>517</v>
      </c>
      <c r="R31" t="s">
        <v>518</v>
      </c>
      <c r="S31" t="s">
        <v>204</v>
      </c>
      <c r="T31" t="s">
        <v>519</v>
      </c>
      <c r="U31" t="s">
        <v>520</v>
      </c>
      <c r="W31" t="s">
        <v>521</v>
      </c>
      <c r="X31" t="s">
        <v>522</v>
      </c>
      <c r="Y31" t="s">
        <v>523</v>
      </c>
      <c r="Z31">
        <v>6.1</v>
      </c>
      <c r="AA31">
        <v>9320</v>
      </c>
      <c r="AB31" t="s">
        <v>524</v>
      </c>
      <c r="AC31">
        <v>8</v>
      </c>
      <c r="AD31">
        <v>2021</v>
      </c>
      <c r="AE31">
        <v>32</v>
      </c>
      <c r="AF31" t="s">
        <v>525</v>
      </c>
      <c r="AG31">
        <v>33</v>
      </c>
      <c r="AH31">
        <v>18.787594693905199</v>
      </c>
      <c r="AI31">
        <v>0.55257631452662503</v>
      </c>
      <c r="AJ31" t="s">
        <v>61</v>
      </c>
      <c r="AK31" t="s">
        <v>526</v>
      </c>
      <c r="AL31">
        <v>64</v>
      </c>
      <c r="AM31">
        <v>3</v>
      </c>
      <c r="AN31">
        <v>70</v>
      </c>
      <c r="AO31">
        <v>0.04</v>
      </c>
      <c r="AP31" t="s">
        <v>63</v>
      </c>
      <c r="AQ31" t="s">
        <v>63</v>
      </c>
    </row>
    <row r="32" spans="1:43" x14ac:dyDescent="0.2">
      <c r="A32">
        <v>550988</v>
      </c>
      <c r="B32" t="s">
        <v>527</v>
      </c>
      <c r="C32">
        <v>7.4640000000000004</v>
      </c>
      <c r="D32">
        <v>9347</v>
      </c>
      <c r="E32" t="s">
        <v>44</v>
      </c>
      <c r="F32" s="1">
        <v>44419</v>
      </c>
      <c r="G32">
        <v>331526598</v>
      </c>
      <c r="H32">
        <v>115</v>
      </c>
      <c r="I32">
        <v>110000000</v>
      </c>
      <c r="J32" t="s">
        <v>528</v>
      </c>
      <c r="K32" t="s">
        <v>46</v>
      </c>
      <c r="L32" t="s">
        <v>527</v>
      </c>
      <c r="M32" t="s">
        <v>529</v>
      </c>
      <c r="N32">
        <v>15.4831</v>
      </c>
      <c r="O32" t="s">
        <v>530</v>
      </c>
      <c r="P32" t="s">
        <v>531</v>
      </c>
      <c r="Q32" t="s">
        <v>532</v>
      </c>
      <c r="R32" t="s">
        <v>51</v>
      </c>
      <c r="S32" t="s">
        <v>204</v>
      </c>
      <c r="T32" t="s">
        <v>533</v>
      </c>
      <c r="U32" t="s">
        <v>534</v>
      </c>
      <c r="V32" t="s">
        <v>535</v>
      </c>
      <c r="W32" t="s">
        <v>536</v>
      </c>
      <c r="X32" t="s">
        <v>537</v>
      </c>
      <c r="Y32" t="s">
        <v>538</v>
      </c>
      <c r="Z32">
        <v>7.1</v>
      </c>
      <c r="AA32">
        <v>475822</v>
      </c>
      <c r="AB32" t="s">
        <v>539</v>
      </c>
      <c r="AC32">
        <v>8</v>
      </c>
      <c r="AD32">
        <v>2021</v>
      </c>
      <c r="AE32">
        <v>32</v>
      </c>
      <c r="AF32" t="s">
        <v>540</v>
      </c>
      <c r="AG32">
        <v>35</v>
      </c>
      <c r="AH32">
        <v>19.619218602681901</v>
      </c>
      <c r="AI32">
        <v>0.54497829451894297</v>
      </c>
      <c r="AJ32" t="s">
        <v>61</v>
      </c>
      <c r="AK32" t="s">
        <v>541</v>
      </c>
      <c r="AL32">
        <v>70</v>
      </c>
      <c r="AM32">
        <v>4</v>
      </c>
      <c r="AN32">
        <v>80</v>
      </c>
      <c r="AO32">
        <v>0.05</v>
      </c>
      <c r="AP32" t="s">
        <v>63</v>
      </c>
      <c r="AQ32" t="s">
        <v>63</v>
      </c>
    </row>
    <row r="33" spans="1:43" x14ac:dyDescent="0.2">
      <c r="A33">
        <v>623135</v>
      </c>
      <c r="B33" t="s">
        <v>542</v>
      </c>
      <c r="C33">
        <v>6.9</v>
      </c>
      <c r="D33">
        <v>147</v>
      </c>
      <c r="E33" t="s">
        <v>44</v>
      </c>
      <c r="F33" s="1">
        <v>44419</v>
      </c>
      <c r="G33">
        <v>17970000</v>
      </c>
      <c r="H33">
        <v>113</v>
      </c>
      <c r="I33">
        <v>11400000</v>
      </c>
      <c r="J33" t="s">
        <v>543</v>
      </c>
      <c r="K33" t="s">
        <v>544</v>
      </c>
      <c r="L33" t="s">
        <v>545</v>
      </c>
      <c r="M33" t="s">
        <v>546</v>
      </c>
      <c r="N33">
        <v>3.6875</v>
      </c>
      <c r="O33" t="s">
        <v>547</v>
      </c>
      <c r="P33" t="s">
        <v>548</v>
      </c>
      <c r="Q33" t="s">
        <v>549</v>
      </c>
      <c r="R33" t="s">
        <v>550</v>
      </c>
      <c r="S33" t="s">
        <v>551</v>
      </c>
      <c r="T33" t="s">
        <v>552</v>
      </c>
      <c r="U33" t="s">
        <v>553</v>
      </c>
      <c r="V33" t="s">
        <v>554</v>
      </c>
      <c r="W33" t="s">
        <v>555</v>
      </c>
      <c r="X33" t="s">
        <v>556</v>
      </c>
      <c r="Y33" t="s">
        <v>557</v>
      </c>
      <c r="Z33">
        <v>6.2</v>
      </c>
      <c r="AA33">
        <v>3268</v>
      </c>
      <c r="AB33" t="s">
        <v>558</v>
      </c>
      <c r="AC33">
        <v>8</v>
      </c>
      <c r="AD33">
        <v>2021</v>
      </c>
      <c r="AE33">
        <v>32</v>
      </c>
      <c r="AF33" t="s">
        <v>559</v>
      </c>
      <c r="AG33">
        <v>35</v>
      </c>
      <c r="AH33">
        <v>16.704214314407999</v>
      </c>
      <c r="AI33">
        <v>0.46400595317800097</v>
      </c>
      <c r="AJ33" t="s">
        <v>61</v>
      </c>
      <c r="AK33" t="s">
        <v>560</v>
      </c>
      <c r="AL33">
        <v>11</v>
      </c>
      <c r="AM33">
        <v>2</v>
      </c>
      <c r="AN33">
        <v>21</v>
      </c>
      <c r="AO33">
        <v>0.1</v>
      </c>
      <c r="AP33" t="s">
        <v>63</v>
      </c>
      <c r="AQ33" t="s">
        <v>63</v>
      </c>
    </row>
    <row r="34" spans="1:43" x14ac:dyDescent="0.2">
      <c r="A34">
        <v>482373</v>
      </c>
      <c r="B34" t="s">
        <v>561</v>
      </c>
      <c r="C34">
        <v>7</v>
      </c>
      <c r="D34">
        <v>2702</v>
      </c>
      <c r="E34" t="s">
        <v>44</v>
      </c>
      <c r="F34" s="1">
        <v>44420</v>
      </c>
      <c r="G34">
        <v>53785551</v>
      </c>
      <c r="H34">
        <v>98</v>
      </c>
      <c r="I34">
        <v>15000000</v>
      </c>
      <c r="J34" t="s">
        <v>562</v>
      </c>
      <c r="K34" t="s">
        <v>46</v>
      </c>
      <c r="L34" t="s">
        <v>561</v>
      </c>
      <c r="M34" t="s">
        <v>563</v>
      </c>
      <c r="N34">
        <v>4.4047000000000001</v>
      </c>
      <c r="O34" t="s">
        <v>564</v>
      </c>
      <c r="P34" t="s">
        <v>565</v>
      </c>
      <c r="Q34" t="s">
        <v>566</v>
      </c>
      <c r="R34" t="s">
        <v>51</v>
      </c>
      <c r="S34" t="s">
        <v>204</v>
      </c>
      <c r="T34" t="s">
        <v>567</v>
      </c>
      <c r="U34" t="s">
        <v>568</v>
      </c>
      <c r="V34" t="s">
        <v>569</v>
      </c>
      <c r="W34" t="s">
        <v>570</v>
      </c>
      <c r="X34" t="s">
        <v>571</v>
      </c>
      <c r="Y34" t="s">
        <v>319</v>
      </c>
      <c r="Z34">
        <v>6</v>
      </c>
      <c r="AA34">
        <v>79784</v>
      </c>
      <c r="AB34" t="s">
        <v>572</v>
      </c>
      <c r="AC34">
        <v>8</v>
      </c>
      <c r="AD34">
        <v>2021</v>
      </c>
      <c r="AE34">
        <v>32</v>
      </c>
      <c r="AF34" t="s">
        <v>573</v>
      </c>
      <c r="AG34">
        <v>36</v>
      </c>
      <c r="AH34">
        <v>17.800515438880002</v>
      </c>
      <c r="AI34">
        <v>0.48109501186162301</v>
      </c>
      <c r="AJ34" t="s">
        <v>61</v>
      </c>
      <c r="AK34" t="s">
        <v>574</v>
      </c>
      <c r="AL34">
        <v>47</v>
      </c>
      <c r="AM34">
        <v>4</v>
      </c>
      <c r="AN34">
        <v>52</v>
      </c>
      <c r="AO34">
        <v>0.08</v>
      </c>
      <c r="AP34" t="s">
        <v>63</v>
      </c>
      <c r="AQ34" t="s">
        <v>63</v>
      </c>
    </row>
    <row r="35" spans="1:43" x14ac:dyDescent="0.2">
      <c r="A35">
        <v>592863</v>
      </c>
      <c r="B35" t="s">
        <v>575</v>
      </c>
      <c r="C35">
        <v>6.8</v>
      </c>
      <c r="D35">
        <v>442</v>
      </c>
      <c r="E35" t="s">
        <v>44</v>
      </c>
      <c r="F35" s="1">
        <v>44420</v>
      </c>
      <c r="G35">
        <v>31217372</v>
      </c>
      <c r="H35">
        <v>145</v>
      </c>
      <c r="I35">
        <v>55000000</v>
      </c>
      <c r="J35" t="s">
        <v>576</v>
      </c>
      <c r="K35" t="s">
        <v>46</v>
      </c>
      <c r="L35" t="s">
        <v>575</v>
      </c>
      <c r="M35" t="s">
        <v>577</v>
      </c>
      <c r="N35">
        <v>2.9832999999999998</v>
      </c>
      <c r="O35" t="s">
        <v>578</v>
      </c>
      <c r="P35" t="s">
        <v>579</v>
      </c>
      <c r="Q35" t="s">
        <v>580</v>
      </c>
      <c r="R35" t="s">
        <v>581</v>
      </c>
      <c r="S35" t="s">
        <v>204</v>
      </c>
      <c r="T35" t="s">
        <v>582</v>
      </c>
      <c r="U35" t="s">
        <v>583</v>
      </c>
      <c r="V35" t="s">
        <v>584</v>
      </c>
      <c r="W35" t="s">
        <v>585</v>
      </c>
      <c r="X35" t="s">
        <v>586</v>
      </c>
      <c r="Y35" t="s">
        <v>300</v>
      </c>
      <c r="Z35">
        <v>6.6</v>
      </c>
      <c r="AA35">
        <v>19025</v>
      </c>
      <c r="AB35" t="s">
        <v>587</v>
      </c>
      <c r="AC35">
        <v>8</v>
      </c>
      <c r="AD35">
        <v>2021</v>
      </c>
      <c r="AE35">
        <v>32</v>
      </c>
      <c r="AF35" t="s">
        <v>588</v>
      </c>
      <c r="AG35">
        <v>36</v>
      </c>
      <c r="AH35">
        <v>17.2564853247322</v>
      </c>
      <c r="AI35">
        <v>0.46639149526303197</v>
      </c>
      <c r="AJ35" t="s">
        <v>61</v>
      </c>
      <c r="AK35" t="s">
        <v>589</v>
      </c>
      <c r="AL35">
        <v>39</v>
      </c>
      <c r="AM35">
        <v>1</v>
      </c>
      <c r="AN35">
        <v>45</v>
      </c>
      <c r="AO35">
        <v>0.02</v>
      </c>
      <c r="AP35" t="s">
        <v>63</v>
      </c>
      <c r="AQ35" t="s">
        <v>63</v>
      </c>
    </row>
    <row r="36" spans="1:43" x14ac:dyDescent="0.2">
      <c r="A36">
        <v>788929</v>
      </c>
      <c r="B36" t="s">
        <v>590</v>
      </c>
      <c r="C36">
        <v>6.4</v>
      </c>
      <c r="D36">
        <v>961</v>
      </c>
      <c r="E36" t="s">
        <v>44</v>
      </c>
      <c r="F36" s="1">
        <v>44420</v>
      </c>
      <c r="G36">
        <v>3200000</v>
      </c>
      <c r="H36">
        <v>106</v>
      </c>
      <c r="I36">
        <v>5000000</v>
      </c>
      <c r="J36" t="s">
        <v>591</v>
      </c>
      <c r="K36" t="s">
        <v>592</v>
      </c>
      <c r="L36" t="s">
        <v>593</v>
      </c>
      <c r="M36" t="s">
        <v>594</v>
      </c>
      <c r="N36">
        <v>5.9756</v>
      </c>
      <c r="O36" t="s">
        <v>595</v>
      </c>
      <c r="P36" t="s">
        <v>596</v>
      </c>
      <c r="Q36" t="s">
        <v>597</v>
      </c>
      <c r="R36" t="s">
        <v>598</v>
      </c>
      <c r="S36" t="s">
        <v>599</v>
      </c>
      <c r="T36" t="s">
        <v>600</v>
      </c>
      <c r="U36" t="s">
        <v>601</v>
      </c>
      <c r="V36" t="s">
        <v>602</v>
      </c>
      <c r="W36" t="s">
        <v>603</v>
      </c>
      <c r="X36" t="s">
        <v>604</v>
      </c>
      <c r="Y36" t="s">
        <v>605</v>
      </c>
      <c r="Z36">
        <v>6.3</v>
      </c>
      <c r="AA36">
        <v>43610</v>
      </c>
      <c r="AB36" t="s">
        <v>606</v>
      </c>
      <c r="AC36">
        <v>8</v>
      </c>
      <c r="AD36">
        <v>2021</v>
      </c>
      <c r="AE36">
        <v>32</v>
      </c>
      <c r="AF36" t="s">
        <v>607</v>
      </c>
      <c r="AG36">
        <v>36</v>
      </c>
      <c r="AH36">
        <v>14.9786616802699</v>
      </c>
      <c r="AI36">
        <v>0.40482869406134803</v>
      </c>
      <c r="AJ36" t="s">
        <v>61</v>
      </c>
      <c r="AK36" t="s">
        <v>608</v>
      </c>
      <c r="AL36">
        <v>30</v>
      </c>
      <c r="AM36">
        <v>3</v>
      </c>
      <c r="AN36">
        <v>74</v>
      </c>
      <c r="AO36">
        <v>0.04</v>
      </c>
      <c r="AP36" t="s">
        <v>63</v>
      </c>
      <c r="AQ36" t="s">
        <v>63</v>
      </c>
    </row>
    <row r="37" spans="1:43" hidden="1" x14ac:dyDescent="0.2">
      <c r="A37">
        <v>776503</v>
      </c>
      <c r="B37" t="s">
        <v>609</v>
      </c>
      <c r="C37">
        <v>7.9</v>
      </c>
      <c r="D37">
        <v>2424</v>
      </c>
      <c r="E37" t="s">
        <v>44</v>
      </c>
      <c r="F37" s="1">
        <v>44421</v>
      </c>
      <c r="G37">
        <v>1905058</v>
      </c>
      <c r="H37">
        <v>112</v>
      </c>
      <c r="I37">
        <v>10000000</v>
      </c>
      <c r="J37" t="s">
        <v>610</v>
      </c>
      <c r="K37" t="s">
        <v>46</v>
      </c>
      <c r="L37" t="s">
        <v>609</v>
      </c>
      <c r="M37" t="s">
        <v>611</v>
      </c>
      <c r="N37">
        <v>14.1746</v>
      </c>
      <c r="O37" t="s">
        <v>612</v>
      </c>
      <c r="P37" t="s">
        <v>613</v>
      </c>
      <c r="Q37" t="s">
        <v>614</v>
      </c>
      <c r="R37" t="s">
        <v>488</v>
      </c>
      <c r="S37" t="s">
        <v>103</v>
      </c>
      <c r="T37" t="s">
        <v>615</v>
      </c>
      <c r="U37" t="s">
        <v>616</v>
      </c>
      <c r="V37" t="s">
        <v>617</v>
      </c>
      <c r="W37" t="s">
        <v>618</v>
      </c>
      <c r="X37" t="s">
        <v>619</v>
      </c>
      <c r="Y37" t="s">
        <v>620</v>
      </c>
      <c r="Z37">
        <v>8</v>
      </c>
      <c r="AA37">
        <v>183894</v>
      </c>
      <c r="AB37" t="s">
        <v>621</v>
      </c>
      <c r="AC37">
        <v>8</v>
      </c>
      <c r="AD37">
        <v>2021</v>
      </c>
      <c r="AE37">
        <v>32</v>
      </c>
      <c r="AF37" t="s">
        <v>622</v>
      </c>
      <c r="AG37">
        <v>37</v>
      </c>
      <c r="AH37">
        <v>14.460023537191899</v>
      </c>
      <c r="AI37">
        <v>0.38052693518926101</v>
      </c>
      <c r="AJ37" t="s">
        <v>61</v>
      </c>
      <c r="AK37" t="s">
        <v>623</v>
      </c>
      <c r="AL37">
        <v>15</v>
      </c>
      <c r="AM37">
        <v>24</v>
      </c>
      <c r="AN37">
        <v>57</v>
      </c>
      <c r="AO37">
        <v>0.42</v>
      </c>
      <c r="AP37" t="s">
        <v>273</v>
      </c>
      <c r="AQ37" t="s">
        <v>63</v>
      </c>
    </row>
    <row r="38" spans="1:43" x14ac:dyDescent="0.2">
      <c r="A38">
        <v>579047</v>
      </c>
      <c r="B38" t="s">
        <v>624</v>
      </c>
      <c r="C38">
        <v>6.5</v>
      </c>
      <c r="D38">
        <v>1869</v>
      </c>
      <c r="E38" t="s">
        <v>44</v>
      </c>
      <c r="F38" s="1">
        <v>44426</v>
      </c>
      <c r="G38">
        <v>18717947</v>
      </c>
      <c r="H38">
        <v>116</v>
      </c>
      <c r="I38">
        <v>68000000</v>
      </c>
      <c r="J38" t="s">
        <v>625</v>
      </c>
      <c r="K38" t="s">
        <v>46</v>
      </c>
      <c r="L38" t="s">
        <v>624</v>
      </c>
      <c r="M38" t="s">
        <v>626</v>
      </c>
      <c r="N38">
        <v>5.2976000000000001</v>
      </c>
      <c r="O38" t="s">
        <v>627</v>
      </c>
      <c r="P38" t="s">
        <v>628</v>
      </c>
      <c r="Q38" t="s">
        <v>629</v>
      </c>
      <c r="R38" t="s">
        <v>51</v>
      </c>
      <c r="S38" t="s">
        <v>204</v>
      </c>
      <c r="T38" t="s">
        <v>630</v>
      </c>
      <c r="U38" t="s">
        <v>631</v>
      </c>
      <c r="V38" t="s">
        <v>632</v>
      </c>
      <c r="W38" t="s">
        <v>631</v>
      </c>
      <c r="X38" t="s">
        <v>633</v>
      </c>
      <c r="Y38" t="s">
        <v>634</v>
      </c>
      <c r="Z38">
        <v>5.9</v>
      </c>
      <c r="AA38">
        <v>70000</v>
      </c>
      <c r="AB38" t="s">
        <v>635</v>
      </c>
      <c r="AC38">
        <v>8</v>
      </c>
      <c r="AD38">
        <v>2021</v>
      </c>
      <c r="AE38">
        <v>33</v>
      </c>
      <c r="AF38" t="s">
        <v>636</v>
      </c>
      <c r="AG38">
        <v>42</v>
      </c>
      <c r="AH38">
        <v>16.7449934076209</v>
      </c>
      <c r="AI38">
        <v>0.38941845134002001</v>
      </c>
      <c r="AJ38" t="s">
        <v>61</v>
      </c>
      <c r="AK38" t="s">
        <v>637</v>
      </c>
      <c r="AL38">
        <v>50</v>
      </c>
      <c r="AM38">
        <v>3</v>
      </c>
      <c r="AN38">
        <v>61</v>
      </c>
      <c r="AO38">
        <v>0.05</v>
      </c>
      <c r="AP38" t="s">
        <v>63</v>
      </c>
      <c r="AQ38" t="s">
        <v>63</v>
      </c>
    </row>
    <row r="39" spans="1:43" x14ac:dyDescent="0.2">
      <c r="A39">
        <v>602463</v>
      </c>
      <c r="B39" t="s">
        <v>638</v>
      </c>
      <c r="C39">
        <v>6.9</v>
      </c>
      <c r="D39">
        <v>39</v>
      </c>
      <c r="E39" t="s">
        <v>44</v>
      </c>
      <c r="F39" s="1">
        <v>44426</v>
      </c>
      <c r="G39">
        <v>13000000</v>
      </c>
      <c r="H39">
        <v>94</v>
      </c>
      <c r="I39">
        <v>6144000</v>
      </c>
      <c r="J39" t="s">
        <v>639</v>
      </c>
      <c r="K39" t="s">
        <v>544</v>
      </c>
      <c r="L39" t="s">
        <v>640</v>
      </c>
      <c r="M39" t="s">
        <v>641</v>
      </c>
      <c r="N39">
        <v>3.1086</v>
      </c>
      <c r="O39" t="s">
        <v>642</v>
      </c>
      <c r="P39" t="s">
        <v>643</v>
      </c>
      <c r="Q39" t="s">
        <v>644</v>
      </c>
      <c r="R39" t="s">
        <v>550</v>
      </c>
      <c r="S39" t="s">
        <v>645</v>
      </c>
      <c r="T39" t="s">
        <v>646</v>
      </c>
      <c r="U39" t="s">
        <v>647</v>
      </c>
      <c r="V39" t="s">
        <v>648</v>
      </c>
      <c r="W39" t="s">
        <v>647</v>
      </c>
      <c r="X39" t="s">
        <v>649</v>
      </c>
      <c r="Y39" t="s">
        <v>557</v>
      </c>
      <c r="Z39">
        <v>6.3</v>
      </c>
      <c r="AA39">
        <v>1289</v>
      </c>
      <c r="AB39" t="s">
        <v>650</v>
      </c>
      <c r="AC39">
        <v>8</v>
      </c>
      <c r="AD39">
        <v>2021</v>
      </c>
      <c r="AE39">
        <v>33</v>
      </c>
      <c r="AF39" t="s">
        <v>651</v>
      </c>
      <c r="AG39">
        <v>42</v>
      </c>
      <c r="AH39">
        <v>16.380459992348801</v>
      </c>
      <c r="AI39">
        <v>0.38094093005462498</v>
      </c>
      <c r="AJ39" t="s">
        <v>61</v>
      </c>
      <c r="AK39" t="s">
        <v>652</v>
      </c>
      <c r="AL39">
        <v>5</v>
      </c>
      <c r="AM39">
        <v>1</v>
      </c>
      <c r="AN39">
        <v>10</v>
      </c>
      <c r="AO39">
        <v>0.1</v>
      </c>
      <c r="AP39" t="s">
        <v>63</v>
      </c>
      <c r="AQ39" t="s">
        <v>63</v>
      </c>
    </row>
    <row r="40" spans="1:43" x14ac:dyDescent="0.2">
      <c r="A40">
        <v>758866</v>
      </c>
      <c r="B40" t="s">
        <v>653</v>
      </c>
      <c r="C40">
        <v>7.4</v>
      </c>
      <c r="D40">
        <v>1401</v>
      </c>
      <c r="E40" t="s">
        <v>44</v>
      </c>
      <c r="F40" s="1">
        <v>44426</v>
      </c>
      <c r="G40">
        <v>15356046</v>
      </c>
      <c r="H40">
        <v>179</v>
      </c>
      <c r="I40">
        <v>1300000</v>
      </c>
      <c r="J40" t="s">
        <v>654</v>
      </c>
      <c r="K40" t="s">
        <v>655</v>
      </c>
      <c r="L40" t="s">
        <v>656</v>
      </c>
      <c r="M40" t="s">
        <v>657</v>
      </c>
      <c r="N40">
        <v>3.7482000000000002</v>
      </c>
      <c r="O40" t="s">
        <v>658</v>
      </c>
      <c r="P40" t="s">
        <v>659</v>
      </c>
      <c r="Q40" t="s">
        <v>660</v>
      </c>
      <c r="R40" t="s">
        <v>661</v>
      </c>
      <c r="S40" t="s">
        <v>662</v>
      </c>
      <c r="T40" t="s">
        <v>663</v>
      </c>
      <c r="U40" t="s">
        <v>664</v>
      </c>
      <c r="V40" t="s">
        <v>665</v>
      </c>
      <c r="W40" t="s">
        <v>666</v>
      </c>
      <c r="X40" t="s">
        <v>667</v>
      </c>
      <c r="Y40" t="s">
        <v>668</v>
      </c>
      <c r="Z40">
        <v>7.5</v>
      </c>
      <c r="AA40">
        <v>74535</v>
      </c>
      <c r="AB40" t="s">
        <v>669</v>
      </c>
      <c r="AC40">
        <v>8</v>
      </c>
      <c r="AD40">
        <v>2021</v>
      </c>
      <c r="AE40">
        <v>33</v>
      </c>
      <c r="AF40" t="s">
        <v>670</v>
      </c>
      <c r="AG40">
        <v>42</v>
      </c>
      <c r="AH40">
        <v>16.547019895790999</v>
      </c>
      <c r="AI40">
        <v>0.384814416181186</v>
      </c>
      <c r="AJ40" t="s">
        <v>61</v>
      </c>
      <c r="AK40" t="s">
        <v>671</v>
      </c>
      <c r="AL40">
        <v>30</v>
      </c>
      <c r="AM40">
        <v>3</v>
      </c>
      <c r="AN40">
        <v>85</v>
      </c>
      <c r="AO40">
        <v>0.04</v>
      </c>
      <c r="AP40" t="s">
        <v>63</v>
      </c>
      <c r="AQ40" t="s">
        <v>63</v>
      </c>
    </row>
    <row r="41" spans="1:43" x14ac:dyDescent="0.2">
      <c r="A41" t="s">
        <v>672</v>
      </c>
      <c r="AI41">
        <f>SUBTOTAL(109,Table1[score])</f>
        <v>53.723377007636941</v>
      </c>
      <c r="AQ41">
        <f>SUBTOTAL(103,Table1[error])</f>
        <v>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Black_Widow_attributes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2026-02-17T16:54:56Z</dcterms:created>
  <dcterms:modified xsi:type="dcterms:W3CDTF">2026-02-17T17:55:46Z</dcterms:modified>
</cp:coreProperties>
</file>