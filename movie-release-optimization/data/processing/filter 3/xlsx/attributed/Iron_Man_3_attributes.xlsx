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kitkat/github projects/Marvel-Analytics-by-KS/movie-release-optimization/data/processing/filter 3/xlsx/attributed/"/>
    </mc:Choice>
  </mc:AlternateContent>
  <xr:revisionPtr revIDLastSave="0" documentId="13_ncr:1_{EEA54777-354A-EA4E-9A83-78B534D03F9E}" xr6:coauthVersionLast="47" xr6:coauthVersionMax="47" xr10:uidLastSave="{00000000-0000-0000-0000-000000000000}"/>
  <bookViews>
    <workbookView xWindow="380" yWindow="80" windowWidth="28040" windowHeight="17180" xr2:uid="{F3968193-A691-F949-AD9F-04A53AECD5E9}"/>
  </bookViews>
  <sheets>
    <sheet name="Iron_Man_3_attribut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52" i="1" l="1"/>
  <c r="AQ52" i="1"/>
</calcChain>
</file>

<file path=xl/sharedStrings.xml><?xml version="1.0" encoding="utf-8"?>
<sst xmlns="http://schemas.openxmlformats.org/spreadsheetml/2006/main" count="1191" uniqueCount="818">
  <si>
    <t>id</t>
  </si>
  <si>
    <t>title</t>
  </si>
  <si>
    <t>vote_average</t>
  </si>
  <si>
    <t>vote_count</t>
  </si>
  <si>
    <t>status</t>
  </si>
  <si>
    <t>release_date</t>
  </si>
  <si>
    <t>revenue</t>
  </si>
  <si>
    <t>runtime</t>
  </si>
  <si>
    <t>budget</t>
  </si>
  <si>
    <t>imdb_id</t>
  </si>
  <si>
    <t>original_language</t>
  </si>
  <si>
    <t>original_title</t>
  </si>
  <si>
    <t>overview</t>
  </si>
  <si>
    <t>popularity</t>
  </si>
  <si>
    <t>tagline</t>
  </si>
  <si>
    <t>genres</t>
  </si>
  <si>
    <t>production_companies</t>
  </si>
  <si>
    <t>production_countries</t>
  </si>
  <si>
    <t>spoken_languages</t>
  </si>
  <si>
    <t>cast</t>
  </si>
  <si>
    <t>director</t>
  </si>
  <si>
    <t>director_of_photography</t>
  </si>
  <si>
    <t>writers</t>
  </si>
  <si>
    <t>producers</t>
  </si>
  <si>
    <t>music_composer</t>
  </si>
  <si>
    <t>imdb_rating</t>
  </si>
  <si>
    <t>imdb_votes</t>
  </si>
  <si>
    <t>poster_path</t>
  </si>
  <si>
    <t>release_month</t>
  </si>
  <si>
    <t>release_year</t>
  </si>
  <si>
    <t>iso_week</t>
  </si>
  <si>
    <t>title_clean</t>
  </si>
  <si>
    <t>distance</t>
  </si>
  <si>
    <t>strength</t>
  </si>
  <si>
    <t>score</t>
  </si>
  <si>
    <t>marvel_movie</t>
  </si>
  <si>
    <t>attributes</t>
  </si>
  <si>
    <t>blank</t>
  </si>
  <si>
    <t>internet</t>
  </si>
  <si>
    <t>total</t>
  </si>
  <si>
    <t>internet_ratio</t>
  </si>
  <si>
    <t>internet_dominance</t>
  </si>
  <si>
    <t>error</t>
  </si>
  <si>
    <t>Spring Breakers</t>
  </si>
  <si>
    <t>Released</t>
  </si>
  <si>
    <t>tt2101441</t>
  </si>
  <si>
    <t>en</t>
  </si>
  <si>
    <t>After four college girls rob a restaurant to fund their spring break in Florida, they get entangled with a weird dude with his own criminal agenda.</t>
  </si>
  <si>
    <t>A little sun can bring out your dark side.</t>
  </si>
  <si>
    <t>Drama, Crime</t>
  </si>
  <si>
    <t>iconoclast, rabbit bandini productions, division films, muse productions, o' salvation, mjz, pop films, radar pictures</t>
  </si>
  <si>
    <t>France, United States of America, Mexico</t>
  </si>
  <si>
    <t>English</t>
  </si>
  <si>
    <t>Rachel Korine, John McClain, Rebecca Kauffman, Tom Franco, Tony Robinette, Josh Randall, Anthony J. James, Vivian Fleming-Alvarez, Nicole Paris Williams, Thurman Sewell, Paige Anderson, Karleigh Chase, Rod Grant, Kathryn Trail, Vanessa Hudgens, Dayton Sinkia, Benjamin Weaver, Megan Russell, Lee Irby, Travis Duncan, Russell Stuart, Mattox Gardner, Emma Holzer, James Franco, Lauren Vera, Erik Anthony Russo, Dave Kramer, Jeffrey Jarrett, Ken Anthony II, Ashley Benson, Ash Lendzion, Gucci Mane, Selena Gomez, Heather Morris, Sidney Sewell</t>
  </si>
  <si>
    <t>Harmony Korine</t>
  </si>
  <si>
    <t>Beno‚àö√Üt Debie</t>
  </si>
  <si>
    <t>David Zander, Fernando Sulichin, Agn‚àö¬Æs B., Jordan Gertner, Chris Hanley, Chris Contogouris, Wicks Walker, Stella Schnabel, Jane Holzer, Megan Ellison, Vince Jolivette, Vikram Chatwal, Charles-Marie Anthonioz, Aeysha Walsh, Miles Levy, Ted Field</t>
  </si>
  <si>
    <t>Cliff Martinez, Skrillex</t>
  </si>
  <si>
    <t>/9tyPnyEkL44qbAliM9jMRWc6bjg.jpg</t>
  </si>
  <si>
    <t>spring breakers</t>
  </si>
  <si>
    <t>iron man 3</t>
  </si>
  <si>
    <t>venice film festival (1), premiere (6), toronto international film festival (1), tokyo international film festival (1), oslo international film festival (1), international film festival rotterdam (1), g√∂teborg international film festival (1), paris (1), glasgow film festival (1), luxembourg city film festival (1), blank (37), cph: pix (1), limited (4), night visions film festival (1), los angeles, california (1), skopje film festival (1), buenos aires (1), taipei film festival (1), dvd premiere (4), sarajevo film festival (1), blu-ray release (1), athens film festival (1), rio de janeiro international film festival (1), cologne conference - international film and tv festival (1), dvd and blu-ray premiere (1), munich international film festival (1), athens avant garde film festival (1), roffa mon amour (1)</t>
  </si>
  <si>
    <t>no</t>
  </si>
  <si>
    <t>Oz the Great and Powerful</t>
  </si>
  <si>
    <t>tt1623205</t>
  </si>
  <si>
    <t>Oscar Diggs, a small-time circus illusionist and con-artist, is whisked from Kansas to the Land of Oz where the inhabitants assume he's the great wizard of prophecy, there to save Oz from the clutches of evil.</t>
  </si>
  <si>
    <t>In Oz, nothing is what it seems.</t>
  </si>
  <si>
    <t>Fantasy, Adventure, Family</t>
  </si>
  <si>
    <t>roth films, curtis-donen productions, walt disney pictures</t>
  </si>
  <si>
    <t>United States of America</t>
  </si>
  <si>
    <t>Mikayla Bouchard, Julia Metas, Filip Watermann, Ron Causey, David Schwager, Ted Raimi, Oliver Raimi, Rob Crites, Jor ‚àö¬©l Quinn, Kef Lee, Bruce Campbell, Reza Mir, Abigail Spencer, Wendy Cutler, Nesti Gee, Rachel Weisz, Matt Weinglass, Logan Fry, Stevie Lee, Nellie Ann Prestine-Lowery, Otis Winston, Bart McCarthy, Brandon Hamilton, Bernie Allemon, Tim Holmes, Deborah Puette, Eric Potts, Danielle Ragland, Colin Bryant, Bella Shepard, Julie Gershenson, Steve Forbes, Grady Chambless, Ellen Sandweiss, Robert Stromberg, Chester F. Guilmet, Robert Buck, Stephen R. Hart, Russell Bobbitt, David Waldman, Bill E. Rogers, Robert T. Barrett, Ralph Lister, Cameron Barnett, Amy Sutherland, Christophe Zajac-Denek, Kevin Thompson, Chidi Ajufo, Jim Moll, Timothy Patrick Quill, Jessee Foudray, Brice Harris, Doug Kolbicz, Kelly Bacon, Bill Cobbs, Emma Raimi, John C. Epperson, Jessica Nichole, James Bird, Ryan Groves, Shannon Murray, Gene Jones, Victoria Lurz, Julius Kline III, Jon Overgaauw, Jayne Violassi, Michelle Williams, Lanika Wise, Dan Cota, John Manfredi, Mila Kunis, Neil Ellice, Tony Cox, Martin Klebba, Suzanne Keilly, Lee Christian, Eric Adam Swenson, Channing Pierce, Jordan Rafael, Mani Love, James Franco, Melissa Exelberth, T.J. Jagodowski, Dennis Kleinsmith, Betsy Baker, John Paxton, Mia Serafino, Jay Schwalm, Brian Searle, Phillip Huber, Bob Jay Mills, Keith Schloemp, Adam Romano, Theresa Tilly, Dan Nelson, Eduardo Piedra, Gene Richards, Derrick Gilliam, Toni Wynne, Dashiell Raimi, Arnold Agee, Michael Witous, Niki Haze, William Dick, Spencer Frost, Ron Heisler, Apollo Bacala, Sasha Kida Reynolds, John Lord Booth III, Zach Braff, Michael Clossin, Davy J. Marr, Joey King, Kenneth D. Ciszewski, Dale Drew, Nicholas Lindsay-Abaire, Ashley Siloac, Talia Akiva, David Spradlin, Dan Hicks, Mike Estes, Ja'Vonne Cousins, Ari Rufino</t>
  </si>
  <si>
    <t>Sam Raimi</t>
  </si>
  <si>
    <t>Peter Deming</t>
  </si>
  <si>
    <t>L. Frank Baum, Mitchell Kapner, David Lindsay-Abaire</t>
  </si>
  <si>
    <t>Palak Patel, Joshua Donen, Joe Roth, Philip Steuer, Grant Curtis</t>
  </si>
  <si>
    <t>Danny Elfman</t>
  </si>
  <si>
    <t>/tkzfAUEKoUp4YFNbZV9hfpZOz0z.jpg</t>
  </si>
  <si>
    <t>oz the great and powerful</t>
  </si>
  <si>
    <t>hollywood, california (1), premiere (3), tokyo (1), belgrade (1), blank (67), skopje (1), tv release (1), dvd premiere (1)</t>
  </si>
  <si>
    <t>No One Lives</t>
  </si>
  <si>
    <t>tt1763264</t>
  </si>
  <si>
    <t>A gang of ruthless highway killers kidnap a wealthy couple traveling cross country only to shockingly discover that things are not what they seem.</t>
  </si>
  <si>
    <t>No one runs. No one escapes.</t>
  </si>
  <si>
    <t>Horror, Thriller</t>
  </si>
  <si>
    <t>pathe, wwe studios, milk &amp; media, constance media</t>
  </si>
  <si>
    <t>United States of America, United Kingdom</t>
  </si>
  <si>
    <t>Laura Ramsey, George Murdoch, Chris Carnel, America Olivo, Lindsey Shaw, Gary Grubbs, Rob Steinberg, Michael Harrity, Derek Magyar, Lee Tergesen, Luke Evans, Lenore Banks, Beau Knapp, Adelaide Clemens, Andrea Frankle</t>
  </si>
  <si>
    <t>Ryuhei Kitamura</t>
  </si>
  <si>
    <t>Daniel Pearl</t>
  </si>
  <si>
    <t>David Cohen</t>
  </si>
  <si>
    <t>Elton Brand, Cameron McCracken, Michael J. Luisi, Kami Naghdi, Fran‚àö√üois Ivernel, David Cohen, Harry Knapp</t>
  </si>
  <si>
    <t>Jerome Dillon</t>
  </si>
  <si>
    <t>/d9wDmRcQngl9Jo7Go3EU7f2W15m.jpg</t>
  </si>
  <si>
    <t>no one lives</t>
  </si>
  <si>
    <t>toronto international film festival (1), sitges film festival (1), istanbul film festival (1), blank (12), internet (1), dvd and blu-ray premiere (1), dvd premiere (5), blu-ray release (1), blu-ray (1)</t>
  </si>
  <si>
    <t>The Incredible Burt Wonderstone</t>
  </si>
  <si>
    <t>tt0790628</t>
  </si>
  <si>
    <t>After breaking up with his longtime stage partner, a famous but jaded Vegas magician fights for relevance when a new, "hip" street magician appears on the scene.</t>
  </si>
  <si>
    <t>Abracatastic!</t>
  </si>
  <si>
    <t>Comedy</t>
  </si>
  <si>
    <t>new line cinema, carousel, benderspink, warner bros. pictures</t>
  </si>
  <si>
    <t>Jonathan Goldstein, Bryson Barretto, Zachary Gordon, Joshua Erenberg, John Francis Daley, Vance DeGeneres, Kelly Sry, Olivia Wilde, Mark Engelhardt, Murray Gershenz, Tate Hanyok, Sonya Eddy, Ron Ostrow, Mason Cook, Jim Carrey, James Gandolfini, Luke Vanek, Derek Graf, Leni Ito, Daniel Spink, Jay Mohr, Ron Pearson, Rusty Meyers, Brandon Chapmond, John Rubano, Christina Gausas, Brad Garrett, Chad Kultgen, Stan Knight, Michael Herbig, Melissa Ordway, John Lewis, Jessica McClain, Gillian Jacobs, Forrest Wheeler, Didi Tossapon Banks, Fiona Hale, Marceline Hugot, Richard Wolffe, Mia Sun, Augie Isaac, Charlie Hartsock, David Copperfield, Alan Arkin, Chyna Chuu, Erin Burnett, Steve Carell, Steve Buscemi, Freedom Bridgewater, Robert Ray Manning Jr.</t>
  </si>
  <si>
    <t>Don Scardino</t>
  </si>
  <si>
    <t>Matthew Clark</t>
  </si>
  <si>
    <t>Jonathan Goldstein, John Francis Daley, Tyler Mitchell, Chad Kultgen</t>
  </si>
  <si>
    <t>J.C. Spink, Jake Weiner, Walter Hamada, Vance DeGeneres, Diana Pokorny, Richard Brener, Dave Neustadter, Charlie Hartsock, Tyler Mitchell, Chris Bender, Steve Carell</t>
  </si>
  <si>
    <t>Lyle Workman</t>
  </si>
  <si>
    <t>/Bl95sg5Ljo3Hu9SSL0JOvLerLh.jpg</t>
  </si>
  <si>
    <t>the incredible burt wonderstone</t>
  </si>
  <si>
    <t>south by southwest film festival (1), blank (16), dvd premiere (7), dvd and blu-ray premiere (2), tv premiere (1), tv release (1)</t>
  </si>
  <si>
    <t>The Call</t>
  </si>
  <si>
    <t>tt1911644</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</si>
  <si>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</si>
  <si>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There are 188 million 911 calls a year. This one made it personal.</t>
  </si>
  <si>
    <t>Crime, Thriller</t>
  </si>
  <si>
    <t>tristar pictures, wwe studios, troika pictures, stage 6 films, amasia entertainment</t>
  </si>
  <si>
    <t>Morris Chestnut, Halle Berry, Denise Dowse, Nicholas Guest, Jonathan Nichols-Navarro, Abigail Breslin, Frankie Louis Mulcahy, Kirk Baily, Michael James Clark, Jacqueline Pinol, Michael Eklund, Ella Rae Peck, Michael Linstroth, Lisa Grady, Roma Maffia, Elisa Gabrielli, Vicki Davis, Jos‚àö¬© Z‚àö‚à´‚àö¬±iga, Rakefet Abergel, Maria Nicolacakis, Thomas Rosales Jr., Justina Machado, Alisa Hensley, Michael Ralph, Yolanda Arroyo, Donna Lynn Leavy, Terence Mathews, David Michie, Kimberly Bailey, Evie Thompson, Michael Imperioli, Jay Potter, Patty Connolly, Ruth Zalduondo, Steven Williams, Tara Platt, Ross Gallo, Mark Sussman, Teresa Jelks-Kirkley, Sammy Busby, Jenna Lamia, Eddie Frierson, David Otunga</t>
  </si>
  <si>
    <t>Brad Anderson</t>
  </si>
  <si>
    <t>Thomas Yatsko</t>
  </si>
  <si>
    <t>Richard D'Ovidio, Jon Bokenkamp, Nicole D'Ovidio</t>
  </si>
  <si>
    <t>Jeffrey Graup, Michael Luisi, Dale Rosenbloom, Guy J. Louthan, Michael A. Helfant, Bradley Gallo, Robert Stein, William Gallo II, Philip M. Cohen</t>
  </si>
  <si>
    <t>John Debney</t>
  </si>
  <si>
    <t>/mG334OlDVJpD8gMfTCM2Mpp0gQH.jpg</t>
  </si>
  <si>
    <t>the call</t>
  </si>
  <si>
    <t>blank (50), buenos aires (1), premiere (1), belgrade blockbuster review (1), dvd premiere (2), dvd and blu-ray premiere (1), blu-ray (1)</t>
  </si>
  <si>
    <t>The Croods</t>
  </si>
  <si>
    <t>tt0481499</t>
  </si>
  <si>
    <t>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t>
  </si>
  <si>
    <t>The journey begins.</t>
  </si>
  <si>
    <t>Animation, Adventure, Family, Comedy</t>
  </si>
  <si>
    <t>dreamworks animation</t>
  </si>
  <si>
    <t>Clark Duke, Nicolas Cage, Chris Sanders, Randy Thom, Ryan Reynolds, Emma Stone, Cloris Leachman, Catherine Keener</t>
  </si>
  <si>
    <t>Chris Sanders, Kirk DeMicco</t>
  </si>
  <si>
    <t>Yong Duk Jhun</t>
  </si>
  <si>
    <t>John Cleese, Chris Sanders, Kirk DeMicco</t>
  </si>
  <si>
    <t>Jane Hartwell, Kristine Belson</t>
  </si>
  <si>
    <t>Alan Silvestri</t>
  </si>
  <si>
    <t>/27zvjVOtOi5ped1HSlJKNsKXkFH.jpg</t>
  </si>
  <si>
    <t>the croods</t>
  </si>
  <si>
    <t>berlin international film festival (1), blank (81), belgrade blockbuster review (1), dvd and blu-ray premiere (1), dvd premiere (1), internet (1)</t>
  </si>
  <si>
    <t>Welcome to the Punch</t>
  </si>
  <si>
    <t>tt1684233</t>
  </si>
  <si>
    <t>When notorious criminal Jacob Sternwood is forced to return to London, it gives detective Max Lewinsky one last chance to take down the man he's always been after.</t>
  </si>
  <si>
    <t>A stunning, intelligent thriller</t>
  </si>
  <si>
    <t>Action, Adventure, Crime</t>
  </si>
  <si>
    <t>worldview entertainment, between the eyes, automatik entertainment, im global, scott free productions, alliance films, bfi, quickfire films, reliance entertainment</t>
  </si>
  <si>
    <t>Canada, India, United Kingdom, United States of America</t>
  </si>
  <si>
    <t>Cathy Murphy, Peter Mullan, Mark Strong, Ruth Sheen, Steve Oram, James McAvoy, Seun Shote, Johnny Harris, Jason Flemyng, Daniel Kaluuya, Jason Maza, Andrea Riseborough, David Morrissey, Natasha Little, Elyes Gabel, Daniel Mays</t>
  </si>
  <si>
    <t>Eran Creevy</t>
  </si>
  <si>
    <t>Ed Wild</t>
  </si>
  <si>
    <t>Ben Pugh, Sarah E. Johnson, Molly Conners, Christopher Woodrow, James Atherton, Liza Marshall, Rory Aitken, Maria Cestone, Stuart Ford, Brian Kavanaugh-Jones, Ridley Scott, Jan Pace, Xavier Marchand</t>
  </si>
  <si>
    <t>Harry Escott</t>
  </si>
  <si>
    <t>/6mCyfp7nk1sTZNtvLSVGrO0sPeH.jpg</t>
  </si>
  <si>
    <t>welcome to the punch</t>
  </si>
  <si>
    <t>glasgow film festival (1), london (1), premiere (1), blank (21), limited (3), festival du film policier de beaune (1), dvd premiere (5), dvd and blu-ray premiere (2), dvd release (1), rtp 1 (1), tv premiere (1), internet (1)</t>
  </si>
  <si>
    <t>The Place Beyond the Pines</t>
  </si>
  <si>
    <t>tt1817273</t>
  </si>
  <si>
    <t>A motorcycle stunt rider considers committing a crime in order to provide for his wife and child, an act that puts him on a collision course with a cop-turned-politician.</t>
  </si>
  <si>
    <t>One moment can change your life.</t>
  </si>
  <si>
    <t>sidney kimmel entertainment, electric city entertainment, verisimilitude, hunting lane films, silverwood films, sierra/affinity</t>
  </si>
  <si>
    <t>English, Espa‚àö¬±ol</t>
  </si>
  <si>
    <t>Luca Pierucci, Tracey Augustin, Jeremie Carlson, Thomas Mattice, Eva Mendes, John Facci, Greta Seacat, Patrick Husted, Ben Mendelsohn, Vanessa Thorpe, Adriel Linyear, Breanna Dolen, Rose Byrne, Dante Shafer, Kayla Smalls, Nicole Califano, Gail Martino, Hugh T. Farley, Travis Jackson Campbell, Robert Clohessy, Sabrina Dhammi, Shannon Plumb, Joe McCarthy, Dane DeHaan, Ean Egas, Bob Dieterich, Paul Steele, Whitney Hudson, James J. Gleason, Harris Yulin, Angelo Anthony Pizza, Mahershala Ali, Olga Merediz, Tula, Mark J. Caruso, Gabe Fazio, Brian Smyj, Dorothy Rutherford, Sarah Curcio, Ephraim Benton, Mark McCracken, Ryan Gosling, Craig Van Hook, Adam Nowichi, Penny, Frank J. Falvo, Jennifer Sober, Bradley Cooper, Mackenzie Trainor, Ray Liotta, Melissa Mills, G. Douglas Griset, Kevin Green, Leah Bliven, Jessica Layton, Heather Chestnut, Emory Cohen, Jefrey Pollock, Trevor Jackson Campbell, Alex Pulling, Bruce Greenwood, Jan Libertucci, Michael Cullen, Lynette Howell Taylor, Cynthia Pelletier-Sullivan</t>
  </si>
  <si>
    <t>Derek Cianfrance</t>
  </si>
  <si>
    <t>Sean Bobbitt</t>
  </si>
  <si>
    <t>Derek Cianfrance, Ben Coccio, Darius Marder</t>
  </si>
  <si>
    <t>Matt Berenson, Alex Orlovsky, Bruce Toll, Sidney Kimmel, Jamie Patricof, Lynette Howell Taylor, Jim Tauber</t>
  </si>
  <si>
    <t>Mike Patton</t>
  </si>
  <si>
    <t>/vY5j2xQzMGWmxBuhQo0HfA4Lxqb.jpg</t>
  </si>
  <si>
    <t>the place beyond the pines</t>
  </si>
  <si>
    <t>toronto international film festival (1), glasgow film festival (1), luxembourg city film festival (1), blank (43), limited (1), dvd premiere (3), off plus camera (1), mostra breves e in√©ditos (1), blu-ray release (1)</t>
  </si>
  <si>
    <t>Olympus Has Fallen</t>
  </si>
  <si>
    <t>tt2302755</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</si>
  <si>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</si>
  <si>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When our flag falls our nation will rise.</t>
  </si>
  <si>
    <t>Action, Thriller</t>
  </si>
  <si>
    <t>millennium media, g-base, nu image</t>
  </si>
  <si>
    <t>English, √å√Ø√∫√ç¬µ‚â†√è√±¬•/√è¬∞‚àû√è√ë‚Ä†√é√ü√™</t>
  </si>
  <si>
    <t>Finley Jacobsen, Kenneth Wayne Bradley, Sione Ma'umalanga, Melissa Leo, Aaron Eckhart, Sam Medina, J.J. Perry, Radha Mitchell, Ron Yuan, Simon Rhee, Shane Land, Tory Kittles, Andy Cheng, Danny Le Boyer, Philip Tan, Ian Casselberry, Josiah D. Lee, Lawrence O'Donnell, Elliott Grey, Rick Chambers, Sean O'Bryan, Steve Kim, Han Soto, Ashley Judd, Lewis Tan, Phil Austin, Gerard Butler, Freddy Bosche, Met Salih, Dylan McDermott, Darrell L. Connerton, Rick Yune, Catherine Shreves, Pak Ho-Sung, Hamish Macdonald, Jace Jeanes, Cole Hauser, Kevin Moon, Malana Lea, Edrick Browne, Amber Dawn Landrum, James Ingersoll, Sean Boyd, Hunter Burke, Mike Snyder, Arnold Chon, Dorothy Deavers, Woon Young Park, Stephen Oyoung, Bill Stinchcomb, Michelle Celeste Assil, Michael Stallings, Morgan Freeman, Scott Walker, Angela Bassett, Keong Sim, Shanna Forrestall, Terry Dale Parks, Lance Broadway, David Joseph Martinez, Robert Forster, Aonika Laurent</t>
  </si>
  <si>
    <t>Antoine Fuqua</t>
  </si>
  <si>
    <t>Conrad W. Hall</t>
  </si>
  <si>
    <t>Katrin Benedikt, Creighton Rothenberger</t>
  </si>
  <si>
    <t>Danny Lerner, Avi Lerner, Alan Siegel, Gerard Butler, Ed Cathell III, Boaz Davidson, Antoine Fuqua, Mark Gill</t>
  </si>
  <si>
    <t>Trevor Morris</t>
  </si>
  <si>
    <t>/gKnx04MxnKcf5uOdhHhAAkqcCg.jpg</t>
  </si>
  <si>
    <t>olympus has fallen</t>
  </si>
  <si>
    <t>los angeles, california (1), premiere (4), blank (68), london (1), buenos aires (1), vienna (1), dvd premiere (1)</t>
  </si>
  <si>
    <t>Admission</t>
  </si>
  <si>
    <t>tt1814621</t>
  </si>
  <si>
    <t>Straitlaced Princeton University admissions officer Portia Nathan is caught off-guard when she makes a recruiting visit to an alternative high school overseen by her former classmate, the freewheeling John Pressman. Pressman has surmised that Jeremiah, his gifted yet very unconventional student, might well be the son that Portia secretly gave up for adoption many years ago.</t>
  </si>
  <si>
    <t>Let someone in.</t>
  </si>
  <si>
    <t>Comedy, Drama, Romance</t>
  </si>
  <si>
    <t>focus features, depth of field</t>
  </si>
  <si>
    <t>Mihran Slougian, Laura Jordan, Ismaelpeter Casillas Nelson, Giullian Yao Gioiello, Travaris Spears, Karen Pham, Ricky Jones, Alice Litvak, Edward Sass III, Zachary Unger, David Simins, Julia Faye Fisher, Vanessa Carter, Brandon Lee Harris, Alexis Molnar, Ben Levin, Joshua Hinck, Ken Barnett, Nadia Alexander, Rachel Moss, Natasha Tax, Sarah Quinn, Juliet Brett, Tina Benko, Brian Charles Johnson, Tina Fey, Travis Bratten, Roby Sobieski, Chris Palermo, Christopher Evan Welch, Meaghan Monaghan, Matthew Broadley, Leigha Hancock, Michael Genadry, Zita Geoffroy, Caliaf St. Aubyn, Lisa Emery, Brad Wilson, Nat Wolff, Wallace Shawn, Jarod Einsohn, Olek Krupa, Brian d'Arcy James, Sarita Choudhury, Tanisha Long, Michael Sheen, Lily Tomlin, Alan Robert Southworth, Chris Bronwell, Gloria Reuben, Lynne Taylor, James P. Anderson, Jonathon Culver, Barbara Vincent, Paul Rudd, Rob Campbell, Jason Blaj, Lipica Shah, Lauren Schaffel, Ryan McCarty, John Brodsky, Sonya Walger, Krishna Choudhary, Thomas Merckens, Elaine Kussack, Danielle Senk, Nicole Maggio, Dan Levy, Maggie Keenan-Bolger, Gameela Wright, Camille Branton, Ann Harada, Anthony Capers, Alix Cross</t>
  </si>
  <si>
    <t>Paul Weitz</t>
  </si>
  <si>
    <t>Declan Quinn</t>
  </si>
  <si>
    <t>Jean Hanff Korelitz, Karen Croner</t>
  </si>
  <si>
    <t>Paul Weitz, Kerry Kohansky-Roberts, Andrew Miano, Caroline Baron</t>
  </si>
  <si>
    <t>Stephen Trask</t>
  </si>
  <si>
    <t>/f3HoCikJxypRtLJptBwvs7L7etE.jpg</t>
  </si>
  <si>
    <t>admission</t>
  </si>
  <si>
    <t>blank (17), dvd and blu-ray premiere (3), dvd premiere (4), internet (1)</t>
  </si>
  <si>
    <t>The Host</t>
  </si>
  <si>
    <t>tt1517260</t>
  </si>
  <si>
    <t>A parasitic alien soul is injected into the body of Melanie Stryder. Instead of carrying out her race's mission of taking over the Earth, "Wanda" (as she comes to be called) forms a bond with her host and sets out to aid other free humans.</t>
  </si>
  <si>
    <t>Choose to believe. Choose to fight. Choose to love.</t>
  </si>
  <si>
    <t>Action, Adventure, Science Fiction</t>
  </si>
  <si>
    <t>open road films, nick wechsler productions, silver reel, chockstone pictures</t>
  </si>
  <si>
    <t>Switzerland, United States of America</t>
  </si>
  <si>
    <t>Stephen Conroy, Stephen Rider, Michael L. Parker, Shawn Carter Peterson, Phil Austin, Frances Fisher, Mustafa Harris, William Hurt, Evan Cleaver, Andrea Frankle, Chandler Canterbury, Ruby Lou Smith, Max Irons, John Wilmot, Jaylen Moore, J.D. Evermore, Scott Lawrence, Bokeem Woodbine, Raeden Greer, David House, Jake Abel, Shyaam Karra, Yohance Myles, Alex Russell, Saoirse Ronan, Jhil McEntyre, Rachel Roberts, Stacey Carino, Brent Wendell Williams, Diane Kruger, Jalen Coleman, Boyd Holbrook, Emily Browning, Marcus Lyle Brown, Tatanka Means, Erik Schultz</t>
  </si>
  <si>
    <t>Andrew Niccol</t>
  </si>
  <si>
    <t>Roberto Schaefer</t>
  </si>
  <si>
    <t>Andrew Niccol, Stephenie Meyer</t>
  </si>
  <si>
    <t>Paula Mae Schwartz, Nick Wechsler, Claudia Bluemhuber, Marc Butan, Uwe Feuersenger, Steve Schwartz, Roger Schwartz, Jim Seibel, Bill Johnson, Stephenie Meyer, Lizzy Bradford, Ray Angelic, Meghan Hibbett</t>
  </si>
  <si>
    <t>Antonio Pinto</t>
  </si>
  <si>
    <t>/1mfIZw6WgkCX310eoe0Ys14c3Fi.jpg</t>
  </si>
  <si>
    <t>the host</t>
  </si>
  <si>
    <t>blank (54), belgrade (1), premiere (2), brussels international fantastic film festival (1), buenos aires (1), internet (1)</t>
  </si>
  <si>
    <t>Trance</t>
  </si>
  <si>
    <t>tt1924429</t>
  </si>
  <si>
    <t>A violent gang enlists the help of a hypnotherapist in an attempt to locate a painting which somehow vanished in the middle of a heist.</t>
  </si>
  <si>
    <t>Don't be a hero.</t>
  </si>
  <si>
    <t>Thriller, Crime, Drama, Mystery</t>
  </si>
  <si>
    <t>path‚àö¬©, decibel films, film4 productions, cloud eight films, fox searchlight pictures, tsg entertainment, firstep, indian paintbrush</t>
  </si>
  <si>
    <t>France, United Kingdom, United States of America</t>
  </si>
  <si>
    <t>English, Fran‚àö√üais</t>
  </si>
  <si>
    <t>Spencer Wilding, Hamza Jeetooa, Matt Cross, Lee Nicholas Harris, Danny Sapani, James McAvoy, Vincent Cassel, Tony Jayawardena, Simon Kunz, Wahab Sheikh, Gursharan Chaggar, Kelvin Wise, Jai Rajani, Sam Creed, Mark Poltimore, Michael Shaeffer, Rosario Dawson, Vincent Montuel, Edward Rising, Ben Cura, Tuppence Middleton</t>
  </si>
  <si>
    <t>Danny Boyle</t>
  </si>
  <si>
    <t>Anthony Dod Mantle</t>
  </si>
  <si>
    <t>Joe Ahearne, John Hodge</t>
  </si>
  <si>
    <t>Bernard Bellew, Christian Colson, Steven M. Rales, Danny Boyle, Fran‚àö√üois Ivernel, Tessa Ross, Mark Roybal, Cameron McCracken</t>
  </si>
  <si>
    <t>Rick Smith</t>
  </si>
  <si>
    <t>/3MVYuyVknNA9yC0Gy6z3zDAiWfX.jpg</t>
  </si>
  <si>
    <t>trance</t>
  </si>
  <si>
    <t>london (1), premiere (1), blank (39), limited (2), imagine film festival (1), dvd premiere (2), blu-ray premiere (1)</t>
  </si>
  <si>
    <t>G.I. Joe: Retaliation</t>
  </si>
  <si>
    <t>tt1583421</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</si>
  <si>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</si>
  <si>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Heroes are made in America.</t>
  </si>
  <si>
    <t>Action, Science Fiction, Adventure, Thriller</t>
  </si>
  <si>
    <t>paramount pictures, hasbro, di bonaventura pictures, saints la, metro-goldwyn-mayer, skydance media</t>
  </si>
  <si>
    <t>Canada, United States of America</t>
  </si>
  <si>
    <t>Ray Park, Jim Palmer, Afemo Omilami, Amin Joseph, Joanna Leeds, Arnold Chon, Elodie Yung, Mikal Vega, Raja Deka, RZA, Joe Chrest, Augustus Cho, Ajay Mehta, Jonathan Pryce, Naim Alherimi, Ravi Naidu, Channing Tatum, Marcelo Tubert, Lee Byung-hun, D.J. Cotrona, Adrianne Palicki, Terry Dale Parks, Edgar Leza, James Carville, Ilia Volok, Tiffany Lonsdale, Matt Gerald, Walton Goggins, Arnold Vosloo, Dwayne Johnson, Robert Catrini, Dikran Tulaine, DeRay Davis, Chip Carriere, Nick Erickson, Ray Stevenson, Luke Bracey, Grant Goodman, Ryan Hansen, Douglas M. Griffin, James Lew, Aaron V. Williamson, Dennis Keiffer, Joseph Mazzello, Bruce Willis</t>
  </si>
  <si>
    <t>Jon M. Chu</t>
  </si>
  <si>
    <t>Stephen F. Windon</t>
  </si>
  <si>
    <t>Rhett Reese, Paul Wernick</t>
  </si>
  <si>
    <t>Dana Goldberg, Herb Gains, Brian Goldner, Stephen Sommers, Lorenzo di Bonaventura, Roger Birnbaum, Gary Barber, Paul Schwake, David Ellison, Erik Howsam</t>
  </si>
  <si>
    <t>Henry Jackman</t>
  </si>
  <si>
    <t>/nZKk8XA0VrvRSdMQvBAF5Nzniwo.jpg</t>
  </si>
  <si>
    <t>g.i. joe: retaliation</t>
  </si>
  <si>
    <t>seoul (1), premiere (4), london (1), blank (57), belgrade (1), hollywood, california (1), caracas, venezuela (1), blu ray release (1), dvd premiere (1), internet (1)</t>
  </si>
  <si>
    <t>Pee Mak</t>
  </si>
  <si>
    <t>tt2776344</t>
  </si>
  <si>
    <t>th</t>
  </si>
  <si>
    <t>‚Ä°‚àè√ª‚Ä°‚àè¬µ‚Ä°œÄ√†‚Ä°‚àè¬∞‚Ä°‚àè‚â§‚Ä°‚àè√Ö..‚Ä°‚àè√ª‚Ä°‚àè¬£‚Ä°‚àè‚àû‚Ä°œÄ√á‚Ä°‚àè√á‚Ä°‚àè√¥‚Ä°‚àè√°</t>
  </si>
  <si>
    <t>Mak's friends just want to protect him, but his wife Nak won't let a small thing like her own death get in the way of true love.</t>
  </si>
  <si>
    <t>The legendary love story of pee mak and his ghost wife nak.</t>
  </si>
  <si>
    <t>Comedy, Romance, Horror</t>
  </si>
  <si>
    <t>gmm tai hub (gth), jor kwang films</t>
  </si>
  <si>
    <t>Thailand</t>
  </si>
  <si>
    <t>‚Ä°‚àè‚Ä†‚Ä°‚àè‚â§‚Ä°‚àè¬©‚Ä°‚àè‚â§‚Ä°œÄ√ë‚Ä°‚àè√≥‚Ä°‚àè¬¢</t>
  </si>
  <si>
    <t>Patitta Thinrat, Sirinuch Petchurai, Nimit Luksameepong, Kantapat Permpoonpatcharasuk, Nuttakorn Ninsuwan, Sean Jindachot, Narinchote Khowbunyarasri, Margaret Roche, Pacharaporn Hitanant, Davika Hoorne, Jongruay Somjinna, Apisak Chuachan, Carl Sieling Wolf, Pongsatorn Jongwilas, Wimmer Detlef, Wasin Kerdnana, Satdha Sutdhathip, Nattapong Chatpong, Siwawut Sewatanon, Freddy Van De Veire, Thanakit Pramyen, Attharut Kongrasri, Chalao Sukpoom, Mario Maurer, Svetlana Vladimirovna Ledbetter, Sasiliya Mangkornhiransiree, Kwanchai Pimkorn, Fun Kongyon</t>
  </si>
  <si>
    <t>Banjong Pisanthanakun</t>
  </si>
  <si>
    <t>Naruphol Chokanapitak</t>
  </si>
  <si>
    <t>Nontra Kumwong, Chantavit Dhanasevi, Banjong Pisanthanakun</t>
  </si>
  <si>
    <t>Paiboon Damrongchaitham, Chenchonnee Soonthornsaratul, Vanridee Pongsittisak, Boosaba Daorueng, Suwimon Techasupinan, Saithip Montrikun Na Ayudhaya, Jina Osothsilp</t>
  </si>
  <si>
    <t>Chatchai Pongprapaphan, Hualampong Riddim</t>
  </si>
  <si>
    <t>/5gY0EPvTdeGjEEIQ7337ZxHXV55.jpg</t>
  </si>
  <si>
    <t>pee mak</t>
  </si>
  <si>
    <t>blank (14), limited (1), fukuoka international film festival (1), udine far east film festival (1), beijing international film festival (1), shanghai international film festival (1), old town taito international comedy film festival (1), internet (1), asean culture house (1)</t>
  </si>
  <si>
    <t>Temptation: Confessions of a Marriage Counselor</t>
  </si>
  <si>
    <t>tt2070862</t>
  </si>
  <si>
    <t>Judith has known her husband Brice since they were children, but now their marriage is growing stale. Having just completed her graduate work in psychotherapy, she's eager to begin a career as a marriage counselor. She takes an internship at a matchmaking firm for millionaires and meets Harley, a charismatic billionaire investor who makes no effort to hide his attraction to Judith. Although quite resistant at first, eventually Judith succumbs to his charms, placing her marriage in jeopardy and forever altering the course of her life.</t>
  </si>
  <si>
    <t>Betrayal burns forever.</t>
  </si>
  <si>
    <t>Drama</t>
  </si>
  <si>
    <t>lionsgate, tyler perry studios</t>
  </si>
  <si>
    <t>Nickolas Wolf, Ronald Lynch, Andrea Moore, Ella Joyce, Sharon Oliphant, Stephanie Marie Douglas, Shaeleigh Person, Bryson Lofton, Vanessa Williams, DeMontrez Spears, Shamea Morton, Blanche Leigh Johnson, Zach Sale, Sanna Erica, Renee Ford Clark, Doreen Ketchens, Sarah 'So' Oliver, Alvin Aki, Brandy Norwood, Sidney Baxley, Cara Mantella, Jurnee Smollett, Lindsey Blackwell, Kim Kardashian, Jack Brandon Frazier, Nadine A. O'Brien, Andy Rusk, Ron Bobb Semple, Lance Gross, Ira Carmichael, Sheila Maddox, Bethany Hurst Jones, Ren‚àö¬©e Taylor, Jim Adams, Howard C. French, Candice Coke, Ryan Johns, Robbie Jones, Peg Thon, Timothy Scott Floyd</t>
  </si>
  <si>
    <t>Tyler Perry</t>
  </si>
  <si>
    <t>Alexander Gruszynski</t>
  </si>
  <si>
    <t>Ozzie Areu, Michael Paseornek, Paul Hall, Tyler Perry, Mike Upton</t>
  </si>
  <si>
    <t>Aaron Zigman</t>
  </si>
  <si>
    <t>/22hclz5NzRKyWb81TjO1yx1Wn4w.jpg</t>
  </si>
  <si>
    <t>temptation: confessions of a marriage counselor</t>
  </si>
  <si>
    <t>atlanta (1), premiere (1), limited (1), blank (2), dvd premiere (1), video premiere (1), internet (3)</t>
  </si>
  <si>
    <t>yes</t>
  </si>
  <si>
    <t>Himmatwala</t>
  </si>
  <si>
    <t>tt2344678</t>
  </si>
  <si>
    <t>hi</t>
  </si>
  <si>
    <t>‚Ä°¬ßœÄ‚Ä°¬ß√∏‚Ä°¬ß√Ü‚Ä°‚Ä¢√ß‚Ä°¬ß√Ü‚Ä°¬ß¬ß‚Ä°¬ß¬µ‚Ä°¬ß√¶‚Ä°¬ß‚â§‚Ä°¬ß√¶</t>
  </si>
  <si>
    <t>When a temple priest commits suicide after being dishonored by an evil landlord, his son returns to his native village on a mission of vengeance.</t>
  </si>
  <si>
    <t>The 80's Will Be Back!</t>
  </si>
  <si>
    <t>Action, Comedy, Drama</t>
  </si>
  <si>
    <t>utv motion pictures</t>
  </si>
  <si>
    <t>India</t>
  </si>
  <si>
    <t>‚Ä°¬ßœÄ‚Ä°¬ß√∏‚Ä°¬ß¬Æ‚Ä°‚Ä¢√ß‚Ä°¬ß¬∂‚Ä°‚Ä¢√Ñ</t>
  </si>
  <si>
    <t>Tamannaah Bhatia, Sonakshi Sinha, Riteish Deshmukh, Mahesh Manjrekar, Anil Dhawan, Sayantani Ghosh, Rinku Ghosh, Adhyayan Suman, Zarina Wahab, Amruta Khanvilkar, Ajay Devgn, Chunky Pandey, Surveen Chawla, Mona Thiba, Leena Jumani</t>
  </si>
  <si>
    <t>Sajid Khan</t>
  </si>
  <si>
    <t>Manoj Soni</t>
  </si>
  <si>
    <t>Sajid Khan, K Raghavendra Rao</t>
  </si>
  <si>
    <t>Ziaullah Khan, Vashu Bhagnani, Ronnie Screwvala</t>
  </si>
  <si>
    <t>Sajid Ali Khan, Jigar Saraiya, Sachin Sanghvi, Wajid Khan</t>
  </si>
  <si>
    <t>/rWuzBNbsNc0DPFoWBb9FlKwWt7f.jpg</t>
  </si>
  <si>
    <t>himmatwala</t>
  </si>
  <si>
    <t>blank (6)</t>
  </si>
  <si>
    <t>Evil Dead</t>
  </si>
  <si>
    <t>tt1288558</t>
  </si>
  <si>
    <t>Mia, a drug addict, is determined to kick the habit. To that end, she asks her brother, David, his girlfriend, Natalie and their friends Olivia and Eric to accompany her to their family's remote forest cabin to help her through withdrawal. Eric finds a mysterious Book of the Dead at the cabin and reads aloud from it, awakening an ancient demon. All hell breaks loose when the malevolent entity possesses Mia.</t>
  </si>
  <si>
    <t>The most terrifying film you will ever experience.</t>
  </si>
  <si>
    <t>Horror</t>
  </si>
  <si>
    <t>tristar pictures, filmdistrict, ghost house pictures</t>
  </si>
  <si>
    <t>English, Cymraeg</t>
  </si>
  <si>
    <t>Stephen Butterworth, Ellen Sandweiss, Shiloh Fernandez, Karl Willetts, Jessica Lucas, Bruce Campbell, Jack Walley, Jim McLarty, Rupert Degas, Phoenix Connolly, Sian Davis, Jane Levy, Bob Dorian, Elizabeth Blackmore, Randal Wilson, Lou Taylor Pucci</t>
  </si>
  <si>
    <t>Fede ‚àö√Ölvarez</t>
  </si>
  <si>
    <t>Aaron Morton</t>
  </si>
  <si>
    <t>Fede ‚àö√Ölvarez, Rodo Sayagues, Sam Raimi</t>
  </si>
  <si>
    <t>Sam Raimi, Robert Tapert, Nathan Kahane, J.R. Young, Peter Schlessel, Bruce Campbell, Sally Campbell, Joseph Drake</t>
  </si>
  <si>
    <t>Roque Ba‚àö¬±os</t>
  </si>
  <si>
    <t>/1gDV0Lm9y8ufIKzyf0h0GBgb9Zj.jpg</t>
  </si>
  <si>
    <t>evil dead</t>
  </si>
  <si>
    <t>south by southwest film festival (1), blank (65), imagine film festival (1), future film festival (1), cinemadrome film festival (1), fright nights (1), dvd premiere (1), beyond fest (1), director's cut (1)</t>
  </si>
  <si>
    <t>Before Midnight</t>
  </si>
  <si>
    <t>tt2209418</t>
  </si>
  <si>
    <t>It has been nine years since we last met Jesse and Celine, the French-American couple who once met on a train in Vienna. They now live in Paris with twin daughters but have spent a summer in Greece at the invitation of an author colleague of Jesse's. When the vacation is over and Jesse must send his teenage son off to the States, he begins to question his life decisions, and his relationship with Celine is at risk.</t>
  </si>
  <si>
    <t>Everything's better with maturity.</t>
  </si>
  <si>
    <t>Romance, Drama</t>
  </si>
  <si>
    <t>castle rock entertainment, detour filmproduction, faliro house productions, venture forth</t>
  </si>
  <si>
    <t>Greece, United States of America</t>
  </si>
  <si>
    <t>English, ≈í¬µ≈í¬™≈í¬™≈í‚àë≈íŒ©≈íœÄ≈í‚à´≈í¬®, Fran‚àö√üais</t>
  </si>
  <si>
    <t>Yota Argyropoulou, Serafeim Radis, Charlotte Prior, Yiannis Papadopoulos, Enrico Focardi, Manolis Goussias, Ariane Labed, Ethan Hawke, Jennifer Prior, Walter Lassally, Seamus Davey-Fitzpatrick, Tety Kalafati, Xenia Kalogeropoulou, Panos Koronis, Athina Rachel Tsangari, Julie Delpy, John Sloss, Anouk Servera</t>
  </si>
  <si>
    <t>Richard Linklater</t>
  </si>
  <si>
    <t>Christos Voudouris</t>
  </si>
  <si>
    <t>Ethan Hawke, Richard Linklater, Julie Delpy, Kim Krizan</t>
  </si>
  <si>
    <t>Sara Woodhatch, Liz Glotzer, Christos V. Konstantakopoulos, Richard Linklater, Jacob Pechenik, Martin Shafer, John Sloss</t>
  </si>
  <si>
    <t>Graham Reynolds</t>
  </si>
  <si>
    <t>/qbGKJmNUroDz75kh5Oafoall89e.jpg</t>
  </si>
  <si>
    <t>before midnight</t>
  </si>
  <si>
    <t>sundance film festival (1), berlin international film festival (1), south by southwest film festival (1), international istanbul film festival (1), tribeca film festival (1), indielisboa international film festival (1), san francisco international film festival (1), los angeles, california (1), premiere (3), blank (43), limited (2), sydney film festival (1), paris (1), bucharest (1), taipei film festival (1), belgrade (1), dvd premiere (4), blu-ray release (1), santa barbara film festival (1), beijing international film festival (1), re-release (2), las palmas de gran canaria international film festival (1)</t>
  </si>
  <si>
    <t>Oblivion</t>
  </si>
  <si>
    <t>tt1483013</t>
  </si>
  <si>
    <t>Jack Harper is one of the last few drone repairmen stationed on Earth. Part of a massive operation to extract vital resources after decades of war with a terrifying threat known as the Scavs, Jack‚Äö√Ñ√¥s mission is nearly complete. His existence is brought crashing down when he rescues a beautiful  stranger from a downed spacecraft. Her arrival triggers a chain of events that  forces him to question everything he knows and puts the fate of humanity in his hands.</t>
  </si>
  <si>
    <t>Earth is a memory worth fighting for.</t>
  </si>
  <si>
    <t>Action, Science Fiction, Adventure, Mystery</t>
  </si>
  <si>
    <t>universal pictures, relativity media, monolith pictures, chernin entertainment, radical studios, anonymous content</t>
  </si>
  <si>
    <t>Tom Cruise, Andrea Riseborough, Booch O'Connell, Olga Kurylenko, Morgan Freeman, Zo‚àö¬¥ Bell, Nikolaj Coster-Waldau, Melissa Leo, Abigail Lowe, Isabelle Lowe</t>
  </si>
  <si>
    <t>Joseph Kosinski</t>
  </si>
  <si>
    <t>Claudio Miranda</t>
  </si>
  <si>
    <t>Joseph Kosinski, Karl Gajdusek, Michael Arndt</t>
  </si>
  <si>
    <t>Jesse Berger, Justin Springer, Peter Chernin, Dylan Clark, Duncan Henderson, Joseph Kosinski, Barry Levine, Dave Morrison</t>
  </si>
  <si>
    <t>Joseph Trapanese, Anthony Gonzalez</t>
  </si>
  <si>
    <t>/eO3r38fwnhb58M1YgcjQBd3VNcp.jpg</t>
  </si>
  <si>
    <t>oblivion</t>
  </si>
  <si>
    <t>buenos aires (1), premiere (7), dublin (1), london (1), taipei (1), brussels international fantastic film festival (1), internet (1), blank (65), los angeles, california (1), tokyo (1), beijing (1), blu-ray and dvd (1), 4k uhd (1), tokyo international film festival (1)</t>
  </si>
  <si>
    <t>Scary Movie 5</t>
  </si>
  <si>
    <t>tt0795461</t>
  </si>
  <si>
    <t>Home with their newly-formed family, happy parents Dan and Jody are haunted by sinister, paranormal activities. Determined to expel the insidious force, they install security cameras and discover their family is being stalked by an evil dead demon.</t>
  </si>
  <si>
    <t>Evil is coming. Bring protection.</t>
  </si>
  <si>
    <t>dimension films, brad grey pictures</t>
  </si>
  <si>
    <t>Heather Locklear, Mike Tyson, Shere‚àö¬© Whitfield, Angela Kerecz, Marisa Saks, Shad Moss, Macsen Lintz, Sandy Simmons, Christopher 'Critter' Antonucci, Scott Rousseau, Charlie Sheen, Gracie Whitton, Jerry O'Connell, Jwaundace Candece, Molly Shannon, Lindsay Lohan, Josh Robert Thompson, Zoe Pessin, Jon Gould, Katt Williams, Marianne Hammock, Joel Rogers, Jeff Glover, Lidia Porto, Kendrick Cross, Darrell Hammond, Lewis Thompson, Clayton Landey, Katrina Bowden, Clifton Guterman, Emily Chandler Westergreen, David Zucker, Catherine A. Cospelich, Memi West, Ava Kolker, Elizabeth Davidovich, Erica Ash, Simon Rex, Ryan Morris, Anna Skidanova, Aaron Beelner, John Atwood, Usher, Faith Blankenship, Snoop Dogg, Mac Miller, Ashley Tisdale, J.P. Manoux, Amanda Jelks, Rory Healy, Lil Duval, Audrina Patridge, Sarah Hyland, Angela Raiola, Angie Stone, Ashley LeConte Campbell, Amanda Topper, Jasmine Guy, Scot Nery, Leigh Hennessy, Moses Das, Ben Cornish, Dylan Morris, Chris Durfy, Kendra Wilkinson, Dathan Thigpen, Lane Carlock, Kate Walsh, Tyler Posey, Maui Tisdale, Terry Crews, Nikki Lashae</t>
  </si>
  <si>
    <t>Malcolm D. Lee</t>
  </si>
  <si>
    <t>Steven Douglas Smith</t>
  </si>
  <si>
    <t>Marlon Wayans, Buddy Johnson, Aaron Seltzer, David Zucker, Phil Beauman, Jason Friedberg, Pat Proft, Shawn Wayans</t>
  </si>
  <si>
    <t>Brian Bell, Phil Dornfeld, Harvey Weinstein, Bob Weinstein, David Zucker, Matthew Signer</t>
  </si>
  <si>
    <t>James L. Venable</t>
  </si>
  <si>
    <t>/9WNozxN2UVf7rA73FJBWdWJZhfP.jpg</t>
  </si>
  <si>
    <t>scary movie 5</t>
  </si>
  <si>
    <t>blank (51), los angeles, california (1), premiere (1), night visions film festival (1), limited (1), dvd premiere (2), tv release (1), internet (2)</t>
  </si>
  <si>
    <t>Byzantium</t>
  </si>
  <si>
    <t>tt1531901</t>
  </si>
  <si>
    <t>Residents of a coastal town learn, with deadly consequences, the secret shared by the two mysterious women who have sought refuge at a local resort.</t>
  </si>
  <si>
    <t>Irresistible. Immoral. Immortal.</t>
  </si>
  <si>
    <t>Drama, Fantasy, Thriller</t>
  </si>
  <si>
    <t>westend films, demarest films, lipsync productions, number 9 films, parallel films, f‚àö‚â†s ‚àö√¢ireann/screen ireland</t>
  </si>
  <si>
    <t>Ireland, United Kingdom, United States of America</t>
  </si>
  <si>
    <t>Tom Hollander, Christine Marzano, Warren Brown, Ruby Snape, Sam Riley, Ronnie Masterson, Caleb Landry Jones, Jenny Kavanagh, David Heap, Gabriela Marcinkov‚àö¬∞, Gemma Arterton, Saoirse Ronan, Daniel Mays, Thure Lindhardt, Uri Gavriel, Jeff Mash, Jonny Lee Miller, Barry Cassin, Maria Doyle Kennedy, Patricia Loveland, Glenn Doherty, Kate Ashfield, Edyta Budnik, Caroline Johns</t>
  </si>
  <si>
    <t>Neil Jordan</t>
  </si>
  <si>
    <t>Moira Buffini</t>
  </si>
  <si>
    <t>Sam Englebardt, Norman Merry, Marc C. Manuel, William D. Johnson, Alan Moloney, Dan McRae, Peter Hampden, Danny Perkins, Elizabeth Karlsen, Ted O'Neal, Stephen Woolley, Sharon Harel-Cohen</t>
  </si>
  <si>
    <t>Javier Navarrete</t>
  </si>
  <si>
    <t>/gJBPca7enfDFQ0UqmkIiE5XkxEV.jpg</t>
  </si>
  <si>
    <t>byzantium</t>
  </si>
  <si>
    <t>toronto international film festival (1), toronto european union film festival (1), glasgow film festival (1), brussels international fantastic film festival (1), imagine film festival (1), istanbul international film festival (1), tribeca film festival (1), blank (23), limited (3), toronto (1), neuch√¢tel international fantastic film festival (1), guelph, ontario (1), motelx - lisbon international horror film festival (1), lund fantastisk film festival (1), monsters of film, stockholm (1), utopia film festival (1), dvd premiere (4), sitges film festival (1), trieste science+fiction festival (1), paris international fantastic film festival (1), dvd and blu-ray premiere (1), pay tv premiere (1), subtitled version (1), technical release (1), beijing international film festival (1), les arcs international film festival (1)</t>
  </si>
  <si>
    <t>tt0453562</t>
  </si>
  <si>
    <t>In 1946, Branch Rickey, owner of the Brooklyn Dodgers, took a stand against Major League Baseball's infamous color line when he signed Jackie Robinson  to the team. The deal put both men in the crosshairs of the public, the press and even other players. Facing unabashed racism from every side, Robinson was forced to demonstrate tremendous courage and let his talent on the field wins over fans and his teammates ‚Äö√Ñ√¨ silencing his critics and forever changing the world by changing the game of baseball.</t>
  </si>
  <si>
    <t>In a game divided by color, he made us see greatness.</t>
  </si>
  <si>
    <t>legendary pictures</t>
  </si>
  <si>
    <t>Friedel Pinkston, Ercell A. Grimes Jr., James Rackley, Jeremy Ray Taylor, Jayson Warner Smith, Andrew B. Roberts, Max Gail, Dwight Houser, Michael H. Cole, Blake Sanders, Denise Moy‚àö¬©, Ryan Merriman, Janet Metzger, Henry Friedman, Maury Covington, Anthony S. Goolsby, James Pickens Jr., Steve Hicks, Matt Clark, Tobias Michael Finn, David Sweeney, Todd Wilson, Holden Hansen, Wayne Hickey, Dax Griffin, Aaron Farb, Jud Tylor, Lucas Black, Ross Hughes, Richard Tavernaro, Joe Knezevich, Dusan Brown, C.J. Nitkowski, Danny Vinson, Marc Gowan, Rhoda Griffis, Andr‚àö¬© Holland, Jamey Holliday, Monnae Michaell, Linc Hand, Thomas Helgeland, Clint O'Brien, Christopher Harvey, Johnny Knight, Hamish Linklater, Barry Suttle, Gino Anthony Pesi, Brad Beyer, Peter Jurasik, Harrison Ford, David Thoms, Colman Domingo, Dan Mengini, Derek Phillips, William Flaman, Kelley Jakle, Scott Callaway, John C. McGinley, Ari Blinder, Brett Cullen, Jesse Luken, Hunter Clowdus, Benjamin C. Graham, Karole Foreman, Jamie Ruehling, Toby Huss, Andrew C. Mullins, Gary Miller, Joe Inscoe, Jimmie L. Coleman, Chadwick Boseman, Nicole Beharie, Jackson Walker, Jon Kohler, Alan Tudyk, Kenny Cook, Daniel Fenlon, Dennis A. Spears, Mark Harelik, T.R. Knight, Christopher Meloni, Cherise Boothe, Lou Criscuolo, Peter MacKenzie</t>
  </si>
  <si>
    <t>Brian Helgeland</t>
  </si>
  <si>
    <t>Don Burgess</t>
  </si>
  <si>
    <t>Dick Cook, Jason Clark, Thomas Tull, Jon Jashni</t>
  </si>
  <si>
    <t>Mark Isham</t>
  </si>
  <si>
    <t>/iZ7jVGQWj3eBUdqwAPUlKk0BaS2.jpg</t>
  </si>
  <si>
    <t>hollywood, california (1), premiere (1), blank (8), video on demand (1), dvd premiere (10), blu-ray and dvd (1), internet (2), limited (1), shanghai international film festival (1), tokyo international film festival (1)</t>
  </si>
  <si>
    <t>Disconnect</t>
  </si>
  <si>
    <t>tt1433811</t>
  </si>
  <si>
    <t>A hard-working lawyer, attached to his cell phone, can't find the time to communicate with his family. An estranged couple uses the internet as a means to escape from their lifeless marriage. A widowed ex-cop struggles to raise a mischievous son who cyber-bullies a classmate. An ambitious journalist sees a career-making story in a teen that performs on an adult-only site. They are strangers, neighbors and colleagues and their stories collide as ordinary people struggling to connect in today's wired world.</t>
  </si>
  <si>
    <t>Look up.</t>
  </si>
  <si>
    <t>Drama, Thriller</t>
  </si>
  <si>
    <t>lionsgate, exclusive media, wonderful films plc, ld entertainment</t>
  </si>
  <si>
    <t>Ella Lentini, Katelin Baxter, Norbert Leo Butz, Frank Grillo, Mark Zupan, Marc Jacobs, Andrea Riseborough, Tessa Albertson, Alex Manette, Colin Ford, Teresa Calentano, Erin Wilhelmi, Max Thieriot, Hope Davis, Kasi Lemmons, Aviad Bernstein, Jackie Austin, John Sharian, Alexander Skarsg‚àö‚Ä¢rd, Michael Nyqvist, Jason Bateman, Paula Patton, Kevin Csolak, Haley Ramm, Jonah Bobo, Cole Mohr</t>
  </si>
  <si>
    <t>Henry Alex Rubin</t>
  </si>
  <si>
    <t>Ken Seng</t>
  </si>
  <si>
    <t>Andrew Stern</t>
  </si>
  <si>
    <t>William Horberg, Brad Simpson, Jennifer Monroe, Mickey Liddell, Scott Ferguson, Marc Forster</t>
  </si>
  <si>
    <t>Max Richter</t>
  </si>
  <si>
    <t>/mAStXq4ncbLBnujd3LG4KDd7Z3a.jpg</t>
  </si>
  <si>
    <t>disconnect</t>
  </si>
  <si>
    <t>venice film festival (1), toronto international film festival (1), limited (1), blank (17), dvd premiere (3), tv premiere (2), tv release (1)</t>
  </si>
  <si>
    <t>The Numbers Station</t>
  </si>
  <si>
    <t>tt1659338</t>
  </si>
  <si>
    <t>When the moral values of a longtime wetwork black ops agent is tested during his last operation, he receives an unfavorable psych evaluation. Now he is given a break and a seemingly uncomplicated assignment of simply protecting the security of a young female code announcer, code resources and remote station they are assigned to. After an ambush and one phone call later, it becomes a complicated fight for their survival.</t>
  </si>
  <si>
    <t>The code has never been compromised. Until now.</t>
  </si>
  <si>
    <t>contentfilm, piccadilly pictures, atlantic swiss productions, blue lake media fund, furst films, matador pictures, ufilm, echo lake entertainment</t>
  </si>
  <si>
    <t>United Kingdom, United States of America, Belgium</t>
  </si>
  <si>
    <t>Lucy Griffiths, Randy Merchant, Richard Brake, Finbar Lynch, Liam Cunningham, Malin ‚àö√ñkerman, John Cusack, Victor Gardener, Brian Nickels, Bryan Dick, Joe Montana, Max Bennett, Joey Ansah, Hannah Murray</t>
  </si>
  <si>
    <t>Kasper Barfoed</t>
  </si>
  <si>
    <t>‚àö√¨ttar Gu‚àö‚àûnason</t>
  </si>
  <si>
    <t>F. Scott Frazier</t>
  </si>
  <si>
    <t>Sean Furst, James Gibb, Charlotte Walls, Chris Fenton, Gilles Waterkeyn, Nigel Thomas, Jeremy Burdek, Karl Richards, Jamie Carmichael, Bryan Furst, Andrew Spaulding, Chris Cowles, Adrian Politowski, Peter Bevan, Neil Tabatznik, Robert Whitehouse, Christopher Figg, Doug Mankoff, Erick Kwak, Nadia Khamlichi, Steven Silver</t>
  </si>
  <si>
    <t>Paul Leonard-Morgan</t>
  </si>
  <si>
    <t>/bcpaJ2JYM2WKzzuRUAB869uMWnK.jpg</t>
  </si>
  <si>
    <t>the numbers station</t>
  </si>
  <si>
    <t>blank (19), dvd premiere (5), dvd and blu-ray premiere (2), tv release (1), tv premiere (1)</t>
  </si>
  <si>
    <t>The Lords of Salem</t>
  </si>
  <si>
    <t>tt1731697</t>
  </si>
  <si>
    <t>Heidi, a radio DJ, is sent a box containing a record - a "gift from the Lords". The sounds within the grooves trigger flashbacks of her town's violent past. Is Heidi going mad, or are the Lords back to take revenge on Salem, Massachusetts?</t>
  </si>
  <si>
    <t>We've been waiting...we've always been waiting.</t>
  </si>
  <si>
    <t>im global, alliance films, haunted movies</t>
  </si>
  <si>
    <t>Canada, United States of America, United Kingdom</t>
  </si>
  <si>
    <t>Udo Kier, Andrew Prine, Lisa Marie, Brandon Cruz, Richard Fancy, Julian Acosta, Daniel Roebuck, Susan Gray, Niko Posey, Brynn Horrocks, Barbara Crampton, Diana Hart, Torsten Voges, Sid Haig, Bonita Friedericy, Camille Keaton, John 5, Jeff Daniel Phillips, Ernest Lee Thomas, Richard Lynch, Flo Lawrence, Dustin Quick, Suzanne Voss, Judy Geeson, James Messersmith, Judy Thompson, Mar‚àö‚â†a Conchita Alonso, Sheri Moon Zombie, Jobeth Wagner, Nancy Linehan Charles, Michael Shamus Wiles, Patricia Quinn, Silvia Moore, Maria Olsen, Gabriel Pimentel, Ken Foree, Bruce Davison, Dee Wallace, Michael Berryman, Clint Howard, Meg Foster, Carlos del Valle</t>
  </si>
  <si>
    <t>Rob Zombie</t>
  </si>
  <si>
    <t>Brandon Trost</t>
  </si>
  <si>
    <t>Rob Zombie, Oren Peli, Brian Kavanaugh-Jones, Jason Blum, Steven Schneider, Andy Gould</t>
  </si>
  <si>
    <t>Griffin Boice, John 5</t>
  </si>
  <si>
    <t>/nqZ6CGGZpQWt139YioekSYHvvkU.jpg</t>
  </si>
  <si>
    <t>the lords of salem</t>
  </si>
  <si>
    <t>toronto international film festival (1), sitges film festival (1), torino film festival (1), glasgow film festival (1), south by southwest film festival (1), cph: pix (1), blank (5), london (1), limited (2), dundead - dundee horror film festival (1), barcelona (2), subtitled version (3), madrid (1), dvd premiere (6), massachusetts independent film festival (1), dvd and blu-ray premiere (1), motelx - lisbon international horror film festival (1), re-release (1), lyon festival hallucinations collectives (1), cinematic void (1)</t>
  </si>
  <si>
    <t>Pain &amp; Gain</t>
  </si>
  <si>
    <t>tt1980209</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</si>
  <si>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</si>
  <si>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Their American dream is bigger than yours.</t>
  </si>
  <si>
    <t>Comedy, Crime, Action</t>
  </si>
  <si>
    <t>paramount pictures, de line pictures, bay films</t>
  </si>
  <si>
    <t>Andrea Bennetti, Mark Wahlberg, Yolanthe Cabau, Keili Lefkovitz, Bar Paly, Brian Stepanek, Zack Moore, Rebel Wilson, Jennifer Nicole Lee, Dwayne Johnson, Bill Kelly, Persei Caputo, Kurt Angle, Jessica Dykstra, Nikki Benz, Patrick Bristow, Gwendalyn Barker, Kory Getman, Rob Corddry, Vivi Pineda, Emily Rutherfurd, Larry Hankin, Michael Rispoli, Amanda Cerny, Tony Plana, Wladimir Klitschko, Corinne Ferrer, Tony Shalhoub, Ed Harris, Christopher Jestin Langstaff, Anthony Mackie, Ken Jeong, Vannessa Nevader, Gustavo Escobar, Peter Stormare, Anthony "Ace" Thomas</t>
  </si>
  <si>
    <t>Michael Bay</t>
  </si>
  <si>
    <t>Ben Seresin</t>
  </si>
  <si>
    <t>Christopher Markus, Stephen McFeely</t>
  </si>
  <si>
    <t>Scott Gardenhour, Wendy Japhet, Ian Bryce, Donald De Line, Michael Bay, Matthew Cohan</t>
  </si>
  <si>
    <t>Steve Jablonsky</t>
  </si>
  <si>
    <t>/9WqA0Ry9wmTzFvom8mNbcyKZQgP.jpg</t>
  </si>
  <si>
    <t>pain &amp; gain</t>
  </si>
  <si>
    <t>miami, florida (1), premiere (1), blank (70), internet (3), german speaking region (1), french speaking region (1), deauville american film festival (1), italian speaking region (1), dvd premiere (2)</t>
  </si>
  <si>
    <t>Ek Thi Daayan</t>
  </si>
  <si>
    <t>tt2406676</t>
  </si>
  <si>
    <t>‚Ä°¬ß√®‚Ä°¬ß√Ø ‚Ä°¬ß‚Ä¢‚Ä°‚Ä¢√Ñ ‚Ä°¬ß¬∞‚Ä°¬ß√¶‚Ä°¬ß√ò‚Ä°¬ß¬Æ</t>
  </si>
  <si>
    <t>A popular magician seeks help from a psychiatrist to protect him from a witch that has haunted him since childhood.</t>
  </si>
  <si>
    <t>Everything Comes Full Circle</t>
  </si>
  <si>
    <t>Horror, Romance, Thriller</t>
  </si>
  <si>
    <t>vishal bhardwaj pictures, balaji motion pictures, cult movies</t>
  </si>
  <si>
    <t>Rajatabha Dutta, Deepak Dhadwal, Sara Arjun, Shirina Sambyal, Kalki Koechlin, Konkona Sen Sharma, Visshesh Tiwari, Pallavi Batra, Pooja Jhaveri, Huma Qureshi, Emraan Hashmi, Pavan Malhotra, Bhavesh Balchandani, Vidyadhar Karmakar</t>
  </si>
  <si>
    <t>Kannan Iyer</t>
  </si>
  <si>
    <t>Saurabh Goswami</t>
  </si>
  <si>
    <t>Matthew Robbins, Vishal Bhardwaj, Mukul Sharma</t>
  </si>
  <si>
    <t>Shobha Kapoor, Ekta Kapoor, Vishal Bhardwaj, Rekha Bhardwaj</t>
  </si>
  <si>
    <t>Vishal Bhardwaj</t>
  </si>
  <si>
    <t>/i0GKZCeNJD7VHk3pCtWTVvZ8lEz.jpg</t>
  </si>
  <si>
    <t>ek thi daayan</t>
  </si>
  <si>
    <t>blank (3), india film festival japan (1)</t>
  </si>
  <si>
    <t>The Reluctant Fundamentalist</t>
  </si>
  <si>
    <t>tt2032557</t>
  </si>
  <si>
    <t>In New York, a Pakistani native finds that his American Dream has collapsed in the wake of the 9/11 terrorist attacks.</t>
  </si>
  <si>
    <t>Terror has two faces.</t>
  </si>
  <si>
    <t>Thriller</t>
  </si>
  <si>
    <t>cine mosaic, mirabai films, dfi</t>
  </si>
  <si>
    <t>Qatar, United States of America, India</t>
  </si>
  <si>
    <t>English, √ø√ü√ø¬±√ø√ò≈∏√†</t>
  </si>
  <si>
    <t>Mark Oliver, Mahmood Mamdani, Yinka Adeboyeku, John Mark Ridings, Rohan Gupta, Robert Bryan Davis, Jamie Moore, Meesha Shafi, Megan Pigott, Kate Hudson, Erik Thirsk, Wendy Schweitzer, James Sutton, Sarah Quinn, Taylor St. Clair, Shabana Azmi, Clayton Landey, John Darko, Riz Ahmed, Roy McCrerey, Deepti Datt, Josiah Lyricq, Ashlyn Henson, Amuche Chukudebelu, Christian Wallace, Jimmy R. Perdue Jr., Cody Parker, Nelsan Ellis, Om Puri, Ali Sethi, Vince Canlas, Imaad Shah, Kuldeep Lulla, Byron Carvil Cecil Napier, Tim Campione, Keenan Carver, Golam Sarwar Harun, Martin Donovan, Chandrachur Singh, Haluk Bilginer, Charu Shankar, Ryan Nesset, Joel Rogers, Liev Schreiber, Momo Casablanca, Sonya Jehan, Ismail Bashey, Christopher Nicholas Smith, Kartikeya, Karen Valero, Daksh Vashisht, Adil Hussain, Cait Johnson, Javed Basu Kesselman, Ashwath Bhatt, Gary Richardson, Jawad Talpur, Uzimann, Claire Roberts Lamont, Bradford Haynes, Victor Slezak, Kiefer Sutherland</t>
  </si>
  <si>
    <t>Mira Nair</t>
  </si>
  <si>
    <t>William Wheeler, Ami Boghani, Mohsin Hamid</t>
  </si>
  <si>
    <t>Hani Farsi, Lydia Dean Pilcher</t>
  </si>
  <si>
    <t>Michael Andrews</t>
  </si>
  <si>
    <t>/nbdiRDhStWuAPmrscejIlRCFrQt.jpg</t>
  </si>
  <si>
    <t>the reluctant fundamentalist</t>
  </si>
  <si>
    <t>venice film festival (1), toronto international film festival (1), g√∂teborg international film festival (1), caamfest (1), cph:pix (1), limited (4), blank (10), munich international film festival (1), tv premiere (1), video premiere (1), dvd premiere (3), dvd and blu-ray premiere (1), internet (1)</t>
  </si>
  <si>
    <t>The Big Wedding</t>
  </si>
  <si>
    <t>tt1931435</t>
  </si>
  <si>
    <t>To the amusement of their adult children and friends, long-divorced couple Don and Ellie Griffin are forced to play the happy couple for the sake of their adopted son's wedding after his ultra conservative Catholic biological mother unexpectedly decides to fly halfway across the world to attend. With all of the wedding guests looking on, the Griffins are hilariously forced to confront their past, present and future - and hopefully avoid killing each other in the process.</t>
  </si>
  <si>
    <t>It's never too late to start acting like a family.</t>
  </si>
  <si>
    <t>millennium media, two ton films</t>
  </si>
  <si>
    <t>English, Espa‚àö¬±ol, Latin</t>
  </si>
  <si>
    <t>Katherine Heigl, Shana Dowdeswell, Robin Williams, Ben Barnes, Joshua Nelson, Quincy Dunn-Baker, Amanda Seyfried, Christine Ebersole, Robert De Niro, Susan Sarandon, Marvina Vinique, Ian Blackman, Diane Keaton, Kyle Bornheimer, Megan Ketch, Ana Ayora, Christa Campbell, Doug Torres, Patricia Rae, Topher Grace, David Rasche, John V. Barbieri, Sylvia Kauders, Edmund Lyndeck</t>
  </si>
  <si>
    <t>Justin Zackham</t>
  </si>
  <si>
    <t>Jonathan Brown</t>
  </si>
  <si>
    <t>Jean-St‚àö¬©phane Bron, Karine Sudan, Justin Zackham</t>
  </si>
  <si>
    <t>Philippe Martin, Harry J. Ufland, Anthony Katagas, Boaz Davidson, Avi Lerner, Thierry Spicher, Michael Paseornek, Danny Dimbort, Clay Pecorin, Trevor Short, Justin Zackham, Jason Constantine, Richard Salvatore, Eda Kowan, John Thompson</t>
  </si>
  <si>
    <t>Nathan Barr</t>
  </si>
  <si>
    <t>/ooSGwWVJRp81ErEH7VmTmVwjoMc.jpg</t>
  </si>
  <si>
    <t>the big wedding</t>
  </si>
  <si>
    <t>blank (77), dvd premiere (1)</t>
  </si>
  <si>
    <t>The Machine</t>
  </si>
  <si>
    <t>tt2317225</t>
  </si>
  <si>
    <t>Already deep into a second Cold War, Britain‚Äö√Ñ√¥s Ministry of Defense seeks a game-changing weapon. Programmer Vincent McCarthy unwittingly provides an answer in The Machine, a super-strong human cyborg. When a programming bug causes the prototype to decimate his lab, McCarthy takes his obsessive efforts underground, far away from inquisitive eyes.</t>
  </si>
  <si>
    <t>They rise. We fall.</t>
  </si>
  <si>
    <t>Science Fiction, Thriller</t>
  </si>
  <si>
    <t>red &amp; black films</t>
  </si>
  <si>
    <t>United Kingdom</t>
  </si>
  <si>
    <t>Paul James, Caity Lotz, Cornelius Garrett, Daniel Llewelyn-Williams, Nicola Reynolds, Giles Thomas, Pooneh Hajimohammadi, Ben McGregor, Stuart Matthews, Jade Croot, Toby Stephens, Jonathan Byrne, Lee Nicholas Harris, Dafydd Emyr, Clark Fisher, Helen Griffin, Gareth Jones, John-Paul Macleod, Sam Ellis, Siwan Morris, Sam Hazeldine, Richard Shackley, Denis Lawson, Joshua Higgott, Sule Rimi, Alan Low</t>
  </si>
  <si>
    <t>Caradog W. James</t>
  </si>
  <si>
    <t>Nicolai Br‚àö¬∫el</t>
  </si>
  <si>
    <t>John Giwa-Amu</t>
  </si>
  <si>
    <t>Tom Raybould</t>
  </si>
  <si>
    <t>/nNHAZaTrFVOjwLhkMYm4syUjNw8.jpg</t>
  </si>
  <si>
    <t>the machine</t>
  </si>
  <si>
    <t>tribeca film festival (1), fantasia film festival (1), lund fantastisk film festival (1), grimmfest international festival of fantastic film (1), raindance film festival (1), toronto after dark film festival (1), blank (4), dvd premiere (5), international horror &amp; sci-fi film festival (1), brussels international fantastic film festival (1), image film festival (1), dvd and blu-ray premiere (1), limited (1), internet (1)</t>
  </si>
  <si>
    <t>Mud</t>
  </si>
  <si>
    <t>tt1935179</t>
  </si>
  <si>
    <t>Two teenage boys find a fugitive hiding out on an island in the Mississippi River and help him reunite with his lover and escape an avenging family and their armed posse.</t>
  </si>
  <si>
    <t>Running from his past. Hiding from the law. Only one way out.</t>
  </si>
  <si>
    <t>everest entertainment, filmnation entertainment, brace cove productions</t>
  </si>
  <si>
    <t>Ryan Jacks, Michael Shannon, Matt Newcomb, Sam Shepard, Stuart Greer, Mary Alice Jones, Johnny Cheek, Joe Don Baker, Michael Abbott Jr., Allie Wade, Bonnie Sturdivant, John Ward Jr., Richard Ledbetter, Earnest McCoy, Matthew McConaughey, Tate Smalley, Kenneth Hill, Ray McKinnon, Douglas Ligon, Tye Sheridan, Paul Sparks, Kristy Barrington, Sarah Paulson, Reese Witherspoon, Jimmy Dinwiddie, Jacob Lofland</t>
  </si>
  <si>
    <t>Jeff Nichols</t>
  </si>
  <si>
    <t>Adam Stone</t>
  </si>
  <si>
    <t>Sarah Green, Gareth Smith, Tom Heller, Michael Flynn, Aaron Ryder, Lisa Maria Falcone, Glen Basner</t>
  </si>
  <si>
    <t>David Wingo</t>
  </si>
  <si>
    <t>/o2jT5jQdKh1HAF0fMKuGwBOwOYB.jpg</t>
  </si>
  <si>
    <t>mud</t>
  </si>
  <si>
    <t>cannes film festival (1), arras film festival (1), sundance film festival (1), south by southwest film festival (1), atlanta film and video festival (1), al√®s film festival (1), dallas international film festival (1), riverrun international film festival (1), new york city, new york (1), premiere (1), limited (4), blank (22), dvd premiere (1), beirut international film festival (1), stockholm international film festival (1), dvd and blu-ray premiere (1)</t>
  </si>
  <si>
    <t>The Truth About Emanuel</t>
  </si>
  <si>
    <t>tt1838520</t>
  </si>
  <si>
    <t>A troubled young woman becomes obsessed with her mysterious new neighbor, who bears a striking resemblance to the girl's dead mother.</t>
  </si>
  <si>
    <t>Two Lives. Two Voids. One Secret.</t>
  </si>
  <si>
    <t>rooks nest entertainment, mrb productions, pisces rising productions, producciones a ciegas, mott street pictures, votiv films</t>
  </si>
  <si>
    <t>United States of America, United Kingdom, Mexico</t>
  </si>
  <si>
    <t>Aneurin Barnard, Kevin McCorkle, Jonathan Schmock, Alfred Molina, Anne Ramsay, Frances O'Connor, Kaya Scodelario, Sam Jaeger, Wolf Fleetwood-Ross, Jimmi Simpson, Jessica Biel, Spencer Garrett</t>
  </si>
  <si>
    <t>Francesca Gregorini</t>
  </si>
  <si>
    <t>Polly Morgan</t>
  </si>
  <si>
    <t>Sarah Thorp, Francesca Gregorini</t>
  </si>
  <si>
    <t>Michael Sackler, Paul Schiff, Olga Segura, Rooney Mara, Francesca Gregorini, Jonathan Gray, Brent Stiefel, Kevin Iwashina, Julia Godzinskaya, Alex Sagalchik, Matthew R. Brady, Alice Bamford</t>
  </si>
  <si>
    <t>Nathan Larson</t>
  </si>
  <si>
    <t>/z98jqAlVlnXyYnTlC95Na8FQXHF.jpg</t>
  </si>
  <si>
    <t>the truth about emanuel</t>
  </si>
  <si>
    <t>sundance film festival (1), premiere (1), ashland independent film festival (1), sundance london film festival (1), brooklyn international film festival (1), provincetown film festival (1), marfa film festival (1), big eddy film festival (1), crested butte film festival (1), rio film festival (1), woodstock film festival (1), bendfilm festival (1), la femme international film festival (1), new hampshire film festival (1), blank (1), dvd premiere (5), champs-√©lys√©es film festival (1), internet (1)</t>
  </si>
  <si>
    <t>Aashiqui 2</t>
  </si>
  <si>
    <t>tt2203308</t>
  </si>
  <si>
    <t>‚Ä°¬ß√ú‚Ä°¬ß‚àÇ‚Ä°¬ß√∏‚Ä°¬ß√Ø‚Ä°‚Ä¢√Ñ ‚Ä°‚Ä¢¬Æ</t>
  </si>
  <si>
    <t>A young woman meets a failing musician who launches her singing career, but their relationship is doomed when people assume he's with her for her fame and fortune.</t>
  </si>
  <si>
    <t>Love makes life live...</t>
  </si>
  <si>
    <t>Drama, Romance</t>
  </si>
  <si>
    <t>t-series, vishesh films</t>
  </si>
  <si>
    <t>Milind Pathak, Mahesh Bhatt, Shraddha Kapoor, Salil Acharya, Mahesh Thakur, Aditya Roy Kapur, Shaad Randhawa, Soumyajit Majumdar</t>
  </si>
  <si>
    <t>Mohit Suri</t>
  </si>
  <si>
    <t>Vishnu Rao</t>
  </si>
  <si>
    <t>Mithoon Sharma, Shagufta Rafique, Irshad Kamil, Sandeep Nath</t>
  </si>
  <si>
    <t>Krishan Kumar, Mahesh Bhatt, Bhushan Kumar</t>
  </si>
  <si>
    <t>Mithoon Sharma, Ankit Tiwari, Jeet Gannguli</t>
  </si>
  <si>
    <t>/lMblq8xcQIRRIVdaMg1XC283gU0.jpg</t>
  </si>
  <si>
    <t>aashiqui 2</t>
  </si>
  <si>
    <t>dvd premiere (3), blank (3), india film festival japan (1), internet (1)</t>
  </si>
  <si>
    <t>Soodhu Kavvum</t>
  </si>
  <si>
    <t>tt2877108</t>
  </si>
  <si>
    <t>ta</t>
  </si>
  <si>
    <t>‚Ä°√Ü√∂‚Ä°√ò√á‚Ä°√Ü¬ß‚Ä°√ò√Ö ‚Ä°√Ü√Ø‚Ä°√Ü¬µ‚Ä°√ò√ß‚Ä°√Ü¬µ‚Ä°√ò√Ö‚Ä°√Ü√Ü‚Ä°√ò√ß</t>
  </si>
  <si>
    <t>Dass specialises in small time kidnapping and has his own set of rules. The primary and most important among them is not to get involved with influential people. Three jobless youngsters meet Dass and the four take up an assignment for a hefty sum that throws away this primary rule and end up being chased by a dreaded policeman.</t>
  </si>
  <si>
    <t>Rules Can't Be Broken</t>
  </si>
  <si>
    <t>Comedy, Thriller, Crime</t>
  </si>
  <si>
    <t>thirukumaran entertainment, studio green</t>
  </si>
  <si>
    <t>‚Ä°√Ü¬ß‚Ä°√Ü√Ü‚Ä°√Ü√∏‚Ä°√Ü¬•‚Ä°√ò√ß</t>
  </si>
  <si>
    <t>Radha Ravi, Gaana Bala, Karthik Subbaraj, Munishkanth, Yog Jappie, Saravanan, Anjali Rao, Vijay Sethupathi, Karunakaran, Yogi Babu, Soodhu Kavvum Sivakumar, Aruldoss, Sanchita Shetty, Anthony Daasan, M. S. Bhaskar, Ashok Selvan, Noble K. James, Ramesh Thilak, Bobby Simha</t>
  </si>
  <si>
    <t>Nalan Kumarasamy</t>
  </si>
  <si>
    <t>Dinesh Krishnan B.</t>
  </si>
  <si>
    <t>Srinivasa Kavineyam, Gaana Bala, Karundhel Rajesh, Nalan Kumarasamy</t>
  </si>
  <si>
    <t>C. V. Kumar</t>
  </si>
  <si>
    <t>Santhosh Narayanan</t>
  </si>
  <si>
    <t>/xItyli68pnToohrriXVhWlKe15B.jpg</t>
  </si>
  <si>
    <t>soodhu kavvum</t>
  </si>
  <si>
    <t>blank (4), zurich film festival (1), internet (1)</t>
  </si>
  <si>
    <t>Belle</t>
  </si>
  <si>
    <t>tt2404181</t>
  </si>
  <si>
    <t>Dido Elizabeth Bell, the illegitimate, mixed-race daughter of a Royal Navy admiral, plays an important role in the campaign to abolish slavery in England.</t>
  </si>
  <si>
    <t>Based on the inspiring true story</t>
  </si>
  <si>
    <t>pinewood studios, dj films, isle of man film, bfi, metrol technology</t>
  </si>
  <si>
    <t>Cara Jenkins, Natasha Williams, Tom Felton, Gugu Mbatha-Raw, Penelope Wilton, Sarah Gadon, Alex Jennings, James Northcote, Matthew Goode, Daniel Wilde, Tom Wilkinson, Lauren Julien-Box, Andrew Woodall, Miranda Richardson, Emily Watson, Sam Reid, Alan McKenna, Bethan Mary-James, James Norton</t>
  </si>
  <si>
    <t>Amma Asante</t>
  </si>
  <si>
    <t>Ben Smithard</t>
  </si>
  <si>
    <t>Misan Sagay</t>
  </si>
  <si>
    <t>Steve Christian, Damian Jones, Hilary Davis</t>
  </si>
  <si>
    <t>Rachel Portman</t>
  </si>
  <si>
    <t>/qCK00C3L0bM5jphoYU0gFpG3Hly.jpg</t>
  </si>
  <si>
    <t>belle</t>
  </si>
  <si>
    <t>toronto international film festival (1), palm springs international film festival (1), athena film festival (1), minneapolis-st. paul international film festival (1), phoenix film festival (1), dallas international film festival (1), newport beach international film festival (1), independent film festival boston (1), san francisco international film festival (1), montclair film festival (1), los angeles, california (1), new york city, new york (1), blank (15), louisiana international film festival (1), toronto (1), blu ray release (1), film by the sea film festival (1), dvd premiere (3), kyoto historica international film festival (1), internet (1), limited (1), pan african film festival (1), tv release (1)</t>
  </si>
  <si>
    <t>What Maisie Knew</t>
  </si>
  <si>
    <t>tt1932767</t>
  </si>
  <si>
    <t>In New York City, a young girl is caught in the middle of her parents' bitter custody battle.</t>
  </si>
  <si>
    <t>Based on the novel by Henry James</t>
  </si>
  <si>
    <t>red crown productions, weinstock productions, 10th hole productions, koda entertainment, 120db films, dreambridge films, image entertainment</t>
  </si>
  <si>
    <t>Jesse Stone Spadaccini, Joel Marsh Garland, Zachary Unger, Alexander Skarsg‚àö‚Ä¢rd, Cinna Vesterberg-Rosa, Emma Holzer, Valentine Aprile, Onata Aprile, Amelia Campbell, Steve Coogan, Arianna Shirak, Sean Gormley, Evangelo Bousis, Sadie Rae, Robert C. Kirk, Breanna Lakatos, Thomas Pescod, Paddy Croft, Andrea Bordeaux, Harrison Nesbit, Anne O'Shea, Henry Kelemen, Kevin Cannon, Bruce Cannon, Maddie Corman, Henry Helemen, Malachi Weir, Julianne Moore, Nadia Gan, Diana Garc‚àö‚â†a, Ellen Crown, Joanna Vanderham, Samantha Buck, Nate Lang, James Colby, Shobhit Agarwal, Stephen Mailer, Luke Forbes, Jessica Miano Kruel</t>
  </si>
  <si>
    <t>David Siegel, Scott McGehee</t>
  </si>
  <si>
    <t>Giles Nuttgens</t>
  </si>
  <si>
    <t>Nancy Doyne, Henry James, Carroll Cartwright</t>
  </si>
  <si>
    <t>Jennifer Roth, Marissa McMahon, Shawn Simpson, Todd Traina, Stephen Hays, Peter Fruchtman, Todd J. Labarowski, Daniel Crown, Eva Maria Daniels, Riva Marker, Anne O'Shea, William Teitler, Daniela Taplin Lundberg</t>
  </si>
  <si>
    <t>Nick Urata</t>
  </si>
  <si>
    <t>/1unkWKdT68ba6NdiSsPqzJeylxc.jpg</t>
  </si>
  <si>
    <t>what maisie knew</t>
  </si>
  <si>
    <t>toronto international film festival (1), tokyo international film festival (1), newport beach international film festival (1), san francisco international film festival (1), blank (21), sydney film festival (1), shanghai international film festival (1), edinburgh international film festival (1), film by the sea film festival (1), dvd premiere (1), limited (1), off plus camera krakow (1)</t>
  </si>
  <si>
    <t>Hotel California</t>
  </si>
  <si>
    <t>tt2899136</t>
  </si>
  <si>
    <t>ml</t>
  </si>
  <si>
    <t>‚Ä°¬•œÄ‚Ä°¬µ√£‚Ä°¬•√º‚Ä°¬µ√ß‚Ä°¬•√º‚Ä°¬µŒ© ‚Ä°¬•√Ø‚Ä°¬•√¶‚Ä°¬•‚â§‚Ä°¬•√∏‚Ä°¬•¬¥‚Ä°¬µ√£‚Ä°¬µ¬∫‚Ä°¬•¬£‚Ä°¬•√∏‚Ä°¬•√ò</t>
  </si>
  <si>
    <t>Hotel California is an 2013 Malayalam action comedy film written by Anoop Menon and directed by Aji John, starring Jayasurya, Anoop Menon, Honey Rose, Maria Roy and Aparna Nair.</t>
  </si>
  <si>
    <t>Welcome to the Hotel California.. it's a lovely place!</t>
  </si>
  <si>
    <t>Comedy, Drama, Thriller</t>
  </si>
  <si>
    <t>jairaj release</t>
  </si>
  <si>
    <t xml:space="preserve">‚Ä°¬ßœÄ‚Ä°¬ß√∏‚Ä°¬ß¬Æ‚Ä°‚Ä¢√ß‚Ä°¬ß¬∂‚Ä°‚Ä¢√Ñ, </t>
  </si>
  <si>
    <t>Sadiq, Krishna Prabha, Kavitha Nair, Kani Kusruti, Maria Roy, Manikuttan, Aparna Nair, Arun, Shankar, Honey Rose, Anoop Menon, Sruthi Lakshmi, Babu Namboothiri, P Balachandran, Narayanankutty, Krishna, Sudheesh, Sukumari, Joju George, Nandhu, Jayasurya, Noby Marcose, Saiju Kurup, Thezni Khan, Prasanth Alexander</t>
  </si>
  <si>
    <t>Aji John</t>
  </si>
  <si>
    <t>Jithu Damodar</t>
  </si>
  <si>
    <t>Anoop Menon</t>
  </si>
  <si>
    <t>Josemon Simon</t>
  </si>
  <si>
    <t>Shaan Rahman</t>
  </si>
  <si>
    <t>/esxJzJcFVYejSmo0YCWaeVPo1OK.jpg</t>
  </si>
  <si>
    <t>hotel california</t>
  </si>
  <si>
    <t>blank (1)</t>
  </si>
  <si>
    <t>Star Trek Into Darkness</t>
  </si>
  <si>
    <t>tt1408101</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</si>
  <si>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</si>
  <si>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Beyond the darkness, lies greatness.</t>
  </si>
  <si>
    <t>bad robot, paramount pictures, skydance media</t>
  </si>
  <si>
    <t>Melissa Paulo, Melissa Steinman, Ningning Deng, Fernando Chien, Kellie Cockrell, Ser'Darius Blain, Anjini Taneja Azhar, Alice Eve, Britanni Johnson, James Hiroyuki Liao, Paul K. Daniel, Heather Langenkamp, Lee Reherman, David C. Waite, Tom Archdeacon, Jacqueline King, Leonard Nimoy, Monisola Akiwowo, Katie Cockrell, Usman Ally, Joe Hanna, Jon Orvasky, Andy Demetrio, Chris Pine, Charlie Haugk, Joe Moses, Bruce Greenwood, Beau Billingslea, Jay Scully, Jeremy Raymond, Julianne Buescher, Colleen Harris, Jeff Chase, Simon Pegg, Matthew Wood, Kimberly Arland, Elle Newlands, Jonathan Dixon, Nazneen Contractor, Jesper Inglis, David Sobolov, Gianna Simone, Berit Francis, Toney Wilson, Peter Weller, Rene Rosado, Max Chernov, Eric Greitens, Cynthia Addai-Robinson, Noel Clarke, Arlen Escarpeta, Zoe Salda‚àö¬±a, Marco Sanchez, Sean Blakemore, Gina Hirsch, Jacob Rhodes, Seth Ayott, Anton Yelchin, Aisha Hinds, Audrey Wasilewski, Jon Lee Brody, Long Tran, Nick E. Tarabay, Drew Grey, Kiff VandenHeuvel, Emily Towers, Gerald W. Abrams, Hiram A. Murray, David Acord, Douglas Weng, Christopher Doohan, Kevin Michael Richardson, John Cho, Fred Tatasciore, Jason Matthew Smith, Benedict Cumberbatch, Rob Moran, Jack Laufer, Benjamin P. Binswanger, Kentucky Rhodes, Tony Guma, Scott Lawrence, Chris Gardner, Deep Roy, Adam McCann, Zachary Quinto, Candice Renee, Brian T. Delaney, Amanda Foreman, Joseph Gatt, Joni Johnston, Karl Urban, Akiva Goldsman, Bill Hader, Nolan North, Marc Primiani, James McGrath</t>
  </si>
  <si>
    <t>J.J. Abrams</t>
  </si>
  <si>
    <t>Dan Mindel</t>
  </si>
  <si>
    <t>Alex Kurtzman, Gene Roddenberry, Roberto Orci, Damon Lindelof</t>
  </si>
  <si>
    <t>Dana Goldberg, Paul Schwake, Alex Kurtzman, Jeffrey Chernov, Roberto Orci, Damon Lindelof, J.J. Abrams, Bryan Burk, David Ellison</t>
  </si>
  <si>
    <t>Michael Giacchino</t>
  </si>
  <si>
    <t>/7XrRkhMa9lQ71RszzSyVrJVvhyS.jpg</t>
  </si>
  <si>
    <t>star trek into darkness</t>
  </si>
  <si>
    <t>london (1), premiere (3), blank (71), german speaking region (1), limited (2), hollywood, california (1), imax (1), ulaanbaatar (1), french speaking region (1), italian speaking region (1), buenos aires (1), imax version (1), beijing international film festival (1)</t>
  </si>
  <si>
    <t>Hummingbird</t>
  </si>
  <si>
    <t>tt1893256</t>
  </si>
  <si>
    <t>Homeless and on the run from a military court martial, a damaged ex-special forces soldier navigating London's criminal underworld seizes an opportunity to assume another man's identity, transforming into an avenging angel in the process.</t>
  </si>
  <si>
    <t>All roads don't lead to salvation.</t>
  </si>
  <si>
    <t>lionsgate, shoebox films, im global</t>
  </si>
  <si>
    <t>Jason Statham, Macey Chipping, John Killoran, Emaa Hussen, Youssef Kerkour, Chris Streeks, Christopher Logan, Andrew Ellis, Joseph Long, James Bye, Victoria Bewick, Ian Pirie, Sheng-Chien Tsai, David Bradley, Jason Wong, Tony Hoy, Michelle Wen Lee, Anthony Morris, Benedict Wong, Jeff Mirza, Joanna Finata, Harry Taurasi, Steven Beard, Paul Blackwell, Anna Maria Everett, Emily Lue-Fong, Ger Ryan, Agata Buzek, Bruce Wang, Siobhan Hewlett, Senem Temiz, Vicky McClure, Sang Lui, Adam Skeats, Danny Webb, Rosemary Annabella, Lee Nicholas Harris, Bahaa Nasser, Christian Brassington, Lillie Buttery, Ed Gaughan, Josef Altin, Joe Kallis, Aklima Begum</t>
  </si>
  <si>
    <t>Steven Knight</t>
  </si>
  <si>
    <t>Chris Menges</t>
  </si>
  <si>
    <t>Stuart Ford, Paul Webster, Deepak Nayar, Guy Heeley, Brian Kavanaugh-Jones, Joe Wright</t>
  </si>
  <si>
    <t>Dario Marianelli</t>
  </si>
  <si>
    <t>/bN2aGUOxHRwGms68WTDr2MHzkKa.jpg</t>
  </si>
  <si>
    <t>hummingbird</t>
  </si>
  <si>
    <t>dances made festival (1), blank (27), seattle international film festival (1), limited (1), tv release (2), smithsonian film festival (1), dvd and blu-ray premiere (1), dvd premiere (6), seattle local sightings film festival (1), blu-ray release (1), imaginenative (1), internet (1)</t>
  </si>
  <si>
    <t>The Great Gatsby</t>
  </si>
  <si>
    <t>tt1343092</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</si>
  <si>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</si>
  <si>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Dream dangerously.</t>
  </si>
  <si>
    <t>warner bros. pictures, village roadshow pictures, bazmark, red wagon entertainment, a+e global media</t>
  </si>
  <si>
    <t>United States of America, Australia</t>
  </si>
  <si>
    <t>Jack Thompson, Charlize Skinner, Emily Foreman, Leonardo DiCaprio, Nicholas Simpson, Thomas Egan, Emmanuel Ekwensi, Isla Fisher, Sophie Rose Holloway, Tiana Canterbury, Amitabh Bachchan, Morgan Choice, Nick Tate, Bill Young, Briden Starr, Jeremy Costello, Price Johnson, Eden Dessalegn, Romina Villafranca, Vince Colosimo, Veronica Beattie, Leah Wood, Eden Falk, Matthew Whittet, John Maumau, Elenoa Rokobaro, Stephen James King, Lisa Viola, Callan McAuliffe, Jaclyn Seymour, Gus Murray, James May, Kahlia Greksa, Kim Knuckey, Tasman Palazzi, Iota, Ben McIvor, Jake Ryan, Gemma Ward, Alex Stewart, Alfred Quinten, Corey Blake Owers, Charles Bartley, Tobey Maguire, Mal Day, Nancy Denis, John O'Connell, Kieran van Bunnik, Felix Williamson, Max Cullen, Natasha Marconi, Effie Nkrumah, Tiger Leacey Wyvill, Henry Byalikov, Daniel Gill, Kate Mulvany, Lyndell Harradine, Brenton Prince, Mikaela Smith, Ryan Cooper, Gadir Rajab, Barry Otto, Olga Miller, Zac McAliece, Hamish Michael, Steve Bisley, Danielle Evrat, Richard Carter, Milan Pulvermacher, John Sheerin, Mark Lemon, Kevin McGlothan, Sylvana Vandertouw, Goran D. Kleut, Lara Mulcahy, Kane Bonke, Joel Edgerton, Kate Rutherford, Elizabeth Debicki, Kirby Burgess, David Furlong, Bryan Probets, Denning Isles, Kaylie Yee, Heather Mitchell, Donna Stevens, Kasia Stelmach, Carey Mulligan, Adelaide Clemens, Frank Aldridge, Karinna Greksa, Mitchell Woodcock, Ryan Gonzalez, Michelle Hopper, Thabang Baloyi, Barrie Laws, Lil Tulloch, Brian Rooney, Garrett William Fountain, Jason Clarke, Brendan Maclean, Nick Meenahan, Lisa Adam</t>
  </si>
  <si>
    <t>Baz Luhrmann</t>
  </si>
  <si>
    <t>Simon Duggan</t>
  </si>
  <si>
    <t>Craig Pearce, Baz Luhrmann, F. Scott Fitzgerald</t>
  </si>
  <si>
    <t>Jay-Z, Barrie M. Osborne, Catherine Knapman, Catherine Martin, Baz Luhrmann, Lucy Fisher, Bruce Berman, Douglas Wick</t>
  </si>
  <si>
    <t>Craig Armstrong</t>
  </si>
  <si>
    <t>/nimh1rrDDLhgpG8XAYoUZXHYwb6.jpg</t>
  </si>
  <si>
    <t>the great gatsby</t>
  </si>
  <si>
    <t>new york city, new york (1), premiere (2), blank (73), buenos aires (1), french speaking region (1), cannes film festival (1), german speaking region (1), italian speaking region (1), dvd premiere (1), re-release (1)</t>
  </si>
  <si>
    <t>Go Goa Gone</t>
  </si>
  <si>
    <t>tt2436516</t>
  </si>
  <si>
    <t>‚Ä°¬ß√≥‚Ä°‚Ä¢√£ ‚Ä°¬ß√≥‚Ä°‚Ä¢√£‚Ä°¬ß√ú ‚Ä°¬ß√≥‚Ä°‚Ä¢√¢‚Ä°¬ß¬Æ</t>
  </si>
  <si>
    <t>A rave party off the coast of Goa goes horrifyingly and hilariously wrong when the island is overrun with zombies.</t>
  </si>
  <si>
    <t>I Kill Dead People.</t>
  </si>
  <si>
    <t>Comedy, Horror</t>
  </si>
  <si>
    <t>eros international, illuminati films pvt ltd</t>
  </si>
  <si>
    <t>Anuradha Sharma, Anand Tiwari, Suparn Verma, Ross Bucharn, Abhishek Kapoor, Kunal Khemu, Puja Gupta, Meenal Thakur, Avinash Serrao, Nagaraju Jalli, Vir Das, Krishna D.K., Jasleen Jil, Abhishek Banerjee, Soha Ali Khan, Pitobash, Larissa Bonesi, Saif Ali Khan</t>
  </si>
  <si>
    <t>Raj Nidimoru, Krishna D.K.</t>
  </si>
  <si>
    <t>Lukasz Pruchnik, Dan MacArthur</t>
  </si>
  <si>
    <t>Dinesh Vijan, Saif Ali Khan</t>
  </si>
  <si>
    <t>Jigar Saraiya, Sachin Sanghvi</t>
  </si>
  <si>
    <t>/pyaAYAifrZ1jAfbdunSAiK0QbKs.jpg</t>
  </si>
  <si>
    <t>go goa gone</t>
  </si>
  <si>
    <t>blank (4), limited (1), lyon festival bollywood india (1), india film festival japan (1), chicago international film festival (1), black bear filmfest (1), brussels international fantastic film festival (1), fantasy filmfest (1)</t>
  </si>
  <si>
    <t>The German Doctor</t>
  </si>
  <si>
    <t>tt1847746</t>
  </si>
  <si>
    <t>es</t>
  </si>
  <si>
    <t>Wakolda</t>
  </si>
  <si>
    <t>Patagonia, 1960. A German doctor meets an Argentinean family and follows them to a town where the family will be starting a new life. The family welcomes the doctor into their home and entrust their young daughter to his care, not knowing that he is one of the most dangerous criminals in the world.</t>
  </si>
  <si>
    <t>Nothing is more mysterious than the blood</t>
  </si>
  <si>
    <t>Drama, Thriller, History</t>
  </si>
  <si>
    <t>pyramide productions, cine.ar, p&amp;p endemol argentina, historias cinematogr‚àö¬∞ficas, telefe, the stan jakubowicz co., hummelfilm, moviecity, wanda visi‚àö‚â•n</t>
  </si>
  <si>
    <t>Argentina, France, Norway, Spain</t>
  </si>
  <si>
    <t>Deutsch, Espa‚àö¬±ol, ‚óä¬¢√∑¬•‚óä√´√∑‚àû‚óä¬Æ√∑¬•‚óä√¥‚óä‚Ñ¢</t>
  </si>
  <si>
    <t>Benito E. Crespo, Nicolas Marsella, Guillermo Pfening, Diego Peretti, Carlos Kaspar, Maia Muravchik, Valeria Radivo, Julia Zey, Juan I Martinez, Marcelo 'Hos' Bearzi, Alan Daicz, Florencia Bado, Brian Sichel, Mat‚àö‚â†az Zunino, Maria V. Barret, Mart‚àö‚â†n Willnecker, Seb‚àö¬∞stian C‚àö¬∞neva, Hartmut Becher, ‚àö√Ñlex Brendem‚àö¬∫hl, Tob‚àö‚â†as Gonz‚àö¬∞lez Varcel‚àö‚â•, Elena Roger, Ana Pauls, Ricardo Truppel, Sof‚àö‚â†a Stieglitz, Natalia Oreiro, Abril Braunstein, Diego Acosta, Tom‚àö¬∞s Jacob</t>
  </si>
  <si>
    <t>Luc‚àö‚â†a Puenzo</t>
  </si>
  <si>
    <t>Nicol‚àö¬∞s Puenzo</t>
  </si>
  <si>
    <t>Christian Cardoner, Luc‚àö‚â†a Puenzo, Fabienne Vonier, Gudny Hummelvoll, Axel Kuschevatzky, Jos‚àö¬© Mar‚àö‚â†a Morales, Stan Jakubowicz</t>
  </si>
  <si>
    <t>Daniel Tarrab, Andr‚àö¬©s Goldstein</t>
  </si>
  <si>
    <t>/3ZwX3U4eRQBB8ZWTjsxAmnikk1J.jpg</t>
  </si>
  <si>
    <t>the german doctor</t>
  </si>
  <si>
    <t>festival of jewish cinema (1), caracas jewish film festival (1), cannes film festival (1), lima film festival (1), sarajevo film festival (1), montr√©al world film festival (1), unasur cine (1), saint petersburg international film festival (1), blank (26), san sebasti√°n film festival (1), cambridge film festival (1), filmekimi (1), biarritz international festival of latin american cinema (1), war on screen international film festival (1), films from the south festival (1), chicago international film festival (1), latin beat film festival (1), zagreb film festival (1), limited (1), s√£o paulo international film festival (1), leeds international film festival (1), bengaluru international film festival (1), palm springs international film festival (1), french speaking region (1), g√∂teborg international film festival (1), german speaking region (1), buff film festival (1), international film festival vilnius (1), stockholm filmfestival junior (1), riverrun international film festival (1), golden horse fantastic film festival (1), taipei golden horse fantastic film festival (1), jerusalem film festival (1), traverse city film festival (1), tv premiere (2)</t>
  </si>
  <si>
    <t>Fast &amp; Furious 6</t>
  </si>
  <si>
    <t>tt1905041</t>
  </si>
  <si>
    <t>Hobbs has Dominic and Brian reassemble their crew to take down a team of mercenaries; Dominic unexpectedly gets sidetracked with facing his presumed deceased girlfriend, Letty.</t>
  </si>
  <si>
    <t>All roads lead to this.</t>
  </si>
  <si>
    <t>Action, Thriller, Crime</t>
  </si>
  <si>
    <t>relativity media, original film, one race</t>
  </si>
  <si>
    <t>√ÇœÄ√∏√Ç‚àë√ª√ã√ò√π / √Ç¬™¬£√Ç‚àë√ª√ã¬©¬±, Nederlands, English, √ä√≥‚Ä¢√ä√∫¬®√ã‚Ñ¢√ª, P‚Äî√â‚Äî√Ö‚Äî√Ö‚Äì‚à´‚Äì‚àè‚ÄìœÄ, Espa‚àö¬±ol</t>
  </si>
  <si>
    <t>Salem Hanna, Johnny Strong, Andrei Zayats, Magda Rodriguez, Carolina Pozo, Elsa Pataky, James Hare, Carmelo Oquendo, Samuel M. Stewart, Paul Buchanan, Vin Diesel, Michelle Rodriguez, Tommy Dallace, Rita Ora, Adrian Allan, Andrew Koji, Andy Pointon, Thure Lindhardt, Huggy Leaver, Lee Asquith-Coe, Matthew Stirling, Baron Jay, Jimmy Star, Albert Tang, Clara Paget, Jadey Duffield, Amy Forrest, Steve D'Assis, Victor Gardener, Gintare Beinoraviciute, Stephen Marcus, Mark Haldor, Alexander Vegh, Lee Bolton, Paul Blackwell, Ludacris, Luke Evans, Jason Statham, Glen Stanway, Gioacchino Jim Cuffaro, Brandon Q. W. McConnell, Kim Kold, Leon Corbin, Gemita Samarra, Jason Thorpe, Fran‚àö√üoise Philippart de Foy, Sung Kang, Allistair McNab, Paul Walker, Irana Perry, Christoph Cordell, Annalese Ferrari, Clem So, Joe Taslim, Sonia Hern‚àö¬∞ndez Fumero, Laz Alonso, Sol de la Barreda, Catherine Delaloye, Jordana Brewster, Dean Barlage, Benjamin Davies, Elvira Tric‚àö¬∞s, Revil Beat, Gina Carano, Julian Stone, Lewis James, Alan Hughes, Kelvin Enwereobi, Jhony Me‚àö¬±dez, Jason Harris, Tyrese Gibson, John Ortiz, Deborah Rosan, Eddie Bagayawa, Pilar Mayo, Shea Whigham, Dennis Good, David Ajala, Sarah Yan Li, Lee Craven, Gal Gadot, Dwayne Johnson, Alex Martin, Rowena Diamond, Chris Wilson</t>
  </si>
  <si>
    <t>Justin Lin</t>
  </si>
  <si>
    <t>Gary Scott Thompson, Chris Morgan</t>
  </si>
  <si>
    <t>Vin Diesel, Chris Morgan, Clayton Townsend, Samantha Vincent, Amanda Lewis, Neal H. Moritz</t>
  </si>
  <si>
    <t>Lucas Vidal</t>
  </si>
  <si>
    <t>/thSmnRdrzPBBospIOJjLZBReqzo.jpg</t>
  </si>
  <si>
    <t>fast &amp; furious 6</t>
  </si>
  <si>
    <t>london (1), premiere (1), blank (67), french speaking region (1), italian speaking region (1), german speaking region (1), ulaanbaatar (1), beijing international film festival (1), dvd premiere (1), internet (1)</t>
  </si>
  <si>
    <t>The Hangover Part III</t>
  </si>
  <si>
    <t>tt1951261</t>
  </si>
  <si>
    <t>This time, there's no wedding. No bachelor party. What could go wrong, right? But when the Wolfpack hits the road, all bets are off.</t>
  </si>
  <si>
    <t>It all ends.</t>
  </si>
  <si>
    <t>green hat films, legendary pictures, benderspink</t>
  </si>
  <si>
    <t>Scott Anthony Leet, Harrison Forsyth, Grant Holmquist, Justin Bartha, Max Aronoff-Sher, Tiffany Tynes, John Goodman, Danny Le Boyer, Jeffrey Tambor, Crystal the Monkey, Jenny Ladner, Tim Sitarz, Silvia Curiel, Heather Graham, Emma Wetzel, Jamie Chung, Damion Poitier, Sondra Currie, Roger Schueller, Zach Galifianakis, Lewis Tan, Oscar Torre, Gillian Vigman, Ken Jeong, Ed Helms, Jonny Coyne, Betty Murphy, Mike Epps, Jim Lau, Lela Loren, Bradley Cooper, Oliver Cooper, Sasha Barrese, Sasha milan, Todd Phillips, Mike Vallely, Melissa McCarthy</t>
  </si>
  <si>
    <t>Todd Phillips</t>
  </si>
  <si>
    <t>Lawrence Sher</t>
  </si>
  <si>
    <t>Jon Lucas, Todd Phillips, Scott Moore, Craig Mazin</t>
  </si>
  <si>
    <t>Daniel Goldberg, Thomas Tull, Scott Budnick, J.C. Spink, Todd Phillips</t>
  </si>
  <si>
    <t>Christophe Beck</t>
  </si>
  <si>
    <t>/vtxuPWkdllLNLVyGjKYa267ntuH.jpg</t>
  </si>
  <si>
    <t>the hangover part iii</t>
  </si>
  <si>
    <t>los angeles, california (1), premiere (2), blank (69), buenos aires (1), french speaking region (1), german speaking region (1), internet (1)</t>
  </si>
  <si>
    <t>Now You See Me</t>
  </si>
  <si>
    <t>tt1670345</t>
  </si>
  <si>
    <t>An FBI agent and an Interpol detective track a team of illusionists who pull off bank heists during their performances and reward their audiences with the money.</t>
  </si>
  <si>
    <t>The closer you look, the less you‚Äö√Ñ√¥ll see.</t>
  </si>
  <si>
    <t>Thriller, Crime</t>
  </si>
  <si>
    <t>summit entertainment, k/o paper products, soixan7e quin5e, see me louisiana</t>
  </si>
  <si>
    <t>United States of America, France</t>
  </si>
  <si>
    <t>Fran‚àö√üais, English</t>
  </si>
  <si>
    <t>Adella Gautier, Stanley Wong, Hunter Burke, Kevin Roy, Common, Han Soto, Woody Harrelson, Shannon Hand, Wendy Miklovic, Christian Gazio, Catherine Kim Poon, Conan O'Brien, Teddy Ca‚àö¬±ez, Nicki Daniels Jr., Dave Franco, Michael Kelly, Kateryn Swann, Scott Shilstone, Adam Shapiro, Jessica Lindsey, David Warshofsky, Jesse Eisenberg, Laura Cayouette, Morgan Freeman, Jos‚àö¬© Garcia, Odessa Feaster, Zac Waggener, Caitr‚àö‚â†ona Balfe, Samantha Beaulieu, Benoit Cransac, Brian Tucker, Elias Koteas, M‚àö¬©lanie Laurent, Joe Chrest, Michael Hartson, Andy Ryan, Isla Fisher, Kerry Cahill, Diego Mir‚àö‚â•, Erik Blake, Kenneth Herrington, David Joseph Martinez, Griff Furst, Anthony Molinari, Michael Caine, Caleb Michaelson, Justine Wachsberger, Stephanie Honor‚àö¬©, J. LaRose, Jaren Mitchell, Brad Abrell, Mark Ruffalo, Randy Rousseau, Douglas M. Griffin</t>
  </si>
  <si>
    <t>Louis Leterrier</t>
  </si>
  <si>
    <t>Mitchell Amundsen, Larry Fong</t>
  </si>
  <si>
    <t>Edward Ricourt, Boaz Yakin, Ed Solomon</t>
  </si>
  <si>
    <t>Boaz Yakin, Bobby Cohen, Michael Schaefer, Stan Wlodkowski, Alex Kurtzman, Roberto Orci</t>
  </si>
  <si>
    <t>Brian Tyler</t>
  </si>
  <si>
    <t>/tWsNYbrqy1p1w6K9zRk0mSchztT.jpg</t>
  </si>
  <si>
    <t>now you see me</t>
  </si>
  <si>
    <t>new york city, new york (1), premiere (2), los angeles, california (1), blank (70), closing film (1), shanghai international film festival (1), extended version (1), tokyo (1), blu-ray release (1)</t>
  </si>
  <si>
    <t>Only God Forgives</t>
  </si>
  <si>
    <t>tt1602613</t>
  </si>
  <si>
    <t>Julian, who runs a Thai boxing club as a front organization for his family's drug smuggling operation, is forced by his mother Crystal to find and kill the individual responsible for his brother's recent death.</t>
  </si>
  <si>
    <t>Time to meet the Devil.</t>
  </si>
  <si>
    <t>Drama, Thriller, Crime</t>
  </si>
  <si>
    <t>wild bunch, bold films, gaumont, film i v‚àö¬ßst, space rocket nation, motel movies</t>
  </si>
  <si>
    <t>Denmark, France, Sweden, United States of America, Belgium, Thailand</t>
  </si>
  <si>
    <t>English, ‚Ä°‚àè‚Ä†‚Ä°‚àè‚â§‚Ä°‚àè¬©‚Ä°‚àè‚â§‚Ä°œÄ√ë‚Ä°‚àè√≥‚Ä°‚àè¬¢</t>
  </si>
  <si>
    <t>Narucha Chaimareung, Wittchuta Watjanarat, Danai Thiengdham, Ryan Gosling, Byron Bishop, Kristin Scott Thomas, Teerawat Mulvilai, Saichia Wongwirot, Keerati Sivakua, Kowit Wattanakul, Pitchawat Petchayahon, Byron Gibson, Alisa Wongvisut, Joe Cummings, Tom Burke, Sasapin Siriwanij, Wannisa Peungpa, Vithaya Pansringarm, Charlie Ruedpokanon, Dujdao Vadhanapakorn, Nophand Boonyai, Ron Smoorenburg, Nuntiya Thongnoo, Matthew Ryder, Rhatha Phongam, Gordon Brown, Aratchaporn Sathet, Sahajak Boonthanakit</t>
  </si>
  <si>
    <t>Nicolas Winding Refn</t>
  </si>
  <si>
    <t>Larry Smith</t>
  </si>
  <si>
    <t>Matthew Read, Lene B‚àö‚àèrglum, Jacob Jarek, Vincent Maraval, Sidonie Dumas, Jason Janego, Michel Litvak, Ryan Gosling, David Lancaster, Hanne Palmquist, Thor Sigurjonsson, Jessica Ask, Brahim Chioua, Tom Quinn, Gary Michael Walters</t>
  </si>
  <si>
    <t>Cliff Martinez</t>
  </si>
  <si>
    <t>/84HR8v3vtz91vTouBX3H5eEWJvP.jpg</t>
  </si>
  <si>
    <t>only god forgives</t>
  </si>
  <si>
    <t>blank (29), cannes film festival (1), ekek sika s√§kiss√§ film festival (1), sydney film festival (1), belgrade blockbuster review (1), los angeles film festival (1), munich international film festival (1), limited (2), rio de janeiro international film festival (1), cinedays film festival (1), morbido film fest (1), european film festival (1), blu-ray premiere (1), international film festival vilnius (1), dvd premiere (1), geneva international film festival (1)</t>
  </si>
  <si>
    <t>After Earth</t>
  </si>
  <si>
    <t>tt1815862</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</si>
  <si>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</si>
  <si>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Danger is real, fear is a choice</t>
  </si>
  <si>
    <t>Science Fiction, Action, Adventure</t>
  </si>
  <si>
    <t>columbia pictures, overbrook entertainment, blinding edge pictures</t>
  </si>
  <si>
    <t>Zo‚àö¬¥ Kravitz, Diego Klattenhoff, Matthew Andrews, Jaden Smith, Sincere L. Bobb, Isabelle Fuhrman, Lincoln Lewis, Jaden Martin, Chris Geere, Monika Jolly, Darrell Foster, Kristofer Hivju, Sophie Okonedo, Sacha Dhawan, David Denman, Jon Mack, Will Smith, Glenn Morshower</t>
  </si>
  <si>
    <t>M. Night Shyamalan</t>
  </si>
  <si>
    <t>Peter Suschitzky</t>
  </si>
  <si>
    <t>Gary Whitta, Mark Boal, Stanley D. Williams, M. Night Shyamalan, Will Smith, Stephen Gaghan</t>
  </si>
  <si>
    <t>James Lassiter, Will Smith, Caleeb Pinkett, M. Night Shyamalan, Jada Pinkett Smith, E. Bennett Walsh</t>
  </si>
  <si>
    <t>James Newton Howard</t>
  </si>
  <si>
    <t>/iXMvYIlzzJBs352CfeiQcBvovZt.jpg</t>
  </si>
  <si>
    <t>after earth</t>
  </si>
  <si>
    <t>tokyo (1), premiere (2), seoul (1), seattle international film festival (1), blank (73), sydney film festival (1), ulaanbaatar (1), tv premiere (1)</t>
  </si>
  <si>
    <t>The East</t>
  </si>
  <si>
    <t>tt1869716</t>
  </si>
  <si>
    <t>An operative for an elite private intelligence firm finds her priorities irrevocably changed after she is tasked with infiltrating an anarchist group known for executing covert attacks upon major corporations.</t>
  </si>
  <si>
    <t>Spy on us, we'll spy on you.</t>
  </si>
  <si>
    <t>tsg entertainment, scott free productions</t>
  </si>
  <si>
    <t>Billy Magnussen, Michael Nouryeh, Aldis Hodge, Ryan Grego, Patricia Clarkson, Shiloh Fernandez, Richard Zeringue, Han Soto, Hillary Baack, Pamela Roylance, Danielle Macdonald, Alexander Skarsg‚àö‚Ä¢rd, Ava Bogle, Wilbur Fitzgerald, Toby Kebbell, Ron Flagge, Elliot Page, Billy Slaughter, Jamey Sheridan, Julia Ormond, John Neisler, Brian Oerly, Jason Ritter, Randy Fife, Brit Marling, Patricia French</t>
  </si>
  <si>
    <t>Zal Batmanglij</t>
  </si>
  <si>
    <t>Roman Vasyanov</t>
  </si>
  <si>
    <t>Zal Batmanglij, Brit Marling</t>
  </si>
  <si>
    <t>Tony Scott, Ridley Scott, Brit Marling, Jocelyn Hayes, Michael Costigan</t>
  </si>
  <si>
    <t>Halli Cauthery</t>
  </si>
  <si>
    <t>/nGoFIX5WmthZZ3eLBd0QwDSkWNy.jpg</t>
  </si>
  <si>
    <t>the east</t>
  </si>
  <si>
    <t>sundance film festival (1), south by southwest film festival (1), phoenix film festival (1), ivy film festival (1), environmental film festival at yale (1), newport beach international film festival (1), independent film festival of boston (1), san francisco international film festival (2), los angeles, california (1), new york city, new york (1), toronto (1), champs-elys√©es film festival (1), edinburgh international film festival (1), blank (9), jameson cinefest international film festival (1), dvd premiere (6), utopia film festival (1), tv release (1)</t>
  </si>
  <si>
    <t>The Purge</t>
  </si>
  <si>
    <t>tt2184339</t>
  </si>
  <si>
    <t>Given the country's overcrowded prisons, the U.S. government begins to allow 12-hour periods of time in which all illegal activity is legal. During one of these free-for-alls, a family must protect themselves from a home invasion.</t>
  </si>
  <si>
    <t>One night a year, all crime is legal.</t>
  </si>
  <si>
    <t>Science Fiction, Horror, Thriller</t>
  </si>
  <si>
    <t>universal pictures, why not productions, platinum dunes, blumhouse productions</t>
  </si>
  <si>
    <t>France, United States of America</t>
  </si>
  <si>
    <t>Adelaide Kane, Rhys Wakefield, Tony Oller, Dana Bunch, Nathan Clarkson, Boima Blake, Jesse Jacobs, Mickey Facchinello, Aaron Kuban, Peter Gvozdas, John Weselcouch, David Basila, Cindy Robinson, Tom Yi, Lena Headey, Tisha French, Chris Mulkey, Crystal Lockhart, Arija Bareikis, Alicia Vela-Bailey, Max Burkholder, Tyler Osterkamp, RJ Wolfe, Ethan Hawke, Edwin Hodge, Karen Strassman</t>
  </si>
  <si>
    <t>James DeMonaco</t>
  </si>
  <si>
    <t>Jacques Jouffret</t>
  </si>
  <si>
    <t>Brad Fuller, Andrew Form, S‚àö¬©bastien K. Lemercier, Michael Bay, Jason Blum</t>
  </si>
  <si>
    <t>Nathan Whitehead</t>
  </si>
  <si>
    <t>/46X1ei9uf13nkkr0OhWldGyr5Uh.jpg</t>
  </si>
  <si>
    <t>the purge</t>
  </si>
  <si>
    <t>internet (4), stanley film festival (1), blank (58), dvd premiere (2), tv premiere (1)</t>
  </si>
  <si>
    <t>Yeh Jawaani Hai Deewani</t>
  </si>
  <si>
    <t>tt2178470</t>
  </si>
  <si>
    <t>‚Ä°¬ß√ò‚Ä°‚Ä¢√° ‚Ä°¬ß√∫‚Ä°¬ß¬µ‚Ä°¬ß√¶‚Ä°¬ß¬Æ‚Ä°‚Ä¢√Ñ ‚Ä°¬ßœÄ‚Ä°‚Ä¢√† ‚Ä°¬ß¬∂‚Ä°‚Ä¢√Ñ‚Ä°¬ß¬µ‚Ä°¬ß√¶‚Ä°¬ß¬Æ‚Ä°‚Ä¢√Ñ</t>
  </si>
  <si>
    <t>On a trekking trip, an introverted Naina falls for a charming ex-classmate, whose thirst for adventure drives them apart. Years later, their paths cross again.</t>
  </si>
  <si>
    <t>one cannot be wise and old without being young and crazy</t>
  </si>
  <si>
    <t>Romance, Comedy</t>
  </si>
  <si>
    <t>dharma productions, utv motion pictures, eros international</t>
  </si>
  <si>
    <t>Kunaal Roy Kapur, Naveen Kaushik, Rana Daggubati, Ranbir Kapoor, Aditya Roy Kapur, Tanvi Azmi, Poorna Jagannathan, Punya Darshan Gupta, Anisa Butt, Farooq Shaikh, Evelyn Sharma, Deepika Padukone, Madhuri Dixit, Kalki Koechlin</t>
  </si>
  <si>
    <t>Ayan Mukerji</t>
  </si>
  <si>
    <t>V. Manikandan</t>
  </si>
  <si>
    <t>Amitabh Bhattacharya, Hussain Dalal, Ayan Mukerji</t>
  </si>
  <si>
    <t>Hiroo Johar, Karan Johar, Marijke deSouza</t>
  </si>
  <si>
    <t>Pritam Chakraborty</t>
  </si>
  <si>
    <t>/fZNk6ouHHPVb87W77wVNrt7QI8T.jpg</t>
  </si>
  <si>
    <t>yeh jawaani hai deewani</t>
  </si>
  <si>
    <t>blank (7), lyon festival bollywood india (1), hawaii film festival (1), blu-ray, dvd (1), internet (5), dvd premiere (2), re-release (1)</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</si>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</sst>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6B0D79-8EBA-1640-8BB9-DB372D9B5FF4}" name="Table1" displayName="Table1" ref="A1:AQ52" totalsRowCount="1">
  <autoFilter ref="A1:AQ51" xr:uid="{5F6B0D79-8EBA-1640-8BB9-DB372D9B5FF4}">
    <filterColumn colId="41">
      <filters>
        <filter val="no"/>
      </filters>
    </filterColumn>
  </autoFilter>
  <tableColumns count="43">
    <tableColumn id="1" xr3:uid="{3959FAC8-F575-5345-A172-93C865F432C5}" name="id" totalsRowLabel="Total"/>
    <tableColumn id="2" xr3:uid="{92F33092-229F-0049-ABBE-3673C5C8FCCE}" name="title"/>
    <tableColumn id="3" xr3:uid="{FCB32A83-AFD1-F14F-BDC0-3CD925BF6952}" name="vote_average"/>
    <tableColumn id="4" xr3:uid="{9A0AB7A8-6B28-1540-AAAD-EFFF5D844CB9}" name="vote_count"/>
    <tableColumn id="5" xr3:uid="{F86F53BB-1A42-A449-BD62-AFCBB14C5680}" name="status"/>
    <tableColumn id="6" xr3:uid="{1DCF2B6B-6C64-A440-A5D4-50C34F938E39}" name="release_date" dataDxfId="0"/>
    <tableColumn id="7" xr3:uid="{EE991062-4EF8-D042-9732-E8BA30F24F77}" name="revenue"/>
    <tableColumn id="8" xr3:uid="{7AC8F852-2A34-6142-9336-6C42298F6BE7}" name="runtime"/>
    <tableColumn id="9" xr3:uid="{561CCBC6-35FD-924A-863F-541ADE62A596}" name="budget"/>
    <tableColumn id="10" xr3:uid="{F17A8419-4C54-BA48-B8B1-B8E25826BD00}" name="imdb_id"/>
    <tableColumn id="11" xr3:uid="{78BD9715-9762-DA43-BCFD-7C6392940AD4}" name="original_language"/>
    <tableColumn id="12" xr3:uid="{B188C590-8EAB-3F48-91D0-C56ABB6875BC}" name="original_title"/>
    <tableColumn id="13" xr3:uid="{B41008B1-3C2F-1747-B5E4-07023842F538}" name="overview"/>
    <tableColumn id="14" xr3:uid="{FEB59FDA-5181-4648-9ED7-13B3A753BB19}" name="popularity"/>
    <tableColumn id="15" xr3:uid="{A2FCF08C-F575-CE4D-8269-E5FD4608980C}" name="tagline"/>
    <tableColumn id="16" xr3:uid="{DEB2DFF2-6C14-C343-BD87-7BE8F4FA8441}" name="genres"/>
    <tableColumn id="17" xr3:uid="{8D8DA22A-2285-C049-9DE2-6BF4D184B8C3}" name="production_companies"/>
    <tableColumn id="18" xr3:uid="{FD1EF21C-792C-D24E-A9C3-A401252311C4}" name="production_countries"/>
    <tableColumn id="19" xr3:uid="{4CC6E9D1-05CA-2B45-8CA4-BA66568203DA}" name="spoken_languages"/>
    <tableColumn id="20" xr3:uid="{FDCB88BA-1CDE-2E40-805B-C5E3BDD28D33}" name="cast"/>
    <tableColumn id="21" xr3:uid="{2F0661DD-E75C-914F-A02F-A39241A00539}" name="director"/>
    <tableColumn id="22" xr3:uid="{4C706357-43C9-024B-8032-445F3A868153}" name="director_of_photography"/>
    <tableColumn id="23" xr3:uid="{C68E7D14-0531-A54D-800E-702C1C4D5D50}" name="writers"/>
    <tableColumn id="24" xr3:uid="{15CBC988-A7CE-0C43-B12F-121BD7F530AD}" name="producers"/>
    <tableColumn id="25" xr3:uid="{5D077DDB-8FB9-284A-BEFC-C42651022239}" name="music_composer"/>
    <tableColumn id="26" xr3:uid="{9AF78900-4870-984F-BBBD-1EEF7F659BAC}" name="imdb_rating"/>
    <tableColumn id="27" xr3:uid="{7A6C4A6E-7F1F-D845-B85D-E4FBB6937AD5}" name="imdb_votes"/>
    <tableColumn id="28" xr3:uid="{F787D864-572C-7445-880A-7B6AF34F189C}" name="poster_path"/>
    <tableColumn id="29" xr3:uid="{BC6F2914-0D3D-B240-BCBC-E7276A4CE8E8}" name="release_month"/>
    <tableColumn id="30" xr3:uid="{905588F9-F74C-234C-9B1B-14DA5F1B1DE5}" name="release_year"/>
    <tableColumn id="31" xr3:uid="{606710B2-2E39-DD45-A930-B8D3834AC73D}" name="iso_week"/>
    <tableColumn id="32" xr3:uid="{DF4BDA97-F310-804A-BBC5-2947A8129568}" name="title_clean"/>
    <tableColumn id="33" xr3:uid="{564F5EF9-14CE-B542-8C9F-9E02253D5991}" name="distance"/>
    <tableColumn id="34" xr3:uid="{DD3548FA-6755-9949-BC4D-0A85BE45D7B4}" name="strength"/>
    <tableColumn id="35" xr3:uid="{9808779C-A134-4942-9111-DA2289B97614}" name="score" totalsRowFunction="sum"/>
    <tableColumn id="36" xr3:uid="{760F1D3B-47D2-914F-9E54-3956DD8283DA}" name="marvel_movie"/>
    <tableColumn id="37" xr3:uid="{6A774A48-406A-4448-97CD-E128572B9387}" name="attributes"/>
    <tableColumn id="38" xr3:uid="{4501E8FD-0556-974F-9ED0-CF9D8E0C5385}" name="blank"/>
    <tableColumn id="39" xr3:uid="{27A8E56B-3FBE-7246-AB94-45588E30C502}" name="internet"/>
    <tableColumn id="40" xr3:uid="{3ADF1703-93F5-A741-AAA0-B7C34B29ACB0}" name="total"/>
    <tableColumn id="41" xr3:uid="{04936152-C0F1-884E-BB2F-60C79C87D80C}" name="internet_ratio"/>
    <tableColumn id="42" xr3:uid="{B07544B2-A1B5-DA41-925C-673F0F5D0719}" name="internet_dominance"/>
    <tableColumn id="43" xr3:uid="{EF9875D5-95D8-FE44-9036-DAFA0EEED7F9}" name="error" totalsRowFunction="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E99F5-C846-DF47-A302-1CD36426426E}">
  <dimension ref="A1:AQ52"/>
  <sheetViews>
    <sheetView tabSelected="1" topLeftCell="AA15" workbookViewId="0">
      <selection activeCell="AI52" sqref="AI52"/>
    </sheetView>
  </sheetViews>
  <sheetFormatPr baseColWidth="10" defaultRowHeight="16" x14ac:dyDescent="0.2"/>
  <cols>
    <col min="3" max="3" width="14.33203125" customWidth="1"/>
    <col min="4" max="4" width="12.5" customWidth="1"/>
    <col min="6" max="6" width="14.1640625" customWidth="1"/>
    <col min="11" max="11" width="18" customWidth="1"/>
    <col min="12" max="12" width="13.83203125" customWidth="1"/>
    <col min="14" max="14" width="11.6640625" customWidth="1"/>
    <col min="17" max="17" width="22.33203125" customWidth="1"/>
    <col min="18" max="18" width="21" customWidth="1"/>
    <col min="19" max="19" width="18.83203125" customWidth="1"/>
    <col min="22" max="22" width="23.5" customWidth="1"/>
    <col min="24" max="24" width="11.83203125" customWidth="1"/>
    <col min="25" max="25" width="17.83203125" customWidth="1"/>
    <col min="26" max="26" width="13.33203125" customWidth="1"/>
    <col min="27" max="27" width="13" customWidth="1"/>
    <col min="28" max="28" width="13.33203125" customWidth="1"/>
    <col min="29" max="29" width="15.83203125" customWidth="1"/>
    <col min="30" max="30" width="14" customWidth="1"/>
    <col min="31" max="31" width="11.1640625" customWidth="1"/>
    <col min="32" max="32" width="12.1640625" customWidth="1"/>
    <col min="36" max="36" width="15" customWidth="1"/>
    <col min="37" max="37" width="11.6640625" customWidth="1"/>
    <col min="41" max="41" width="14.6640625" customWidth="1"/>
    <col min="42" max="42" width="20" customWidth="1"/>
  </cols>
  <sheetData>
    <row r="1" spans="1:4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
      <c r="A2">
        <v>122081</v>
      </c>
      <c r="B2" t="s">
        <v>43</v>
      </c>
      <c r="C2">
        <v>5.2480000000000002</v>
      </c>
      <c r="D2">
        <v>3948</v>
      </c>
      <c r="E2" t="s">
        <v>44</v>
      </c>
      <c r="F2" s="1">
        <v>41339</v>
      </c>
      <c r="G2">
        <v>32016127</v>
      </c>
      <c r="H2">
        <v>94</v>
      </c>
      <c r="I2">
        <v>5000000</v>
      </c>
      <c r="J2" t="s">
        <v>45</v>
      </c>
      <c r="K2" t="s">
        <v>46</v>
      </c>
      <c r="L2" t="s">
        <v>43</v>
      </c>
      <c r="M2" t="s">
        <v>47</v>
      </c>
      <c r="N2">
        <v>2.4171999999999998</v>
      </c>
      <c r="O2" t="s">
        <v>48</v>
      </c>
      <c r="P2" t="s">
        <v>49</v>
      </c>
      <c r="Q2" t="s">
        <v>50</v>
      </c>
      <c r="R2" t="s">
        <v>51</v>
      </c>
      <c r="S2" t="s">
        <v>52</v>
      </c>
      <c r="T2" t="s">
        <v>53</v>
      </c>
      <c r="U2" t="s">
        <v>54</v>
      </c>
      <c r="V2" t="s">
        <v>55</v>
      </c>
      <c r="W2" t="s">
        <v>54</v>
      </c>
      <c r="X2" t="s">
        <v>56</v>
      </c>
      <c r="Y2" t="s">
        <v>57</v>
      </c>
      <c r="Z2">
        <v>5.3</v>
      </c>
      <c r="AA2">
        <v>153163</v>
      </c>
      <c r="AB2" t="s">
        <v>58</v>
      </c>
      <c r="AC2">
        <v>3</v>
      </c>
      <c r="AD2">
        <v>2013</v>
      </c>
      <c r="AE2">
        <v>10</v>
      </c>
      <c r="AF2" t="s">
        <v>59</v>
      </c>
      <c r="AG2">
        <v>-43</v>
      </c>
      <c r="AH2">
        <v>17.281750333798598</v>
      </c>
      <c r="AI2">
        <v>0.392767053040878</v>
      </c>
      <c r="AJ2" t="s">
        <v>60</v>
      </c>
      <c r="AK2" t="s">
        <v>61</v>
      </c>
      <c r="AL2">
        <v>37</v>
      </c>
      <c r="AM2">
        <v>0</v>
      </c>
      <c r="AN2">
        <v>75</v>
      </c>
      <c r="AO2">
        <v>0</v>
      </c>
      <c r="AP2" t="s">
        <v>62</v>
      </c>
      <c r="AQ2" t="s">
        <v>62</v>
      </c>
    </row>
    <row r="3" spans="1:43" x14ac:dyDescent="0.2">
      <c r="A3">
        <v>68728</v>
      </c>
      <c r="B3" t="s">
        <v>63</v>
      </c>
      <c r="C3">
        <v>5.9290000000000003</v>
      </c>
      <c r="D3">
        <v>6650</v>
      </c>
      <c r="E3" t="s">
        <v>44</v>
      </c>
      <c r="F3" s="1">
        <v>41340</v>
      </c>
      <c r="G3">
        <v>491868548</v>
      </c>
      <c r="H3">
        <v>130</v>
      </c>
      <c r="I3">
        <v>200000000</v>
      </c>
      <c r="J3" t="s">
        <v>64</v>
      </c>
      <c r="K3" t="s">
        <v>46</v>
      </c>
      <c r="L3" t="s">
        <v>63</v>
      </c>
      <c r="M3" t="s">
        <v>65</v>
      </c>
      <c r="N3">
        <v>5.1231999999999998</v>
      </c>
      <c r="O3" t="s">
        <v>66</v>
      </c>
      <c r="P3" t="s">
        <v>67</v>
      </c>
      <c r="Q3" t="s">
        <v>68</v>
      </c>
      <c r="R3" t="s">
        <v>69</v>
      </c>
      <c r="S3" t="s">
        <v>52</v>
      </c>
      <c r="T3" t="s">
        <v>70</v>
      </c>
      <c r="U3" t="s">
        <v>71</v>
      </c>
      <c r="V3" t="s">
        <v>72</v>
      </c>
      <c r="W3" t="s">
        <v>73</v>
      </c>
      <c r="X3" t="s">
        <v>74</v>
      </c>
      <c r="Y3" t="s">
        <v>75</v>
      </c>
      <c r="Z3">
        <v>6.3</v>
      </c>
      <c r="AA3">
        <v>219774</v>
      </c>
      <c r="AB3" t="s">
        <v>76</v>
      </c>
      <c r="AC3">
        <v>3</v>
      </c>
      <c r="AD3">
        <v>2013</v>
      </c>
      <c r="AE3">
        <v>10</v>
      </c>
      <c r="AF3" t="s">
        <v>77</v>
      </c>
      <c r="AG3">
        <v>-42</v>
      </c>
      <c r="AH3">
        <v>20.013722061929201</v>
      </c>
      <c r="AI3">
        <v>0.46543539678905099</v>
      </c>
      <c r="AJ3" t="s">
        <v>60</v>
      </c>
      <c r="AK3" t="s">
        <v>78</v>
      </c>
      <c r="AL3">
        <v>67</v>
      </c>
      <c r="AM3">
        <v>0</v>
      </c>
      <c r="AN3">
        <v>76</v>
      </c>
      <c r="AO3">
        <v>0</v>
      </c>
      <c r="AP3" t="s">
        <v>62</v>
      </c>
      <c r="AQ3" t="s">
        <v>62</v>
      </c>
    </row>
    <row r="4" spans="1:43" x14ac:dyDescent="0.2">
      <c r="A4">
        <v>123109</v>
      </c>
      <c r="B4" t="s">
        <v>79</v>
      </c>
      <c r="C4">
        <v>6</v>
      </c>
      <c r="D4">
        <v>657</v>
      </c>
      <c r="E4" t="s">
        <v>44</v>
      </c>
      <c r="F4" s="1">
        <v>41342</v>
      </c>
      <c r="G4">
        <v>74918</v>
      </c>
      <c r="H4">
        <v>86</v>
      </c>
      <c r="I4">
        <v>2900000</v>
      </c>
      <c r="J4" t="s">
        <v>80</v>
      </c>
      <c r="K4" t="s">
        <v>46</v>
      </c>
      <c r="L4" t="s">
        <v>79</v>
      </c>
      <c r="M4" t="s">
        <v>81</v>
      </c>
      <c r="N4">
        <v>2.8607</v>
      </c>
      <c r="O4" t="s">
        <v>82</v>
      </c>
      <c r="P4" t="s">
        <v>83</v>
      </c>
      <c r="Q4" t="s">
        <v>84</v>
      </c>
      <c r="R4" t="s">
        <v>85</v>
      </c>
      <c r="S4" t="s">
        <v>52</v>
      </c>
      <c r="T4" t="s">
        <v>86</v>
      </c>
      <c r="U4" t="s">
        <v>87</v>
      </c>
      <c r="V4" t="s">
        <v>88</v>
      </c>
      <c r="W4" t="s">
        <v>89</v>
      </c>
      <c r="X4" t="s">
        <v>90</v>
      </c>
      <c r="Y4" t="s">
        <v>91</v>
      </c>
      <c r="Z4">
        <v>6</v>
      </c>
      <c r="AA4">
        <v>26449</v>
      </c>
      <c r="AB4" t="s">
        <v>92</v>
      </c>
      <c r="AC4">
        <v>3</v>
      </c>
      <c r="AD4">
        <v>2013</v>
      </c>
      <c r="AE4">
        <v>10</v>
      </c>
      <c r="AF4" t="s">
        <v>93</v>
      </c>
      <c r="AG4">
        <v>-40</v>
      </c>
      <c r="AH4">
        <v>11.2241628088982</v>
      </c>
      <c r="AI4">
        <v>0.27376006850971202</v>
      </c>
      <c r="AJ4" t="s">
        <v>60</v>
      </c>
      <c r="AK4" t="s">
        <v>94</v>
      </c>
      <c r="AL4">
        <v>12</v>
      </c>
      <c r="AM4">
        <v>1</v>
      </c>
      <c r="AN4">
        <v>24</v>
      </c>
      <c r="AO4">
        <v>0.04</v>
      </c>
      <c r="AP4" t="s">
        <v>62</v>
      </c>
      <c r="AQ4" t="s">
        <v>62</v>
      </c>
    </row>
    <row r="5" spans="1:43" x14ac:dyDescent="0.2">
      <c r="A5">
        <v>124459</v>
      </c>
      <c r="B5" t="s">
        <v>95</v>
      </c>
      <c r="C5">
        <v>5.7</v>
      </c>
      <c r="D5">
        <v>1474</v>
      </c>
      <c r="E5" t="s">
        <v>44</v>
      </c>
      <c r="F5" s="1">
        <v>41347</v>
      </c>
      <c r="G5">
        <v>27437881</v>
      </c>
      <c r="H5">
        <v>100</v>
      </c>
      <c r="I5">
        <v>30000000</v>
      </c>
      <c r="J5" t="s">
        <v>96</v>
      </c>
      <c r="K5" t="s">
        <v>46</v>
      </c>
      <c r="L5" t="s">
        <v>95</v>
      </c>
      <c r="M5" t="s">
        <v>97</v>
      </c>
      <c r="N5">
        <v>3.0322</v>
      </c>
      <c r="O5" t="s">
        <v>98</v>
      </c>
      <c r="P5" t="s">
        <v>99</v>
      </c>
      <c r="Q5" t="s">
        <v>100</v>
      </c>
      <c r="R5" t="s">
        <v>69</v>
      </c>
      <c r="S5" t="s">
        <v>52</v>
      </c>
      <c r="T5" t="s">
        <v>101</v>
      </c>
      <c r="U5" t="s">
        <v>102</v>
      </c>
      <c r="V5" t="s">
        <v>103</v>
      </c>
      <c r="W5" t="s">
        <v>104</v>
      </c>
      <c r="X5" t="s">
        <v>105</v>
      </c>
      <c r="Y5" t="s">
        <v>106</v>
      </c>
      <c r="Z5">
        <v>5.9</v>
      </c>
      <c r="AA5">
        <v>77612</v>
      </c>
      <c r="AB5" t="s">
        <v>107</v>
      </c>
      <c r="AC5">
        <v>3</v>
      </c>
      <c r="AD5">
        <v>2013</v>
      </c>
      <c r="AE5">
        <v>11</v>
      </c>
      <c r="AF5" t="s">
        <v>108</v>
      </c>
      <c r="AG5">
        <v>-35</v>
      </c>
      <c r="AH5">
        <v>17.127435171254</v>
      </c>
      <c r="AI5">
        <v>0.475762088090388</v>
      </c>
      <c r="AJ5" t="s">
        <v>60</v>
      </c>
      <c r="AK5" t="s">
        <v>109</v>
      </c>
      <c r="AL5">
        <v>16</v>
      </c>
      <c r="AM5">
        <v>0</v>
      </c>
      <c r="AN5">
        <v>28</v>
      </c>
      <c r="AO5">
        <v>0</v>
      </c>
      <c r="AP5" t="s">
        <v>62</v>
      </c>
      <c r="AQ5" t="s">
        <v>62</v>
      </c>
    </row>
    <row r="6" spans="1:43" x14ac:dyDescent="0.2">
      <c r="A6">
        <v>158011</v>
      </c>
      <c r="B6" t="s">
        <v>110</v>
      </c>
      <c r="C6">
        <v>6.8</v>
      </c>
      <c r="D6">
        <v>2968</v>
      </c>
      <c r="E6" t="s">
        <v>44</v>
      </c>
      <c r="F6" s="1">
        <v>41347</v>
      </c>
      <c r="G6">
        <v>68572378</v>
      </c>
      <c r="H6">
        <v>94</v>
      </c>
      <c r="I6">
        <v>13000000</v>
      </c>
      <c r="J6" t="s">
        <v>111</v>
      </c>
      <c r="K6" t="s">
        <v>46</v>
      </c>
      <c r="L6" t="s">
        <v>110</v>
      </c>
      <c r="M6" t="s">
        <v>112</v>
      </c>
      <c r="N6">
        <v>9.4049999999999994</v>
      </c>
      <c r="O6" t="s">
        <v>113</v>
      </c>
      <c r="P6" t="s">
        <v>114</v>
      </c>
      <c r="Q6" t="s">
        <v>115</v>
      </c>
      <c r="R6" t="s">
        <v>69</v>
      </c>
      <c r="S6" t="s">
        <v>52</v>
      </c>
      <c r="T6" t="s">
        <v>116</v>
      </c>
      <c r="U6" t="s">
        <v>117</v>
      </c>
      <c r="V6" t="s">
        <v>118</v>
      </c>
      <c r="W6" t="s">
        <v>119</v>
      </c>
      <c r="X6" t="s">
        <v>120</v>
      </c>
      <c r="Y6" t="s">
        <v>121</v>
      </c>
      <c r="Z6">
        <v>6.7</v>
      </c>
      <c r="AA6">
        <v>133498</v>
      </c>
      <c r="AB6" t="s">
        <v>122</v>
      </c>
      <c r="AC6">
        <v>3</v>
      </c>
      <c r="AD6">
        <v>2013</v>
      </c>
      <c r="AE6">
        <v>11</v>
      </c>
      <c r="AF6" t="s">
        <v>123</v>
      </c>
      <c r="AG6">
        <v>-35</v>
      </c>
      <c r="AH6">
        <v>18.043400373131501</v>
      </c>
      <c r="AI6">
        <v>0.50120556592031895</v>
      </c>
      <c r="AJ6" t="s">
        <v>60</v>
      </c>
      <c r="AK6" t="s">
        <v>124</v>
      </c>
      <c r="AL6">
        <v>50</v>
      </c>
      <c r="AM6">
        <v>0</v>
      </c>
      <c r="AN6">
        <v>57</v>
      </c>
      <c r="AO6">
        <v>0</v>
      </c>
      <c r="AP6" t="s">
        <v>62</v>
      </c>
      <c r="AQ6" t="s">
        <v>62</v>
      </c>
    </row>
    <row r="7" spans="1:43" x14ac:dyDescent="0.2">
      <c r="A7">
        <v>49519</v>
      </c>
      <c r="B7" t="s">
        <v>125</v>
      </c>
      <c r="C7">
        <v>6.9269999999999996</v>
      </c>
      <c r="D7">
        <v>7311</v>
      </c>
      <c r="E7" t="s">
        <v>44</v>
      </c>
      <c r="F7" s="1">
        <v>41348</v>
      </c>
      <c r="G7">
        <v>587204668</v>
      </c>
      <c r="H7">
        <v>98</v>
      </c>
      <c r="I7">
        <v>135000000</v>
      </c>
      <c r="J7" t="s">
        <v>126</v>
      </c>
      <c r="K7" t="s">
        <v>46</v>
      </c>
      <c r="L7" t="s">
        <v>125</v>
      </c>
      <c r="M7" t="s">
        <v>127</v>
      </c>
      <c r="N7">
        <v>6.7845000000000004</v>
      </c>
      <c r="O7" t="s">
        <v>128</v>
      </c>
      <c r="P7" t="s">
        <v>129</v>
      </c>
      <c r="Q7" t="s">
        <v>130</v>
      </c>
      <c r="R7" t="s">
        <v>69</v>
      </c>
      <c r="S7" t="s">
        <v>52</v>
      </c>
      <c r="T7" t="s">
        <v>131</v>
      </c>
      <c r="U7" t="s">
        <v>132</v>
      </c>
      <c r="V7" t="s">
        <v>133</v>
      </c>
      <c r="W7" t="s">
        <v>134</v>
      </c>
      <c r="X7" t="s">
        <v>135</v>
      </c>
      <c r="Y7" t="s">
        <v>136</v>
      </c>
      <c r="Z7">
        <v>7.1</v>
      </c>
      <c r="AA7">
        <v>246921</v>
      </c>
      <c r="AB7" t="s">
        <v>137</v>
      </c>
      <c r="AC7">
        <v>3</v>
      </c>
      <c r="AD7">
        <v>2013</v>
      </c>
      <c r="AE7">
        <v>11</v>
      </c>
      <c r="AF7" t="s">
        <v>138</v>
      </c>
      <c r="AG7">
        <v>-34</v>
      </c>
      <c r="AH7">
        <v>20.190883986527201</v>
      </c>
      <c r="AI7">
        <v>0.57688239961506405</v>
      </c>
      <c r="AJ7" t="s">
        <v>60</v>
      </c>
      <c r="AK7" t="s">
        <v>139</v>
      </c>
      <c r="AL7">
        <v>81</v>
      </c>
      <c r="AM7">
        <v>1</v>
      </c>
      <c r="AN7">
        <v>86</v>
      </c>
      <c r="AO7">
        <v>0.01</v>
      </c>
      <c r="AP7" t="s">
        <v>62</v>
      </c>
      <c r="AQ7" t="s">
        <v>62</v>
      </c>
    </row>
    <row r="8" spans="1:43" x14ac:dyDescent="0.2">
      <c r="A8">
        <v>93828</v>
      </c>
      <c r="B8" t="s">
        <v>140</v>
      </c>
      <c r="C8">
        <v>5.9</v>
      </c>
      <c r="D8">
        <v>672</v>
      </c>
      <c r="E8" t="s">
        <v>44</v>
      </c>
      <c r="F8" s="1">
        <v>41348</v>
      </c>
      <c r="G8">
        <v>3900000</v>
      </c>
      <c r="H8">
        <v>99</v>
      </c>
      <c r="I8">
        <v>8500000</v>
      </c>
      <c r="J8" t="s">
        <v>141</v>
      </c>
      <c r="K8" t="s">
        <v>46</v>
      </c>
      <c r="L8" t="s">
        <v>140</v>
      </c>
      <c r="M8" t="s">
        <v>142</v>
      </c>
      <c r="N8">
        <v>1.2346999999999999</v>
      </c>
      <c r="O8" t="s">
        <v>143</v>
      </c>
      <c r="P8" t="s">
        <v>144</v>
      </c>
      <c r="Q8" t="s">
        <v>145</v>
      </c>
      <c r="R8" t="s">
        <v>146</v>
      </c>
      <c r="S8" t="s">
        <v>52</v>
      </c>
      <c r="T8" t="s">
        <v>147</v>
      </c>
      <c r="U8" t="s">
        <v>148</v>
      </c>
      <c r="V8" t="s">
        <v>149</v>
      </c>
      <c r="W8" t="s">
        <v>148</v>
      </c>
      <c r="X8" t="s">
        <v>150</v>
      </c>
      <c r="Y8" t="s">
        <v>151</v>
      </c>
      <c r="Z8">
        <v>6.1</v>
      </c>
      <c r="AA8">
        <v>35474</v>
      </c>
      <c r="AB8" t="s">
        <v>152</v>
      </c>
      <c r="AC8">
        <v>3</v>
      </c>
      <c r="AD8">
        <v>2013</v>
      </c>
      <c r="AE8">
        <v>11</v>
      </c>
      <c r="AF8" t="s">
        <v>153</v>
      </c>
      <c r="AG8">
        <v>-34</v>
      </c>
      <c r="AH8">
        <v>15.1764873675101</v>
      </c>
      <c r="AI8">
        <v>0.43361392478600203</v>
      </c>
      <c r="AJ8" t="s">
        <v>60</v>
      </c>
      <c r="AK8" t="s">
        <v>154</v>
      </c>
      <c r="AL8">
        <v>21</v>
      </c>
      <c r="AM8">
        <v>1</v>
      </c>
      <c r="AN8">
        <v>39</v>
      </c>
      <c r="AO8">
        <v>0.03</v>
      </c>
      <c r="AP8" t="s">
        <v>62</v>
      </c>
      <c r="AQ8" t="s">
        <v>62</v>
      </c>
    </row>
    <row r="9" spans="1:43" x14ac:dyDescent="0.2">
      <c r="A9">
        <v>97367</v>
      </c>
      <c r="B9" t="s">
        <v>155</v>
      </c>
      <c r="C9">
        <v>7</v>
      </c>
      <c r="D9">
        <v>5025</v>
      </c>
      <c r="E9" t="s">
        <v>44</v>
      </c>
      <c r="F9" s="1">
        <v>41353</v>
      </c>
      <c r="G9">
        <v>47135966</v>
      </c>
      <c r="H9">
        <v>140</v>
      </c>
      <c r="I9">
        <v>15000000</v>
      </c>
      <c r="J9" t="s">
        <v>156</v>
      </c>
      <c r="K9" t="s">
        <v>46</v>
      </c>
      <c r="L9" t="s">
        <v>155</v>
      </c>
      <c r="M9" t="s">
        <v>157</v>
      </c>
      <c r="N9">
        <v>4.4744999999999999</v>
      </c>
      <c r="O9" t="s">
        <v>158</v>
      </c>
      <c r="P9" t="s">
        <v>49</v>
      </c>
      <c r="Q9" t="s">
        <v>159</v>
      </c>
      <c r="R9" t="s">
        <v>69</v>
      </c>
      <c r="S9" t="s">
        <v>160</v>
      </c>
      <c r="T9" t="s">
        <v>161</v>
      </c>
      <c r="U9" t="s">
        <v>162</v>
      </c>
      <c r="V9" t="s">
        <v>163</v>
      </c>
      <c r="W9" t="s">
        <v>164</v>
      </c>
      <c r="X9" t="s">
        <v>165</v>
      </c>
      <c r="Y9" t="s">
        <v>166</v>
      </c>
      <c r="Z9">
        <v>7.3</v>
      </c>
      <c r="AA9">
        <v>304508</v>
      </c>
      <c r="AB9" t="s">
        <v>167</v>
      </c>
      <c r="AC9">
        <v>3</v>
      </c>
      <c r="AD9">
        <v>2013</v>
      </c>
      <c r="AE9">
        <v>12</v>
      </c>
      <c r="AF9" t="s">
        <v>168</v>
      </c>
      <c r="AG9">
        <v>-29</v>
      </c>
      <c r="AH9">
        <v>17.668546898142399</v>
      </c>
      <c r="AI9">
        <v>0.58895156327141296</v>
      </c>
      <c r="AJ9" t="s">
        <v>60</v>
      </c>
      <c r="AK9" t="s">
        <v>169</v>
      </c>
      <c r="AL9">
        <v>43</v>
      </c>
      <c r="AM9">
        <v>0</v>
      </c>
      <c r="AN9">
        <v>53</v>
      </c>
      <c r="AO9">
        <v>0</v>
      </c>
      <c r="AP9" t="s">
        <v>62</v>
      </c>
      <c r="AQ9" t="s">
        <v>62</v>
      </c>
    </row>
    <row r="10" spans="1:43" x14ac:dyDescent="0.2">
      <c r="A10">
        <v>117263</v>
      </c>
      <c r="B10" t="s">
        <v>170</v>
      </c>
      <c r="C10">
        <v>6.4</v>
      </c>
      <c r="D10">
        <v>6847</v>
      </c>
      <c r="E10" t="s">
        <v>44</v>
      </c>
      <c r="F10" s="1">
        <v>41353</v>
      </c>
      <c r="G10">
        <v>170270201</v>
      </c>
      <c r="H10">
        <v>120</v>
      </c>
      <c r="I10">
        <v>70000000</v>
      </c>
      <c r="J10" t="s">
        <v>171</v>
      </c>
      <c r="K10" t="s">
        <v>46</v>
      </c>
      <c r="L10" t="s">
        <v>170</v>
      </c>
      <c r="M10" t="s">
        <v>172</v>
      </c>
      <c r="N10">
        <v>8.1814999999999998</v>
      </c>
      <c r="O10" t="s">
        <v>173</v>
      </c>
      <c r="P10" t="s">
        <v>174</v>
      </c>
      <c r="Q10" t="s">
        <v>175</v>
      </c>
      <c r="R10" t="s">
        <v>69</v>
      </c>
      <c r="S10" t="s">
        <v>176</v>
      </c>
      <c r="T10" t="s">
        <v>177</v>
      </c>
      <c r="U10" t="s">
        <v>178</v>
      </c>
      <c r="V10" t="s">
        <v>179</v>
      </c>
      <c r="W10" t="s">
        <v>180</v>
      </c>
      <c r="X10" t="s">
        <v>181</v>
      </c>
      <c r="Y10" t="s">
        <v>182</v>
      </c>
      <c r="Z10">
        <v>6.5</v>
      </c>
      <c r="AA10">
        <v>303506</v>
      </c>
      <c r="AB10" t="s">
        <v>183</v>
      </c>
      <c r="AC10">
        <v>3</v>
      </c>
      <c r="AD10">
        <v>2013</v>
      </c>
      <c r="AE10">
        <v>12</v>
      </c>
      <c r="AF10" t="s">
        <v>184</v>
      </c>
      <c r="AG10">
        <v>-29</v>
      </c>
      <c r="AH10">
        <v>18.952897156747198</v>
      </c>
      <c r="AI10">
        <v>0.63176323855824001</v>
      </c>
      <c r="AJ10" t="s">
        <v>60</v>
      </c>
      <c r="AK10" t="s">
        <v>185</v>
      </c>
      <c r="AL10">
        <v>68</v>
      </c>
      <c r="AM10">
        <v>0</v>
      </c>
      <c r="AN10">
        <v>77</v>
      </c>
      <c r="AO10">
        <v>0</v>
      </c>
      <c r="AP10" t="s">
        <v>62</v>
      </c>
      <c r="AQ10" t="s">
        <v>62</v>
      </c>
    </row>
    <row r="11" spans="1:43" x14ac:dyDescent="0.2">
      <c r="A11">
        <v>144340</v>
      </c>
      <c r="B11" t="s">
        <v>186</v>
      </c>
      <c r="C11">
        <v>5.609</v>
      </c>
      <c r="D11">
        <v>630</v>
      </c>
      <c r="E11" t="s">
        <v>44</v>
      </c>
      <c r="F11" s="1">
        <v>41354</v>
      </c>
      <c r="G11">
        <v>18637201</v>
      </c>
      <c r="H11">
        <v>107</v>
      </c>
      <c r="I11">
        <v>13000000</v>
      </c>
      <c r="J11" t="s">
        <v>187</v>
      </c>
      <c r="K11" t="s">
        <v>46</v>
      </c>
      <c r="L11" t="s">
        <v>186</v>
      </c>
      <c r="M11" t="s">
        <v>188</v>
      </c>
      <c r="N11">
        <v>3.0697999999999999</v>
      </c>
      <c r="O11" t="s">
        <v>189</v>
      </c>
      <c r="P11" t="s">
        <v>190</v>
      </c>
      <c r="Q11" t="s">
        <v>191</v>
      </c>
      <c r="R11" t="s">
        <v>69</v>
      </c>
      <c r="S11" t="s">
        <v>52</v>
      </c>
      <c r="T11" t="s">
        <v>192</v>
      </c>
      <c r="U11" t="s">
        <v>193</v>
      </c>
      <c r="V11" t="s">
        <v>194</v>
      </c>
      <c r="W11" t="s">
        <v>195</v>
      </c>
      <c r="X11" t="s">
        <v>196</v>
      </c>
      <c r="Y11" t="s">
        <v>197</v>
      </c>
      <c r="Z11">
        <v>5.7</v>
      </c>
      <c r="AA11">
        <v>36976</v>
      </c>
      <c r="AB11" t="s">
        <v>198</v>
      </c>
      <c r="AC11">
        <v>3</v>
      </c>
      <c r="AD11">
        <v>2013</v>
      </c>
      <c r="AE11">
        <v>12</v>
      </c>
      <c r="AF11" t="s">
        <v>199</v>
      </c>
      <c r="AG11">
        <v>-28</v>
      </c>
      <c r="AH11">
        <v>16.740670248658301</v>
      </c>
      <c r="AI11">
        <v>0.57726449133304603</v>
      </c>
      <c r="AJ11" t="s">
        <v>60</v>
      </c>
      <c r="AK11" t="s">
        <v>200</v>
      </c>
      <c r="AL11">
        <v>17</v>
      </c>
      <c r="AM11">
        <v>1</v>
      </c>
      <c r="AN11">
        <v>25</v>
      </c>
      <c r="AO11">
        <v>0.04</v>
      </c>
      <c r="AP11" t="s">
        <v>62</v>
      </c>
      <c r="AQ11" t="s">
        <v>62</v>
      </c>
    </row>
    <row r="12" spans="1:43" x14ac:dyDescent="0.2">
      <c r="A12">
        <v>72710</v>
      </c>
      <c r="B12" t="s">
        <v>201</v>
      </c>
      <c r="C12">
        <v>6.3</v>
      </c>
      <c r="D12">
        <v>3996</v>
      </c>
      <c r="E12" t="s">
        <v>44</v>
      </c>
      <c r="F12" s="1">
        <v>41355</v>
      </c>
      <c r="G12">
        <v>63300000</v>
      </c>
      <c r="H12">
        <v>125</v>
      </c>
      <c r="I12">
        <v>44000000</v>
      </c>
      <c r="J12" t="s">
        <v>202</v>
      </c>
      <c r="K12" t="s">
        <v>46</v>
      </c>
      <c r="L12" t="s">
        <v>201</v>
      </c>
      <c r="M12" t="s">
        <v>203</v>
      </c>
      <c r="N12">
        <v>4.3301999999999996</v>
      </c>
      <c r="O12" t="s">
        <v>204</v>
      </c>
      <c r="P12" t="s">
        <v>205</v>
      </c>
      <c r="Q12" t="s">
        <v>206</v>
      </c>
      <c r="R12" t="s">
        <v>207</v>
      </c>
      <c r="S12" t="s">
        <v>52</v>
      </c>
      <c r="T12" t="s">
        <v>208</v>
      </c>
      <c r="U12" t="s">
        <v>209</v>
      </c>
      <c r="V12" t="s">
        <v>210</v>
      </c>
      <c r="W12" t="s">
        <v>211</v>
      </c>
      <c r="X12" t="s">
        <v>212</v>
      </c>
      <c r="Y12" t="s">
        <v>213</v>
      </c>
      <c r="Z12">
        <v>5.8</v>
      </c>
      <c r="AA12">
        <v>121028</v>
      </c>
      <c r="AB12" t="s">
        <v>214</v>
      </c>
      <c r="AC12">
        <v>3</v>
      </c>
      <c r="AD12">
        <v>2013</v>
      </c>
      <c r="AE12">
        <v>12</v>
      </c>
      <c r="AF12" t="s">
        <v>215</v>
      </c>
      <c r="AG12">
        <v>-27</v>
      </c>
      <c r="AH12">
        <v>17.963395902912101</v>
      </c>
      <c r="AI12">
        <v>0.64154985367543504</v>
      </c>
      <c r="AJ12" t="s">
        <v>60</v>
      </c>
      <c r="AK12" t="s">
        <v>216</v>
      </c>
      <c r="AL12">
        <v>54</v>
      </c>
      <c r="AM12">
        <v>1</v>
      </c>
      <c r="AN12">
        <v>60</v>
      </c>
      <c r="AO12">
        <v>0.02</v>
      </c>
      <c r="AP12" t="s">
        <v>62</v>
      </c>
      <c r="AQ12" t="s">
        <v>62</v>
      </c>
    </row>
    <row r="13" spans="1:43" x14ac:dyDescent="0.2">
      <c r="A13">
        <v>68727</v>
      </c>
      <c r="B13" t="s">
        <v>217</v>
      </c>
      <c r="C13">
        <v>6.6210000000000004</v>
      </c>
      <c r="D13">
        <v>2260</v>
      </c>
      <c r="E13" t="s">
        <v>44</v>
      </c>
      <c r="F13" s="1">
        <v>41360</v>
      </c>
      <c r="G13">
        <v>24300000</v>
      </c>
      <c r="H13">
        <v>101</v>
      </c>
      <c r="I13">
        <v>20000000</v>
      </c>
      <c r="J13" t="s">
        <v>218</v>
      </c>
      <c r="K13" t="s">
        <v>46</v>
      </c>
      <c r="L13" t="s">
        <v>217</v>
      </c>
      <c r="M13" t="s">
        <v>219</v>
      </c>
      <c r="N13">
        <v>2.8712</v>
      </c>
      <c r="O13" t="s">
        <v>220</v>
      </c>
      <c r="P13" t="s">
        <v>221</v>
      </c>
      <c r="Q13" t="s">
        <v>222</v>
      </c>
      <c r="R13" t="s">
        <v>223</v>
      </c>
      <c r="S13" t="s">
        <v>224</v>
      </c>
      <c r="T13" t="s">
        <v>225</v>
      </c>
      <c r="U13" t="s">
        <v>226</v>
      </c>
      <c r="V13" t="s">
        <v>227</v>
      </c>
      <c r="W13" t="s">
        <v>228</v>
      </c>
      <c r="X13" t="s">
        <v>229</v>
      </c>
      <c r="Y13" t="s">
        <v>230</v>
      </c>
      <c r="Z13">
        <v>6.9</v>
      </c>
      <c r="AA13">
        <v>120294</v>
      </c>
      <c r="AB13" t="s">
        <v>231</v>
      </c>
      <c r="AC13">
        <v>3</v>
      </c>
      <c r="AD13">
        <v>2013</v>
      </c>
      <c r="AE13">
        <v>13</v>
      </c>
      <c r="AF13" t="s">
        <v>232</v>
      </c>
      <c r="AG13">
        <v>-22</v>
      </c>
      <c r="AH13">
        <v>17.005986949463001</v>
      </c>
      <c r="AI13">
        <v>0.73939073693317503</v>
      </c>
      <c r="AJ13" t="s">
        <v>60</v>
      </c>
      <c r="AK13" t="s">
        <v>233</v>
      </c>
      <c r="AL13">
        <v>39</v>
      </c>
      <c r="AM13">
        <v>0</v>
      </c>
      <c r="AN13">
        <v>47</v>
      </c>
      <c r="AO13">
        <v>0</v>
      </c>
      <c r="AP13" t="s">
        <v>62</v>
      </c>
      <c r="AQ13" t="s">
        <v>62</v>
      </c>
    </row>
    <row r="14" spans="1:43" x14ac:dyDescent="0.2">
      <c r="A14">
        <v>72559</v>
      </c>
      <c r="B14" t="s">
        <v>234</v>
      </c>
      <c r="C14">
        <v>5.6479999999999997</v>
      </c>
      <c r="D14">
        <v>5626</v>
      </c>
      <c r="E14" t="s">
        <v>44</v>
      </c>
      <c r="F14" s="1">
        <v>41360</v>
      </c>
      <c r="G14">
        <v>371900000</v>
      </c>
      <c r="H14">
        <v>110</v>
      </c>
      <c r="I14">
        <v>130000000</v>
      </c>
      <c r="J14" t="s">
        <v>235</v>
      </c>
      <c r="K14" t="s">
        <v>46</v>
      </c>
      <c r="L14" t="s">
        <v>234</v>
      </c>
      <c r="M14" t="s">
        <v>236</v>
      </c>
      <c r="N14">
        <v>9.2257999999999996</v>
      </c>
      <c r="O14" t="s">
        <v>237</v>
      </c>
      <c r="P14" t="s">
        <v>238</v>
      </c>
      <c r="Q14" t="s">
        <v>239</v>
      </c>
      <c r="R14" t="s">
        <v>240</v>
      </c>
      <c r="S14" t="s">
        <v>52</v>
      </c>
      <c r="T14" t="s">
        <v>241</v>
      </c>
      <c r="U14" t="s">
        <v>242</v>
      </c>
      <c r="V14" t="s">
        <v>243</v>
      </c>
      <c r="W14" t="s">
        <v>244</v>
      </c>
      <c r="X14" t="s">
        <v>245</v>
      </c>
      <c r="Y14" t="s">
        <v>246</v>
      </c>
      <c r="Z14">
        <v>5.7</v>
      </c>
      <c r="AA14">
        <v>191603</v>
      </c>
      <c r="AB14" t="s">
        <v>247</v>
      </c>
      <c r="AC14">
        <v>3</v>
      </c>
      <c r="AD14">
        <v>2013</v>
      </c>
      <c r="AE14">
        <v>13</v>
      </c>
      <c r="AF14" t="s">
        <v>248</v>
      </c>
      <c r="AG14">
        <v>-22</v>
      </c>
      <c r="AH14">
        <v>19.7341355615841</v>
      </c>
      <c r="AI14">
        <v>0.85800589398192095</v>
      </c>
      <c r="AJ14" t="s">
        <v>60</v>
      </c>
      <c r="AK14" t="s">
        <v>249</v>
      </c>
      <c r="AL14">
        <v>57</v>
      </c>
      <c r="AM14">
        <v>1</v>
      </c>
      <c r="AN14">
        <v>69</v>
      </c>
      <c r="AO14">
        <v>0.01</v>
      </c>
      <c r="AP14" t="s">
        <v>62</v>
      </c>
      <c r="AQ14" t="s">
        <v>62</v>
      </c>
    </row>
    <row r="15" spans="1:43" x14ac:dyDescent="0.2">
      <c r="A15">
        <v>184219</v>
      </c>
      <c r="B15" t="s">
        <v>250</v>
      </c>
      <c r="C15">
        <v>7.2</v>
      </c>
      <c r="D15">
        <v>130</v>
      </c>
      <c r="E15" t="s">
        <v>44</v>
      </c>
      <c r="F15" s="1">
        <v>41361</v>
      </c>
      <c r="G15">
        <v>33000000</v>
      </c>
      <c r="H15">
        <v>112</v>
      </c>
      <c r="I15">
        <v>1800000</v>
      </c>
      <c r="J15" t="s">
        <v>251</v>
      </c>
      <c r="K15" t="s">
        <v>252</v>
      </c>
      <c r="L15" t="s">
        <v>253</v>
      </c>
      <c r="M15" t="s">
        <v>254</v>
      </c>
      <c r="N15">
        <v>4.6128</v>
      </c>
      <c r="O15" t="s">
        <v>255</v>
      </c>
      <c r="P15" t="s">
        <v>256</v>
      </c>
      <c r="Q15" t="s">
        <v>257</v>
      </c>
      <c r="R15" t="s">
        <v>258</v>
      </c>
      <c r="S15" t="s">
        <v>259</v>
      </c>
      <c r="T15" t="s">
        <v>260</v>
      </c>
      <c r="U15" t="s">
        <v>261</v>
      </c>
      <c r="V15" t="s">
        <v>262</v>
      </c>
      <c r="W15" t="s">
        <v>263</v>
      </c>
      <c r="X15" t="s">
        <v>264</v>
      </c>
      <c r="Y15" t="s">
        <v>265</v>
      </c>
      <c r="Z15">
        <v>7.2</v>
      </c>
      <c r="AA15">
        <v>7163</v>
      </c>
      <c r="AB15" t="s">
        <v>266</v>
      </c>
      <c r="AC15">
        <v>3</v>
      </c>
      <c r="AD15">
        <v>2013</v>
      </c>
      <c r="AE15">
        <v>13</v>
      </c>
      <c r="AF15" t="s">
        <v>267</v>
      </c>
      <c r="AG15">
        <v>-21</v>
      </c>
      <c r="AH15">
        <v>17.312018149733699</v>
      </c>
      <c r="AI15">
        <v>0.78690991589699</v>
      </c>
      <c r="AJ15" t="s">
        <v>60</v>
      </c>
      <c r="AK15" t="s">
        <v>268</v>
      </c>
      <c r="AL15">
        <v>14</v>
      </c>
      <c r="AM15">
        <v>1</v>
      </c>
      <c r="AN15">
        <v>22</v>
      </c>
      <c r="AO15">
        <v>0.05</v>
      </c>
      <c r="AP15" t="s">
        <v>62</v>
      </c>
      <c r="AQ15" t="s">
        <v>62</v>
      </c>
    </row>
    <row r="16" spans="1:43" hidden="1" x14ac:dyDescent="0.2">
      <c r="A16">
        <v>97006</v>
      </c>
      <c r="B16" t="s">
        <v>269</v>
      </c>
      <c r="C16">
        <v>6.6</v>
      </c>
      <c r="D16">
        <v>177</v>
      </c>
      <c r="E16" t="s">
        <v>44</v>
      </c>
      <c r="F16" s="1">
        <v>41362</v>
      </c>
      <c r="G16">
        <v>53143144</v>
      </c>
      <c r="H16">
        <v>111</v>
      </c>
      <c r="I16">
        <v>37000000</v>
      </c>
      <c r="J16" t="s">
        <v>270</v>
      </c>
      <c r="K16" t="s">
        <v>46</v>
      </c>
      <c r="L16" t="s">
        <v>269</v>
      </c>
      <c r="M16" t="s">
        <v>271</v>
      </c>
      <c r="N16">
        <v>6.0561999999999996</v>
      </c>
      <c r="O16" t="s">
        <v>272</v>
      </c>
      <c r="P16" t="s">
        <v>273</v>
      </c>
      <c r="Q16" t="s">
        <v>274</v>
      </c>
      <c r="R16" t="s">
        <v>69</v>
      </c>
      <c r="S16" t="s">
        <v>52</v>
      </c>
      <c r="T16" t="s">
        <v>275</v>
      </c>
      <c r="U16" t="s">
        <v>276</v>
      </c>
      <c r="V16" t="s">
        <v>277</v>
      </c>
      <c r="W16" t="s">
        <v>276</v>
      </c>
      <c r="X16" t="s">
        <v>278</v>
      </c>
      <c r="Y16" t="s">
        <v>279</v>
      </c>
      <c r="Z16">
        <v>5</v>
      </c>
      <c r="AA16">
        <v>12684</v>
      </c>
      <c r="AB16" t="s">
        <v>280</v>
      </c>
      <c r="AC16">
        <v>3</v>
      </c>
      <c r="AD16">
        <v>2013</v>
      </c>
      <c r="AE16">
        <v>13</v>
      </c>
      <c r="AF16" t="s">
        <v>281</v>
      </c>
      <c r="AG16">
        <v>-20</v>
      </c>
      <c r="AH16">
        <v>17.7884996798341</v>
      </c>
      <c r="AI16">
        <v>0.84707141332543301</v>
      </c>
      <c r="AJ16" t="s">
        <v>60</v>
      </c>
      <c r="AK16" t="s">
        <v>282</v>
      </c>
      <c r="AL16">
        <v>2</v>
      </c>
      <c r="AM16">
        <v>3</v>
      </c>
      <c r="AN16">
        <v>10</v>
      </c>
      <c r="AO16">
        <v>0.3</v>
      </c>
      <c r="AP16" t="s">
        <v>283</v>
      </c>
      <c r="AQ16" t="s">
        <v>62</v>
      </c>
    </row>
    <row r="17" spans="1:43" x14ac:dyDescent="0.2">
      <c r="A17">
        <v>180680</v>
      </c>
      <c r="B17" t="s">
        <v>284</v>
      </c>
      <c r="C17">
        <v>3</v>
      </c>
      <c r="D17">
        <v>51</v>
      </c>
      <c r="E17" t="s">
        <v>44</v>
      </c>
      <c r="F17" s="1">
        <v>41362</v>
      </c>
      <c r="G17">
        <v>6800000</v>
      </c>
      <c r="H17">
        <v>150</v>
      </c>
      <c r="I17">
        <v>9500000</v>
      </c>
      <c r="J17" t="s">
        <v>285</v>
      </c>
      <c r="K17" t="s">
        <v>286</v>
      </c>
      <c r="L17" t="s">
        <v>287</v>
      </c>
      <c r="M17" t="s">
        <v>288</v>
      </c>
      <c r="N17">
        <v>0.251</v>
      </c>
      <c r="O17" t="s">
        <v>289</v>
      </c>
      <c r="P17" t="s">
        <v>290</v>
      </c>
      <c r="Q17" t="s">
        <v>291</v>
      </c>
      <c r="R17" t="s">
        <v>292</v>
      </c>
      <c r="S17" t="s">
        <v>293</v>
      </c>
      <c r="T17" t="s">
        <v>294</v>
      </c>
      <c r="U17" t="s">
        <v>295</v>
      </c>
      <c r="V17" t="s">
        <v>296</v>
      </c>
      <c r="W17" t="s">
        <v>297</v>
      </c>
      <c r="X17" t="s">
        <v>298</v>
      </c>
      <c r="Y17" t="s">
        <v>299</v>
      </c>
      <c r="Z17">
        <v>1.8</v>
      </c>
      <c r="AA17">
        <v>9628</v>
      </c>
      <c r="AB17" t="s">
        <v>300</v>
      </c>
      <c r="AC17">
        <v>3</v>
      </c>
      <c r="AD17">
        <v>2013</v>
      </c>
      <c r="AE17">
        <v>13</v>
      </c>
      <c r="AF17" t="s">
        <v>301</v>
      </c>
      <c r="AG17">
        <v>-20</v>
      </c>
      <c r="AH17">
        <v>15.7324333172051</v>
      </c>
      <c r="AI17">
        <v>0.74916349129548299</v>
      </c>
      <c r="AJ17" t="s">
        <v>60</v>
      </c>
      <c r="AK17" t="s">
        <v>302</v>
      </c>
      <c r="AL17">
        <v>6</v>
      </c>
      <c r="AM17">
        <v>0</v>
      </c>
      <c r="AN17">
        <v>6</v>
      </c>
      <c r="AO17">
        <v>0</v>
      </c>
      <c r="AP17" t="s">
        <v>62</v>
      </c>
      <c r="AQ17" t="s">
        <v>62</v>
      </c>
    </row>
    <row r="18" spans="1:43" x14ac:dyDescent="0.2">
      <c r="A18">
        <v>109428</v>
      </c>
      <c r="B18" t="s">
        <v>303</v>
      </c>
      <c r="C18">
        <v>6.5789999999999997</v>
      </c>
      <c r="D18">
        <v>4851</v>
      </c>
      <c r="E18" t="s">
        <v>44</v>
      </c>
      <c r="F18" s="1">
        <v>41369</v>
      </c>
      <c r="G18">
        <v>99010045</v>
      </c>
      <c r="H18">
        <v>91</v>
      </c>
      <c r="I18">
        <v>17000000</v>
      </c>
      <c r="J18" t="s">
        <v>304</v>
      </c>
      <c r="K18" t="s">
        <v>46</v>
      </c>
      <c r="L18" t="s">
        <v>303</v>
      </c>
      <c r="M18" t="s">
        <v>305</v>
      </c>
      <c r="N18">
        <v>6.6295000000000002</v>
      </c>
      <c r="O18" t="s">
        <v>306</v>
      </c>
      <c r="P18" t="s">
        <v>307</v>
      </c>
      <c r="Q18" t="s">
        <v>308</v>
      </c>
      <c r="R18" t="s">
        <v>69</v>
      </c>
      <c r="S18" t="s">
        <v>309</v>
      </c>
      <c r="T18" t="s">
        <v>310</v>
      </c>
      <c r="U18" t="s">
        <v>311</v>
      </c>
      <c r="V18" t="s">
        <v>312</v>
      </c>
      <c r="W18" t="s">
        <v>313</v>
      </c>
      <c r="X18" t="s">
        <v>314</v>
      </c>
      <c r="Y18" t="s">
        <v>315</v>
      </c>
      <c r="Z18">
        <v>6.5</v>
      </c>
      <c r="AA18">
        <v>209579</v>
      </c>
      <c r="AB18" t="s">
        <v>316</v>
      </c>
      <c r="AC18">
        <v>4</v>
      </c>
      <c r="AD18">
        <v>2013</v>
      </c>
      <c r="AE18">
        <v>14</v>
      </c>
      <c r="AF18" t="s">
        <v>317</v>
      </c>
      <c r="AG18">
        <v>-13</v>
      </c>
      <c r="AH18">
        <v>18.410731877698101</v>
      </c>
      <c r="AI18">
        <v>1.3150522769784301</v>
      </c>
      <c r="AJ18" t="s">
        <v>60</v>
      </c>
      <c r="AK18" t="s">
        <v>318</v>
      </c>
      <c r="AL18">
        <v>65</v>
      </c>
      <c r="AM18">
        <v>0</v>
      </c>
      <c r="AN18">
        <v>73</v>
      </c>
      <c r="AO18">
        <v>0</v>
      </c>
      <c r="AP18" t="s">
        <v>62</v>
      </c>
      <c r="AQ18" t="s">
        <v>62</v>
      </c>
    </row>
    <row r="19" spans="1:43" x14ac:dyDescent="0.2">
      <c r="A19">
        <v>132344</v>
      </c>
      <c r="B19" t="s">
        <v>319</v>
      </c>
      <c r="C19">
        <v>7.5030000000000001</v>
      </c>
      <c r="D19">
        <v>2565</v>
      </c>
      <c r="E19" t="s">
        <v>44</v>
      </c>
      <c r="F19" s="1">
        <v>41369</v>
      </c>
      <c r="G19">
        <v>11176469</v>
      </c>
      <c r="H19">
        <v>109</v>
      </c>
      <c r="I19">
        <v>3000000</v>
      </c>
      <c r="J19" t="s">
        <v>320</v>
      </c>
      <c r="K19" t="s">
        <v>46</v>
      </c>
      <c r="L19" t="s">
        <v>319</v>
      </c>
      <c r="M19" t="s">
        <v>321</v>
      </c>
      <c r="N19">
        <v>2.5493999999999999</v>
      </c>
      <c r="O19" t="s">
        <v>322</v>
      </c>
      <c r="P19" t="s">
        <v>323</v>
      </c>
      <c r="Q19" t="s">
        <v>324</v>
      </c>
      <c r="R19" t="s">
        <v>325</v>
      </c>
      <c r="S19" t="s">
        <v>326</v>
      </c>
      <c r="T19" t="s">
        <v>327</v>
      </c>
      <c r="U19" t="s">
        <v>328</v>
      </c>
      <c r="V19" t="s">
        <v>329</v>
      </c>
      <c r="W19" t="s">
        <v>330</v>
      </c>
      <c r="X19" t="s">
        <v>331</v>
      </c>
      <c r="Y19" t="s">
        <v>332</v>
      </c>
      <c r="Z19">
        <v>7.9</v>
      </c>
      <c r="AA19">
        <v>182545</v>
      </c>
      <c r="AB19" t="s">
        <v>333</v>
      </c>
      <c r="AC19">
        <v>4</v>
      </c>
      <c r="AD19">
        <v>2013</v>
      </c>
      <c r="AE19">
        <v>14</v>
      </c>
      <c r="AF19" t="s">
        <v>334</v>
      </c>
      <c r="AG19">
        <v>-13</v>
      </c>
      <c r="AH19">
        <v>16.229321233436899</v>
      </c>
      <c r="AI19">
        <v>1.15923723095978</v>
      </c>
      <c r="AJ19" t="s">
        <v>60</v>
      </c>
      <c r="AK19" t="s">
        <v>335</v>
      </c>
      <c r="AL19">
        <v>43</v>
      </c>
      <c r="AM19">
        <v>0</v>
      </c>
      <c r="AN19">
        <v>71</v>
      </c>
      <c r="AO19">
        <v>0</v>
      </c>
      <c r="AP19" t="s">
        <v>62</v>
      </c>
      <c r="AQ19" t="s">
        <v>62</v>
      </c>
    </row>
    <row r="20" spans="1:43" x14ac:dyDescent="0.2">
      <c r="A20">
        <v>75612</v>
      </c>
      <c r="B20" t="s">
        <v>336</v>
      </c>
      <c r="C20">
        <v>6.6619999999999999</v>
      </c>
      <c r="D20">
        <v>11128</v>
      </c>
      <c r="E20" t="s">
        <v>44</v>
      </c>
      <c r="F20" s="1">
        <v>41374</v>
      </c>
      <c r="G20">
        <v>286168572</v>
      </c>
      <c r="H20">
        <v>124</v>
      </c>
      <c r="I20">
        <v>120000000</v>
      </c>
      <c r="J20" t="s">
        <v>337</v>
      </c>
      <c r="K20" t="s">
        <v>46</v>
      </c>
      <c r="L20" t="s">
        <v>336</v>
      </c>
      <c r="M20" t="s">
        <v>338</v>
      </c>
      <c r="N20">
        <v>8.5307999999999993</v>
      </c>
      <c r="O20" t="s">
        <v>339</v>
      </c>
      <c r="P20" t="s">
        <v>340</v>
      </c>
      <c r="Q20" t="s">
        <v>341</v>
      </c>
      <c r="R20" t="s">
        <v>69</v>
      </c>
      <c r="S20" t="s">
        <v>52</v>
      </c>
      <c r="T20" t="s">
        <v>342</v>
      </c>
      <c r="U20" t="s">
        <v>343</v>
      </c>
      <c r="V20" t="s">
        <v>344</v>
      </c>
      <c r="W20" t="s">
        <v>345</v>
      </c>
      <c r="X20" t="s">
        <v>346</v>
      </c>
      <c r="Y20" t="s">
        <v>347</v>
      </c>
      <c r="Z20">
        <v>7</v>
      </c>
      <c r="AA20">
        <v>578879</v>
      </c>
      <c r="AB20" t="s">
        <v>348</v>
      </c>
      <c r="AC20">
        <v>4</v>
      </c>
      <c r="AD20">
        <v>2013</v>
      </c>
      <c r="AE20">
        <v>15</v>
      </c>
      <c r="AF20" t="s">
        <v>349</v>
      </c>
      <c r="AG20">
        <v>-8</v>
      </c>
      <c r="AH20">
        <v>19.472091611230599</v>
      </c>
      <c r="AI20">
        <v>2.1635657345811699</v>
      </c>
      <c r="AJ20" t="s">
        <v>60</v>
      </c>
      <c r="AK20" t="s">
        <v>350</v>
      </c>
      <c r="AL20">
        <v>65</v>
      </c>
      <c r="AM20">
        <v>1</v>
      </c>
      <c r="AN20">
        <v>84</v>
      </c>
      <c r="AO20">
        <v>0.01</v>
      </c>
      <c r="AP20" t="s">
        <v>62</v>
      </c>
      <c r="AQ20" t="s">
        <v>62</v>
      </c>
    </row>
    <row r="21" spans="1:43" x14ac:dyDescent="0.2">
      <c r="A21">
        <v>4258</v>
      </c>
      <c r="B21" t="s">
        <v>351</v>
      </c>
      <c r="C21">
        <v>4.8</v>
      </c>
      <c r="D21">
        <v>2908</v>
      </c>
      <c r="E21" t="s">
        <v>44</v>
      </c>
      <c r="F21" s="1">
        <v>41375</v>
      </c>
      <c r="G21">
        <v>78378744</v>
      </c>
      <c r="H21">
        <v>88</v>
      </c>
      <c r="I21">
        <v>20000000</v>
      </c>
      <c r="J21" t="s">
        <v>352</v>
      </c>
      <c r="K21" t="s">
        <v>46</v>
      </c>
      <c r="L21" t="s">
        <v>351</v>
      </c>
      <c r="M21" t="s">
        <v>353</v>
      </c>
      <c r="N21">
        <v>6.3977000000000004</v>
      </c>
      <c r="O21" t="s">
        <v>354</v>
      </c>
      <c r="P21" t="s">
        <v>99</v>
      </c>
      <c r="Q21" t="s">
        <v>355</v>
      </c>
      <c r="R21" t="s">
        <v>69</v>
      </c>
      <c r="S21" t="s">
        <v>52</v>
      </c>
      <c r="T21" t="s">
        <v>356</v>
      </c>
      <c r="U21" t="s">
        <v>357</v>
      </c>
      <c r="V21" t="s">
        <v>358</v>
      </c>
      <c r="W21" t="s">
        <v>359</v>
      </c>
      <c r="X21" t="s">
        <v>360</v>
      </c>
      <c r="Y21" t="s">
        <v>361</v>
      </c>
      <c r="Z21">
        <v>3.6</v>
      </c>
      <c r="AA21">
        <v>81965</v>
      </c>
      <c r="AB21" t="s">
        <v>362</v>
      </c>
      <c r="AC21">
        <v>4</v>
      </c>
      <c r="AD21">
        <v>2013</v>
      </c>
      <c r="AE21">
        <v>15</v>
      </c>
      <c r="AF21" t="s">
        <v>363</v>
      </c>
      <c r="AG21">
        <v>-7</v>
      </c>
      <c r="AH21">
        <v>18.1770633388698</v>
      </c>
      <c r="AI21">
        <v>2.2721329173587299</v>
      </c>
      <c r="AJ21" t="s">
        <v>60</v>
      </c>
      <c r="AK21" t="s">
        <v>364</v>
      </c>
      <c r="AL21">
        <v>51</v>
      </c>
      <c r="AM21">
        <v>2</v>
      </c>
      <c r="AN21">
        <v>60</v>
      </c>
      <c r="AO21">
        <v>0.03</v>
      </c>
      <c r="AP21" t="s">
        <v>62</v>
      </c>
      <c r="AQ21" t="s">
        <v>62</v>
      </c>
    </row>
    <row r="22" spans="1:43" x14ac:dyDescent="0.2">
      <c r="A22">
        <v>102780</v>
      </c>
      <c r="B22" t="s">
        <v>365</v>
      </c>
      <c r="C22">
        <v>6.3</v>
      </c>
      <c r="D22">
        <v>911</v>
      </c>
      <c r="E22" t="s">
        <v>44</v>
      </c>
      <c r="F22" s="1">
        <v>41375</v>
      </c>
      <c r="G22">
        <v>89237</v>
      </c>
      <c r="H22">
        <v>118</v>
      </c>
      <c r="I22">
        <v>10000000</v>
      </c>
      <c r="J22" t="s">
        <v>366</v>
      </c>
      <c r="K22" t="s">
        <v>46</v>
      </c>
      <c r="L22" t="s">
        <v>365</v>
      </c>
      <c r="M22" t="s">
        <v>367</v>
      </c>
      <c r="N22">
        <v>1.4704999999999999</v>
      </c>
      <c r="O22" t="s">
        <v>368</v>
      </c>
      <c r="P22" t="s">
        <v>369</v>
      </c>
      <c r="Q22" t="s">
        <v>370</v>
      </c>
      <c r="R22" t="s">
        <v>371</v>
      </c>
      <c r="S22" t="s">
        <v>52</v>
      </c>
      <c r="T22" t="s">
        <v>372</v>
      </c>
      <c r="U22" t="s">
        <v>373</v>
      </c>
      <c r="V22" t="s">
        <v>163</v>
      </c>
      <c r="W22" t="s">
        <v>374</v>
      </c>
      <c r="X22" t="s">
        <v>375</v>
      </c>
      <c r="Y22" t="s">
        <v>376</v>
      </c>
      <c r="Z22">
        <v>6.5</v>
      </c>
      <c r="AA22">
        <v>47972</v>
      </c>
      <c r="AB22" t="s">
        <v>377</v>
      </c>
      <c r="AC22">
        <v>4</v>
      </c>
      <c r="AD22">
        <v>2013</v>
      </c>
      <c r="AE22">
        <v>15</v>
      </c>
      <c r="AF22" t="s">
        <v>378</v>
      </c>
      <c r="AG22">
        <v>-7</v>
      </c>
      <c r="AH22">
        <v>11.399062236820599</v>
      </c>
      <c r="AI22">
        <v>1.42488277960258</v>
      </c>
      <c r="AJ22" t="s">
        <v>60</v>
      </c>
      <c r="AK22" t="s">
        <v>379</v>
      </c>
      <c r="AL22">
        <v>23</v>
      </c>
      <c r="AM22">
        <v>0</v>
      </c>
      <c r="AN22">
        <v>53</v>
      </c>
      <c r="AO22">
        <v>0</v>
      </c>
      <c r="AP22" t="s">
        <v>62</v>
      </c>
      <c r="AQ22" t="s">
        <v>62</v>
      </c>
    </row>
    <row r="23" spans="1:43" x14ac:dyDescent="0.2">
      <c r="A23">
        <v>109410</v>
      </c>
      <c r="B23">
        <v>42</v>
      </c>
      <c r="C23">
        <v>7.2</v>
      </c>
      <c r="D23">
        <v>1893</v>
      </c>
      <c r="E23" t="s">
        <v>44</v>
      </c>
      <c r="F23" s="1">
        <v>41376</v>
      </c>
      <c r="G23">
        <v>95020213</v>
      </c>
      <c r="H23">
        <v>128</v>
      </c>
      <c r="I23">
        <v>40000000</v>
      </c>
      <c r="J23" t="s">
        <v>380</v>
      </c>
      <c r="K23" t="s">
        <v>46</v>
      </c>
      <c r="L23">
        <v>42</v>
      </c>
      <c r="M23" t="s">
        <v>381</v>
      </c>
      <c r="N23">
        <v>3.3561000000000001</v>
      </c>
      <c r="O23" t="s">
        <v>382</v>
      </c>
      <c r="P23" t="s">
        <v>273</v>
      </c>
      <c r="Q23" t="s">
        <v>383</v>
      </c>
      <c r="R23" t="s">
        <v>69</v>
      </c>
      <c r="S23" t="s">
        <v>52</v>
      </c>
      <c r="T23" t="s">
        <v>384</v>
      </c>
      <c r="U23" t="s">
        <v>385</v>
      </c>
      <c r="V23" t="s">
        <v>386</v>
      </c>
      <c r="W23" t="s">
        <v>385</v>
      </c>
      <c r="X23" t="s">
        <v>387</v>
      </c>
      <c r="Y23" t="s">
        <v>388</v>
      </c>
      <c r="Z23">
        <v>7.5</v>
      </c>
      <c r="AA23">
        <v>107334</v>
      </c>
      <c r="AB23" t="s">
        <v>389</v>
      </c>
      <c r="AC23">
        <v>4</v>
      </c>
      <c r="AD23">
        <v>2013</v>
      </c>
      <c r="AE23">
        <v>15</v>
      </c>
      <c r="AF23">
        <v>42</v>
      </c>
      <c r="AG23">
        <v>-6</v>
      </c>
      <c r="AH23">
        <v>18.369600205877902</v>
      </c>
      <c r="AI23">
        <v>2.6242286008397002</v>
      </c>
      <c r="AJ23" t="s">
        <v>60</v>
      </c>
      <c r="AK23" t="s">
        <v>390</v>
      </c>
      <c r="AL23">
        <v>8</v>
      </c>
      <c r="AM23">
        <v>2</v>
      </c>
      <c r="AN23">
        <v>27</v>
      </c>
      <c r="AO23">
        <v>7.0000000000000007E-2</v>
      </c>
      <c r="AP23" t="s">
        <v>62</v>
      </c>
      <c r="AQ23" t="s">
        <v>62</v>
      </c>
    </row>
    <row r="24" spans="1:43" x14ac:dyDescent="0.2">
      <c r="A24">
        <v>127517</v>
      </c>
      <c r="B24" t="s">
        <v>391</v>
      </c>
      <c r="C24">
        <v>7.1</v>
      </c>
      <c r="D24">
        <v>1171</v>
      </c>
      <c r="E24" t="s">
        <v>44</v>
      </c>
      <c r="F24" s="1">
        <v>41376</v>
      </c>
      <c r="G24">
        <v>3428048</v>
      </c>
      <c r="H24">
        <v>116</v>
      </c>
      <c r="I24">
        <v>10000000</v>
      </c>
      <c r="J24" t="s">
        <v>392</v>
      </c>
      <c r="K24" t="s">
        <v>46</v>
      </c>
      <c r="L24" t="s">
        <v>391</v>
      </c>
      <c r="M24" t="s">
        <v>393</v>
      </c>
      <c r="N24">
        <v>2.6291000000000002</v>
      </c>
      <c r="O24" t="s">
        <v>394</v>
      </c>
      <c r="P24" t="s">
        <v>395</v>
      </c>
      <c r="Q24" t="s">
        <v>396</v>
      </c>
      <c r="R24" t="s">
        <v>69</v>
      </c>
      <c r="S24" t="s">
        <v>52</v>
      </c>
      <c r="T24" t="s">
        <v>397</v>
      </c>
      <c r="U24" t="s">
        <v>398</v>
      </c>
      <c r="V24" t="s">
        <v>399</v>
      </c>
      <c r="W24" t="s">
        <v>400</v>
      </c>
      <c r="X24" t="s">
        <v>401</v>
      </c>
      <c r="Y24" t="s">
        <v>402</v>
      </c>
      <c r="Z24">
        <v>7.5</v>
      </c>
      <c r="AA24">
        <v>79726</v>
      </c>
      <c r="AB24" t="s">
        <v>403</v>
      </c>
      <c r="AC24">
        <v>4</v>
      </c>
      <c r="AD24">
        <v>2013</v>
      </c>
      <c r="AE24">
        <v>15</v>
      </c>
      <c r="AF24" t="s">
        <v>404</v>
      </c>
      <c r="AG24">
        <v>-6</v>
      </c>
      <c r="AH24">
        <v>15.047501852646599</v>
      </c>
      <c r="AI24">
        <v>2.1496431218066601</v>
      </c>
      <c r="AJ24" t="s">
        <v>60</v>
      </c>
      <c r="AK24" t="s">
        <v>405</v>
      </c>
      <c r="AL24">
        <v>17</v>
      </c>
      <c r="AM24">
        <v>0</v>
      </c>
      <c r="AN24">
        <v>26</v>
      </c>
      <c r="AO24">
        <v>0</v>
      </c>
      <c r="AP24" t="s">
        <v>62</v>
      </c>
      <c r="AQ24" t="s">
        <v>62</v>
      </c>
    </row>
    <row r="25" spans="1:43" x14ac:dyDescent="0.2">
      <c r="A25">
        <v>77234</v>
      </c>
      <c r="B25" t="s">
        <v>406</v>
      </c>
      <c r="C25">
        <v>5.5</v>
      </c>
      <c r="D25">
        <v>575</v>
      </c>
      <c r="E25" t="s">
        <v>44</v>
      </c>
      <c r="F25" s="1">
        <v>41382</v>
      </c>
      <c r="G25">
        <v>3107646</v>
      </c>
      <c r="H25">
        <v>90</v>
      </c>
      <c r="I25">
        <v>10000000</v>
      </c>
      <c r="J25" t="s">
        <v>407</v>
      </c>
      <c r="K25" t="s">
        <v>46</v>
      </c>
      <c r="L25" t="s">
        <v>406</v>
      </c>
      <c r="M25" t="s">
        <v>408</v>
      </c>
      <c r="N25">
        <v>2.7934999999999999</v>
      </c>
      <c r="O25" t="s">
        <v>409</v>
      </c>
      <c r="P25" t="s">
        <v>174</v>
      </c>
      <c r="Q25" t="s">
        <v>410</v>
      </c>
      <c r="R25" t="s">
        <v>411</v>
      </c>
      <c r="S25" t="s">
        <v>52</v>
      </c>
      <c r="T25" t="s">
        <v>412</v>
      </c>
      <c r="U25" t="s">
        <v>413</v>
      </c>
      <c r="V25" t="s">
        <v>414</v>
      </c>
      <c r="W25" t="s">
        <v>415</v>
      </c>
      <c r="X25" t="s">
        <v>416</v>
      </c>
      <c r="Y25" t="s">
        <v>417</v>
      </c>
      <c r="Z25">
        <v>5.6</v>
      </c>
      <c r="AA25">
        <v>21354</v>
      </c>
      <c r="AB25" t="s">
        <v>418</v>
      </c>
      <c r="AC25">
        <v>4</v>
      </c>
      <c r="AD25">
        <v>2013</v>
      </c>
      <c r="AE25">
        <v>16</v>
      </c>
      <c r="AF25" t="s">
        <v>419</v>
      </c>
      <c r="AG25">
        <v>0</v>
      </c>
      <c r="AH25">
        <v>14.949376406155601</v>
      </c>
      <c r="AI25">
        <v>14.949376406155601</v>
      </c>
      <c r="AJ25" t="s">
        <v>60</v>
      </c>
      <c r="AK25" t="s">
        <v>420</v>
      </c>
      <c r="AL25">
        <v>19</v>
      </c>
      <c r="AM25">
        <v>0</v>
      </c>
      <c r="AN25">
        <v>28</v>
      </c>
      <c r="AO25">
        <v>0</v>
      </c>
      <c r="AP25" t="s">
        <v>62</v>
      </c>
      <c r="AQ25" t="s">
        <v>62</v>
      </c>
    </row>
    <row r="26" spans="1:43" x14ac:dyDescent="0.2">
      <c r="A26">
        <v>104755</v>
      </c>
      <c r="B26" t="s">
        <v>421</v>
      </c>
      <c r="C26">
        <v>5.5</v>
      </c>
      <c r="D26">
        <v>890</v>
      </c>
      <c r="E26" t="s">
        <v>44</v>
      </c>
      <c r="F26" s="1">
        <v>41382</v>
      </c>
      <c r="G26">
        <v>1165882</v>
      </c>
      <c r="H26">
        <v>101</v>
      </c>
      <c r="I26">
        <v>1500000</v>
      </c>
      <c r="J26" t="s">
        <v>422</v>
      </c>
      <c r="K26" t="s">
        <v>46</v>
      </c>
      <c r="L26" t="s">
        <v>421</v>
      </c>
      <c r="M26" t="s">
        <v>423</v>
      </c>
      <c r="N26">
        <v>4.1006999999999998</v>
      </c>
      <c r="O26" t="s">
        <v>424</v>
      </c>
      <c r="P26" t="s">
        <v>83</v>
      </c>
      <c r="Q26" t="s">
        <v>425</v>
      </c>
      <c r="R26" t="s">
        <v>426</v>
      </c>
      <c r="S26" t="s">
        <v>52</v>
      </c>
      <c r="T26" t="s">
        <v>427</v>
      </c>
      <c r="U26" t="s">
        <v>428</v>
      </c>
      <c r="V26" t="s">
        <v>429</v>
      </c>
      <c r="W26" t="s">
        <v>428</v>
      </c>
      <c r="X26" t="s">
        <v>430</v>
      </c>
      <c r="Y26" t="s">
        <v>431</v>
      </c>
      <c r="Z26">
        <v>5.2</v>
      </c>
      <c r="AA26">
        <v>33958</v>
      </c>
      <c r="AB26" t="s">
        <v>432</v>
      </c>
      <c r="AC26">
        <v>4</v>
      </c>
      <c r="AD26">
        <v>2013</v>
      </c>
      <c r="AE26">
        <v>16</v>
      </c>
      <c r="AF26" t="s">
        <v>433</v>
      </c>
      <c r="AG26">
        <v>0</v>
      </c>
      <c r="AH26">
        <v>13.968989297804701</v>
      </c>
      <c r="AI26">
        <v>13.968989297804701</v>
      </c>
      <c r="AJ26" t="s">
        <v>60</v>
      </c>
      <c r="AK26" t="s">
        <v>434</v>
      </c>
      <c r="AL26">
        <v>5</v>
      </c>
      <c r="AM26">
        <v>0</v>
      </c>
      <c r="AN26">
        <v>33</v>
      </c>
      <c r="AO26">
        <v>0</v>
      </c>
      <c r="AP26" t="s">
        <v>62</v>
      </c>
      <c r="AQ26" t="s">
        <v>62</v>
      </c>
    </row>
    <row r="27" spans="1:43" x14ac:dyDescent="0.2">
      <c r="A27">
        <v>134374</v>
      </c>
      <c r="B27" t="s">
        <v>435</v>
      </c>
      <c r="C27">
        <v>6.3</v>
      </c>
      <c r="D27">
        <v>4647</v>
      </c>
      <c r="E27" t="s">
        <v>44</v>
      </c>
      <c r="F27" s="1">
        <v>41382</v>
      </c>
      <c r="G27">
        <v>87305549</v>
      </c>
      <c r="H27">
        <v>130</v>
      </c>
      <c r="I27">
        <v>25000000</v>
      </c>
      <c r="J27" t="s">
        <v>436</v>
      </c>
      <c r="K27" t="s">
        <v>46</v>
      </c>
      <c r="L27" t="s">
        <v>435</v>
      </c>
      <c r="M27" t="s">
        <v>437</v>
      </c>
      <c r="N27">
        <v>5.4999000000000002</v>
      </c>
      <c r="O27" t="s">
        <v>438</v>
      </c>
      <c r="P27" t="s">
        <v>439</v>
      </c>
      <c r="Q27" t="s">
        <v>440</v>
      </c>
      <c r="R27" t="s">
        <v>69</v>
      </c>
      <c r="S27" t="s">
        <v>52</v>
      </c>
      <c r="T27" t="s">
        <v>441</v>
      </c>
      <c r="U27" t="s">
        <v>442</v>
      </c>
      <c r="V27" t="s">
        <v>443</v>
      </c>
      <c r="W27" t="s">
        <v>444</v>
      </c>
      <c r="X27" t="s">
        <v>445</v>
      </c>
      <c r="Y27" t="s">
        <v>446</v>
      </c>
      <c r="Z27">
        <v>6.4</v>
      </c>
      <c r="AA27">
        <v>238773</v>
      </c>
      <c r="AB27" t="s">
        <v>447</v>
      </c>
      <c r="AC27">
        <v>4</v>
      </c>
      <c r="AD27">
        <v>2013</v>
      </c>
      <c r="AE27">
        <v>16</v>
      </c>
      <c r="AF27" t="s">
        <v>448</v>
      </c>
      <c r="AG27">
        <v>0</v>
      </c>
      <c r="AH27">
        <v>18.284924592672201</v>
      </c>
      <c r="AI27">
        <v>18.284924592672201</v>
      </c>
      <c r="AJ27" t="s">
        <v>60</v>
      </c>
      <c r="AK27" t="s">
        <v>449</v>
      </c>
      <c r="AL27">
        <v>70</v>
      </c>
      <c r="AM27">
        <v>3</v>
      </c>
      <c r="AN27">
        <v>81</v>
      </c>
      <c r="AO27">
        <v>0.04</v>
      </c>
      <c r="AP27" t="s">
        <v>62</v>
      </c>
      <c r="AQ27" t="s">
        <v>62</v>
      </c>
    </row>
    <row r="28" spans="1:43" x14ac:dyDescent="0.2">
      <c r="A28">
        <v>186747</v>
      </c>
      <c r="B28" t="s">
        <v>450</v>
      </c>
      <c r="C28">
        <v>5</v>
      </c>
      <c r="D28">
        <v>31</v>
      </c>
      <c r="E28" t="s">
        <v>44</v>
      </c>
      <c r="F28" s="1">
        <v>41382</v>
      </c>
      <c r="G28">
        <v>6500000</v>
      </c>
      <c r="H28">
        <v>135</v>
      </c>
      <c r="I28">
        <v>3500000</v>
      </c>
      <c r="J28" t="s">
        <v>451</v>
      </c>
      <c r="K28" t="s">
        <v>286</v>
      </c>
      <c r="L28" t="s">
        <v>452</v>
      </c>
      <c r="M28" t="s">
        <v>453</v>
      </c>
      <c r="N28">
        <v>0.64459999999999995</v>
      </c>
      <c r="O28" t="s">
        <v>454</v>
      </c>
      <c r="P28" t="s">
        <v>455</v>
      </c>
      <c r="Q28" t="s">
        <v>456</v>
      </c>
      <c r="R28" t="s">
        <v>292</v>
      </c>
      <c r="S28" t="s">
        <v>293</v>
      </c>
      <c r="T28" t="s">
        <v>457</v>
      </c>
      <c r="U28" t="s">
        <v>458</v>
      </c>
      <c r="V28" t="s">
        <v>459</v>
      </c>
      <c r="W28" t="s">
        <v>460</v>
      </c>
      <c r="X28" t="s">
        <v>461</v>
      </c>
      <c r="Y28" t="s">
        <v>462</v>
      </c>
      <c r="Z28">
        <v>5.8</v>
      </c>
      <c r="AA28">
        <v>4865</v>
      </c>
      <c r="AB28" t="s">
        <v>463</v>
      </c>
      <c r="AC28">
        <v>4</v>
      </c>
      <c r="AD28">
        <v>2013</v>
      </c>
      <c r="AE28">
        <v>16</v>
      </c>
      <c r="AF28" t="s">
        <v>464</v>
      </c>
      <c r="AG28">
        <v>0</v>
      </c>
      <c r="AH28">
        <v>15.687312888712</v>
      </c>
      <c r="AI28">
        <v>15.687312888712</v>
      </c>
      <c r="AJ28" t="s">
        <v>60</v>
      </c>
      <c r="AK28" t="s">
        <v>465</v>
      </c>
      <c r="AL28">
        <v>3</v>
      </c>
      <c r="AM28">
        <v>0</v>
      </c>
      <c r="AN28">
        <v>4</v>
      </c>
      <c r="AO28">
        <v>0</v>
      </c>
      <c r="AP28" t="s">
        <v>62</v>
      </c>
      <c r="AQ28" t="s">
        <v>62</v>
      </c>
    </row>
    <row r="29" spans="1:43" x14ac:dyDescent="0.2">
      <c r="A29">
        <v>121677</v>
      </c>
      <c r="B29" t="s">
        <v>466</v>
      </c>
      <c r="C29">
        <v>6.6</v>
      </c>
      <c r="D29">
        <v>220</v>
      </c>
      <c r="E29" t="s">
        <v>44</v>
      </c>
      <c r="F29" s="1">
        <v>41388</v>
      </c>
      <c r="G29">
        <v>2200000</v>
      </c>
      <c r="H29">
        <v>130</v>
      </c>
      <c r="I29">
        <v>15000000</v>
      </c>
      <c r="J29" t="s">
        <v>467</v>
      </c>
      <c r="K29" t="s">
        <v>46</v>
      </c>
      <c r="L29" t="s">
        <v>466</v>
      </c>
      <c r="M29" t="s">
        <v>468</v>
      </c>
      <c r="N29">
        <v>3.0994000000000002</v>
      </c>
      <c r="O29" t="s">
        <v>469</v>
      </c>
      <c r="P29" t="s">
        <v>470</v>
      </c>
      <c r="Q29" t="s">
        <v>471</v>
      </c>
      <c r="R29" t="s">
        <v>472</v>
      </c>
      <c r="S29" t="s">
        <v>473</v>
      </c>
      <c r="T29" t="s">
        <v>474</v>
      </c>
      <c r="U29" t="s">
        <v>475</v>
      </c>
      <c r="V29" t="s">
        <v>194</v>
      </c>
      <c r="W29" t="s">
        <v>476</v>
      </c>
      <c r="X29" t="s">
        <v>477</v>
      </c>
      <c r="Y29" t="s">
        <v>478</v>
      </c>
      <c r="Z29">
        <v>6.8</v>
      </c>
      <c r="AA29">
        <v>15077</v>
      </c>
      <c r="AB29" t="s">
        <v>479</v>
      </c>
      <c r="AC29">
        <v>4</v>
      </c>
      <c r="AD29">
        <v>2013</v>
      </c>
      <c r="AE29">
        <v>17</v>
      </c>
      <c r="AF29" t="s">
        <v>480</v>
      </c>
      <c r="AG29">
        <v>6</v>
      </c>
      <c r="AH29">
        <v>14.603968372873799</v>
      </c>
      <c r="AI29">
        <v>2.08628119612484</v>
      </c>
      <c r="AJ29" t="s">
        <v>60</v>
      </c>
      <c r="AK29" t="s">
        <v>481</v>
      </c>
      <c r="AL29">
        <v>10</v>
      </c>
      <c r="AM29">
        <v>1</v>
      </c>
      <c r="AN29">
        <v>27</v>
      </c>
      <c r="AO29">
        <v>0.04</v>
      </c>
      <c r="AP29" t="s">
        <v>62</v>
      </c>
      <c r="AQ29" t="s">
        <v>62</v>
      </c>
    </row>
    <row r="30" spans="1:43" x14ac:dyDescent="0.2">
      <c r="A30">
        <v>87567</v>
      </c>
      <c r="B30" t="s">
        <v>482</v>
      </c>
      <c r="C30">
        <v>5.8</v>
      </c>
      <c r="D30">
        <v>1198</v>
      </c>
      <c r="E30" t="s">
        <v>44</v>
      </c>
      <c r="F30" s="1">
        <v>41389</v>
      </c>
      <c r="G30">
        <v>21800000</v>
      </c>
      <c r="H30">
        <v>90</v>
      </c>
      <c r="I30">
        <v>35000000</v>
      </c>
      <c r="J30" t="s">
        <v>483</v>
      </c>
      <c r="K30" t="s">
        <v>46</v>
      </c>
      <c r="L30" t="s">
        <v>482</v>
      </c>
      <c r="M30" t="s">
        <v>484</v>
      </c>
      <c r="N30">
        <v>2.3258000000000001</v>
      </c>
      <c r="O30" t="s">
        <v>485</v>
      </c>
      <c r="P30" t="s">
        <v>99</v>
      </c>
      <c r="Q30" t="s">
        <v>486</v>
      </c>
      <c r="R30" t="s">
        <v>69</v>
      </c>
      <c r="S30" t="s">
        <v>487</v>
      </c>
      <c r="T30" t="s">
        <v>488</v>
      </c>
      <c r="U30" t="s">
        <v>489</v>
      </c>
      <c r="V30" t="s">
        <v>490</v>
      </c>
      <c r="W30" t="s">
        <v>491</v>
      </c>
      <c r="X30" t="s">
        <v>492</v>
      </c>
      <c r="Y30" t="s">
        <v>493</v>
      </c>
      <c r="Z30">
        <v>5.6</v>
      </c>
      <c r="AA30">
        <v>53336</v>
      </c>
      <c r="AB30" t="s">
        <v>494</v>
      </c>
      <c r="AC30">
        <v>4</v>
      </c>
      <c r="AD30">
        <v>2013</v>
      </c>
      <c r="AE30">
        <v>17</v>
      </c>
      <c r="AF30" t="s">
        <v>495</v>
      </c>
      <c r="AG30">
        <v>7</v>
      </c>
      <c r="AH30">
        <v>16.8974205736308</v>
      </c>
      <c r="AI30">
        <v>2.11217757170385</v>
      </c>
      <c r="AJ30" t="s">
        <v>60</v>
      </c>
      <c r="AK30" t="s">
        <v>496</v>
      </c>
      <c r="AL30">
        <v>77</v>
      </c>
      <c r="AM30">
        <v>0</v>
      </c>
      <c r="AN30">
        <v>78</v>
      </c>
      <c r="AO30">
        <v>0</v>
      </c>
      <c r="AP30" t="s">
        <v>62</v>
      </c>
      <c r="AQ30" t="s">
        <v>62</v>
      </c>
    </row>
    <row r="31" spans="1:43" x14ac:dyDescent="0.2">
      <c r="A31">
        <v>174675</v>
      </c>
      <c r="B31" t="s">
        <v>497</v>
      </c>
      <c r="C31">
        <v>5.9</v>
      </c>
      <c r="D31">
        <v>833</v>
      </c>
      <c r="E31" t="s">
        <v>44</v>
      </c>
      <c r="F31" s="1">
        <v>41389</v>
      </c>
      <c r="G31">
        <v>314131</v>
      </c>
      <c r="H31">
        <v>92</v>
      </c>
      <c r="I31">
        <v>1500000</v>
      </c>
      <c r="J31" t="s">
        <v>498</v>
      </c>
      <c r="K31" t="s">
        <v>46</v>
      </c>
      <c r="L31" t="s">
        <v>497</v>
      </c>
      <c r="M31" t="s">
        <v>499</v>
      </c>
      <c r="N31">
        <v>2.2204999999999999</v>
      </c>
      <c r="O31" t="s">
        <v>500</v>
      </c>
      <c r="P31" t="s">
        <v>501</v>
      </c>
      <c r="Q31" t="s">
        <v>502</v>
      </c>
      <c r="R31" t="s">
        <v>503</v>
      </c>
      <c r="S31" t="s">
        <v>52</v>
      </c>
      <c r="T31" t="s">
        <v>504</v>
      </c>
      <c r="U31" t="s">
        <v>505</v>
      </c>
      <c r="V31" t="s">
        <v>506</v>
      </c>
      <c r="W31" t="s">
        <v>505</v>
      </c>
      <c r="X31" t="s">
        <v>507</v>
      </c>
      <c r="Y31" t="s">
        <v>508</v>
      </c>
      <c r="Z31">
        <v>6</v>
      </c>
      <c r="AA31">
        <v>32721</v>
      </c>
      <c r="AB31" t="s">
        <v>509</v>
      </c>
      <c r="AC31">
        <v>4</v>
      </c>
      <c r="AD31">
        <v>2013</v>
      </c>
      <c r="AE31">
        <v>17</v>
      </c>
      <c r="AF31" t="s">
        <v>510</v>
      </c>
      <c r="AG31">
        <v>7</v>
      </c>
      <c r="AH31">
        <v>12.657568558720101</v>
      </c>
      <c r="AI31">
        <v>1.5821960698400199</v>
      </c>
      <c r="AJ31" t="s">
        <v>60</v>
      </c>
      <c r="AK31" t="s">
        <v>511</v>
      </c>
      <c r="AL31">
        <v>4</v>
      </c>
      <c r="AM31">
        <v>1</v>
      </c>
      <c r="AN31">
        <v>21</v>
      </c>
      <c r="AO31">
        <v>0.05</v>
      </c>
      <c r="AP31" t="s">
        <v>62</v>
      </c>
      <c r="AQ31" t="s">
        <v>62</v>
      </c>
    </row>
    <row r="32" spans="1:43" x14ac:dyDescent="0.2">
      <c r="A32">
        <v>103731</v>
      </c>
      <c r="B32" t="s">
        <v>512</v>
      </c>
      <c r="C32">
        <v>7.1</v>
      </c>
      <c r="D32">
        <v>2947</v>
      </c>
      <c r="E32" t="s">
        <v>44</v>
      </c>
      <c r="F32" s="1">
        <v>41390</v>
      </c>
      <c r="G32">
        <v>32613173</v>
      </c>
      <c r="H32">
        <v>130</v>
      </c>
      <c r="I32">
        <v>10000000</v>
      </c>
      <c r="J32" t="s">
        <v>513</v>
      </c>
      <c r="K32" t="s">
        <v>46</v>
      </c>
      <c r="L32" t="s">
        <v>512</v>
      </c>
      <c r="M32" t="s">
        <v>514</v>
      </c>
      <c r="N32">
        <v>5.2759</v>
      </c>
      <c r="O32" t="s">
        <v>515</v>
      </c>
      <c r="P32" t="s">
        <v>273</v>
      </c>
      <c r="Q32" t="s">
        <v>516</v>
      </c>
      <c r="R32" t="s">
        <v>69</v>
      </c>
      <c r="S32" t="s">
        <v>52</v>
      </c>
      <c r="T32" t="s">
        <v>517</v>
      </c>
      <c r="U32" t="s">
        <v>518</v>
      </c>
      <c r="V32" t="s">
        <v>519</v>
      </c>
      <c r="W32" t="s">
        <v>518</v>
      </c>
      <c r="X32" t="s">
        <v>520</v>
      </c>
      <c r="Y32" t="s">
        <v>521</v>
      </c>
      <c r="Z32">
        <v>7.4</v>
      </c>
      <c r="AA32">
        <v>197243</v>
      </c>
      <c r="AB32" t="s">
        <v>522</v>
      </c>
      <c r="AC32">
        <v>4</v>
      </c>
      <c r="AD32">
        <v>2013</v>
      </c>
      <c r="AE32">
        <v>17</v>
      </c>
      <c r="AF32" t="s">
        <v>523</v>
      </c>
      <c r="AG32">
        <v>8</v>
      </c>
      <c r="AH32">
        <v>17.300226875135699</v>
      </c>
      <c r="AI32">
        <v>1.9222474305706301</v>
      </c>
      <c r="AJ32" t="s">
        <v>60</v>
      </c>
      <c r="AK32" t="s">
        <v>524</v>
      </c>
      <c r="AL32">
        <v>22</v>
      </c>
      <c r="AM32">
        <v>0</v>
      </c>
      <c r="AN32">
        <v>40</v>
      </c>
      <c r="AO32">
        <v>0</v>
      </c>
      <c r="AP32" t="s">
        <v>62</v>
      </c>
      <c r="AQ32" t="s">
        <v>62</v>
      </c>
    </row>
    <row r="33" spans="1:43" x14ac:dyDescent="0.2">
      <c r="A33">
        <v>157351</v>
      </c>
      <c r="B33" t="s">
        <v>525</v>
      </c>
      <c r="C33">
        <v>6</v>
      </c>
      <c r="D33">
        <v>278</v>
      </c>
      <c r="E33" t="s">
        <v>44</v>
      </c>
      <c r="F33" s="1">
        <v>41390</v>
      </c>
      <c r="G33">
        <v>4404</v>
      </c>
      <c r="H33">
        <v>96</v>
      </c>
      <c r="I33">
        <v>1300000</v>
      </c>
      <c r="J33" t="s">
        <v>526</v>
      </c>
      <c r="K33" t="s">
        <v>46</v>
      </c>
      <c r="L33" t="s">
        <v>525</v>
      </c>
      <c r="M33" t="s">
        <v>527</v>
      </c>
      <c r="N33">
        <v>1.851</v>
      </c>
      <c r="O33" t="s">
        <v>528</v>
      </c>
      <c r="P33" t="s">
        <v>395</v>
      </c>
      <c r="Q33" t="s">
        <v>529</v>
      </c>
      <c r="R33" t="s">
        <v>530</v>
      </c>
      <c r="S33" t="s">
        <v>52</v>
      </c>
      <c r="T33" t="s">
        <v>531</v>
      </c>
      <c r="U33" t="s">
        <v>532</v>
      </c>
      <c r="V33" t="s">
        <v>533</v>
      </c>
      <c r="W33" t="s">
        <v>534</v>
      </c>
      <c r="X33" t="s">
        <v>535</v>
      </c>
      <c r="Y33" t="s">
        <v>536</v>
      </c>
      <c r="Z33">
        <v>6</v>
      </c>
      <c r="AA33">
        <v>10051</v>
      </c>
      <c r="AB33" t="s">
        <v>537</v>
      </c>
      <c r="AC33">
        <v>4</v>
      </c>
      <c r="AD33">
        <v>2013</v>
      </c>
      <c r="AE33">
        <v>17</v>
      </c>
      <c r="AF33" t="s">
        <v>538</v>
      </c>
      <c r="AG33">
        <v>8</v>
      </c>
      <c r="AH33">
        <v>8.3904955383702795</v>
      </c>
      <c r="AI33">
        <v>0.93227728204114202</v>
      </c>
      <c r="AJ33" t="s">
        <v>60</v>
      </c>
      <c r="AK33" t="s">
        <v>539</v>
      </c>
      <c r="AL33">
        <v>1</v>
      </c>
      <c r="AM33">
        <v>1</v>
      </c>
      <c r="AN33">
        <v>22</v>
      </c>
      <c r="AO33">
        <v>0.05</v>
      </c>
      <c r="AP33" t="s">
        <v>62</v>
      </c>
      <c r="AQ33" t="s">
        <v>62</v>
      </c>
    </row>
    <row r="34" spans="1:43" x14ac:dyDescent="0.2">
      <c r="A34">
        <v>192558</v>
      </c>
      <c r="B34" t="s">
        <v>540</v>
      </c>
      <c r="C34">
        <v>6.8</v>
      </c>
      <c r="D34">
        <v>176</v>
      </c>
      <c r="E34" t="s">
        <v>44</v>
      </c>
      <c r="F34" s="1">
        <v>41390</v>
      </c>
      <c r="G34">
        <v>16000000</v>
      </c>
      <c r="H34">
        <v>132</v>
      </c>
      <c r="I34">
        <v>1300000</v>
      </c>
      <c r="J34" t="s">
        <v>541</v>
      </c>
      <c r="K34" t="s">
        <v>286</v>
      </c>
      <c r="L34" t="s">
        <v>542</v>
      </c>
      <c r="M34" t="s">
        <v>543</v>
      </c>
      <c r="N34">
        <v>3.0731999999999999</v>
      </c>
      <c r="O34" t="s">
        <v>544</v>
      </c>
      <c r="P34" t="s">
        <v>545</v>
      </c>
      <c r="Q34" t="s">
        <v>546</v>
      </c>
      <c r="R34" t="s">
        <v>292</v>
      </c>
      <c r="S34" t="s">
        <v>293</v>
      </c>
      <c r="T34" t="s">
        <v>547</v>
      </c>
      <c r="U34" t="s">
        <v>548</v>
      </c>
      <c r="V34" t="s">
        <v>549</v>
      </c>
      <c r="W34" t="s">
        <v>550</v>
      </c>
      <c r="X34" t="s">
        <v>551</v>
      </c>
      <c r="Y34" t="s">
        <v>552</v>
      </c>
      <c r="Z34">
        <v>7.1</v>
      </c>
      <c r="AA34">
        <v>37061</v>
      </c>
      <c r="AB34" t="s">
        <v>553</v>
      </c>
      <c r="AC34">
        <v>4</v>
      </c>
      <c r="AD34">
        <v>2013</v>
      </c>
      <c r="AE34">
        <v>17</v>
      </c>
      <c r="AF34" t="s">
        <v>554</v>
      </c>
      <c r="AG34">
        <v>8</v>
      </c>
      <c r="AH34">
        <v>16.588099342704002</v>
      </c>
      <c r="AI34">
        <v>1.8431221491893299</v>
      </c>
      <c r="AJ34" t="s">
        <v>60</v>
      </c>
      <c r="AK34" t="s">
        <v>555</v>
      </c>
      <c r="AL34">
        <v>3</v>
      </c>
      <c r="AM34">
        <v>1</v>
      </c>
      <c r="AN34">
        <v>8</v>
      </c>
      <c r="AO34">
        <v>0.12</v>
      </c>
      <c r="AP34" t="s">
        <v>62</v>
      </c>
      <c r="AQ34" t="s">
        <v>62</v>
      </c>
    </row>
    <row r="35" spans="1:43" x14ac:dyDescent="0.2">
      <c r="A35">
        <v>189227</v>
      </c>
      <c r="B35" t="s">
        <v>556</v>
      </c>
      <c r="C35">
        <v>7.1</v>
      </c>
      <c r="D35">
        <v>67</v>
      </c>
      <c r="E35" t="s">
        <v>44</v>
      </c>
      <c r="F35" s="1">
        <v>41395</v>
      </c>
      <c r="G35">
        <v>12000000</v>
      </c>
      <c r="H35">
        <v>138</v>
      </c>
      <c r="I35">
        <v>310000</v>
      </c>
      <c r="J35" t="s">
        <v>557</v>
      </c>
      <c r="K35" t="s">
        <v>558</v>
      </c>
      <c r="L35" t="s">
        <v>559</v>
      </c>
      <c r="M35" t="s">
        <v>560</v>
      </c>
      <c r="N35">
        <v>1.7464999999999999</v>
      </c>
      <c r="O35" t="s">
        <v>561</v>
      </c>
      <c r="P35" t="s">
        <v>562</v>
      </c>
      <c r="Q35" t="s">
        <v>563</v>
      </c>
      <c r="R35" t="s">
        <v>292</v>
      </c>
      <c r="S35" t="s">
        <v>564</v>
      </c>
      <c r="T35" t="s">
        <v>565</v>
      </c>
      <c r="U35" t="s">
        <v>566</v>
      </c>
      <c r="V35" t="s">
        <v>567</v>
      </c>
      <c r="W35" t="s">
        <v>568</v>
      </c>
      <c r="X35" t="s">
        <v>569</v>
      </c>
      <c r="Y35" t="s">
        <v>570</v>
      </c>
      <c r="Z35">
        <v>8.3000000000000007</v>
      </c>
      <c r="AA35">
        <v>13304</v>
      </c>
      <c r="AB35" t="s">
        <v>571</v>
      </c>
      <c r="AC35">
        <v>5</v>
      </c>
      <c r="AD35">
        <v>2013</v>
      </c>
      <c r="AE35">
        <v>18</v>
      </c>
      <c r="AF35" t="s">
        <v>572</v>
      </c>
      <c r="AG35">
        <v>13</v>
      </c>
      <c r="AH35">
        <v>16.300417291085601</v>
      </c>
      <c r="AI35">
        <v>1.1643155207918201</v>
      </c>
      <c r="AJ35" t="s">
        <v>60</v>
      </c>
      <c r="AK35" t="s">
        <v>573</v>
      </c>
      <c r="AL35">
        <v>4</v>
      </c>
      <c r="AM35">
        <v>1</v>
      </c>
      <c r="AN35">
        <v>6</v>
      </c>
      <c r="AO35">
        <v>0.17</v>
      </c>
      <c r="AP35" t="s">
        <v>62</v>
      </c>
      <c r="AQ35" t="s">
        <v>62</v>
      </c>
    </row>
    <row r="36" spans="1:43" x14ac:dyDescent="0.2">
      <c r="A36">
        <v>205601</v>
      </c>
      <c r="B36" t="s">
        <v>574</v>
      </c>
      <c r="C36">
        <v>7.1</v>
      </c>
      <c r="D36">
        <v>697</v>
      </c>
      <c r="E36" t="s">
        <v>44</v>
      </c>
      <c r="F36" s="1">
        <v>41395</v>
      </c>
      <c r="G36">
        <v>16500000</v>
      </c>
      <c r="H36">
        <v>105</v>
      </c>
      <c r="I36">
        <v>10900000</v>
      </c>
      <c r="J36" t="s">
        <v>575</v>
      </c>
      <c r="K36" t="s">
        <v>46</v>
      </c>
      <c r="L36" t="s">
        <v>574</v>
      </c>
      <c r="M36" t="s">
        <v>576</v>
      </c>
      <c r="N36">
        <v>3.0832999999999999</v>
      </c>
      <c r="O36" t="s">
        <v>577</v>
      </c>
      <c r="P36" t="s">
        <v>273</v>
      </c>
      <c r="Q36" t="s">
        <v>578</v>
      </c>
      <c r="R36" t="s">
        <v>503</v>
      </c>
      <c r="S36" t="s">
        <v>52</v>
      </c>
      <c r="T36" t="s">
        <v>579</v>
      </c>
      <c r="U36" t="s">
        <v>580</v>
      </c>
      <c r="V36" t="s">
        <v>581</v>
      </c>
      <c r="W36" t="s">
        <v>582</v>
      </c>
      <c r="X36" t="s">
        <v>583</v>
      </c>
      <c r="Y36" t="s">
        <v>584</v>
      </c>
      <c r="Z36">
        <v>7.3</v>
      </c>
      <c r="AA36">
        <v>34517</v>
      </c>
      <c r="AB36" t="s">
        <v>585</v>
      </c>
      <c r="AC36">
        <v>5</v>
      </c>
      <c r="AD36">
        <v>2013</v>
      </c>
      <c r="AE36">
        <v>18</v>
      </c>
      <c r="AF36" t="s">
        <v>586</v>
      </c>
      <c r="AG36">
        <v>13</v>
      </c>
      <c r="AH36">
        <v>16.618870999476801</v>
      </c>
      <c r="AI36">
        <v>1.18706221424834</v>
      </c>
      <c r="AJ36" t="s">
        <v>60</v>
      </c>
      <c r="AK36" t="s">
        <v>587</v>
      </c>
      <c r="AL36">
        <v>15</v>
      </c>
      <c r="AM36">
        <v>1</v>
      </c>
      <c r="AN36">
        <v>39</v>
      </c>
      <c r="AO36">
        <v>0.03</v>
      </c>
      <c r="AP36" t="s">
        <v>62</v>
      </c>
      <c r="AQ36" t="s">
        <v>62</v>
      </c>
    </row>
    <row r="37" spans="1:43" x14ac:dyDescent="0.2">
      <c r="A37">
        <v>127373</v>
      </c>
      <c r="B37" t="s">
        <v>588</v>
      </c>
      <c r="C37">
        <v>7.1</v>
      </c>
      <c r="D37">
        <v>429</v>
      </c>
      <c r="E37" t="s">
        <v>44</v>
      </c>
      <c r="F37" s="1">
        <v>41396</v>
      </c>
      <c r="G37">
        <v>2711379</v>
      </c>
      <c r="H37">
        <v>99</v>
      </c>
      <c r="I37">
        <v>6000000</v>
      </c>
      <c r="J37" t="s">
        <v>589</v>
      </c>
      <c r="K37" t="s">
        <v>46</v>
      </c>
      <c r="L37" t="s">
        <v>588</v>
      </c>
      <c r="M37" t="s">
        <v>590</v>
      </c>
      <c r="N37">
        <v>2.1640000000000001</v>
      </c>
      <c r="O37" t="s">
        <v>591</v>
      </c>
      <c r="P37" t="s">
        <v>273</v>
      </c>
      <c r="Q37" t="s">
        <v>592</v>
      </c>
      <c r="R37" t="s">
        <v>69</v>
      </c>
      <c r="S37" t="s">
        <v>52</v>
      </c>
      <c r="T37" t="s">
        <v>593</v>
      </c>
      <c r="U37" t="s">
        <v>594</v>
      </c>
      <c r="V37" t="s">
        <v>595</v>
      </c>
      <c r="W37" t="s">
        <v>596</v>
      </c>
      <c r="X37" t="s">
        <v>597</v>
      </c>
      <c r="Y37" t="s">
        <v>598</v>
      </c>
      <c r="Z37">
        <v>7.4</v>
      </c>
      <c r="AA37">
        <v>29181</v>
      </c>
      <c r="AB37" t="s">
        <v>599</v>
      </c>
      <c r="AC37">
        <v>5</v>
      </c>
      <c r="AD37">
        <v>2013</v>
      </c>
      <c r="AE37">
        <v>18</v>
      </c>
      <c r="AF37" t="s">
        <v>600</v>
      </c>
      <c r="AG37">
        <v>14</v>
      </c>
      <c r="AH37">
        <v>14.812968288337</v>
      </c>
      <c r="AI37">
        <v>0.987531219222469</v>
      </c>
      <c r="AJ37" t="s">
        <v>60</v>
      </c>
      <c r="AK37" t="s">
        <v>601</v>
      </c>
      <c r="AL37">
        <v>21</v>
      </c>
      <c r="AM37">
        <v>0</v>
      </c>
      <c r="AN37">
        <v>32</v>
      </c>
      <c r="AO37">
        <v>0</v>
      </c>
      <c r="AP37" t="s">
        <v>62</v>
      </c>
      <c r="AQ37" t="s">
        <v>62</v>
      </c>
    </row>
    <row r="38" spans="1:43" x14ac:dyDescent="0.2">
      <c r="A38">
        <v>220520</v>
      </c>
      <c r="B38" t="s">
        <v>602</v>
      </c>
      <c r="C38">
        <v>4.3</v>
      </c>
      <c r="D38">
        <v>3</v>
      </c>
      <c r="E38" t="s">
        <v>44</v>
      </c>
      <c r="F38" s="1">
        <v>41396</v>
      </c>
      <c r="G38">
        <v>382454</v>
      </c>
      <c r="H38">
        <v>137</v>
      </c>
      <c r="I38">
        <v>858572</v>
      </c>
      <c r="J38" t="s">
        <v>603</v>
      </c>
      <c r="K38" t="s">
        <v>604</v>
      </c>
      <c r="L38" t="s">
        <v>605</v>
      </c>
      <c r="M38" t="s">
        <v>606</v>
      </c>
      <c r="N38">
        <v>1.669</v>
      </c>
      <c r="O38" t="s">
        <v>607</v>
      </c>
      <c r="P38" t="s">
        <v>608</v>
      </c>
      <c r="Q38" t="s">
        <v>609</v>
      </c>
      <c r="R38" t="s">
        <v>292</v>
      </c>
      <c r="S38" t="s">
        <v>610</v>
      </c>
      <c r="T38" t="s">
        <v>611</v>
      </c>
      <c r="U38" t="s">
        <v>612</v>
      </c>
      <c r="V38" t="s">
        <v>613</v>
      </c>
      <c r="W38" t="s">
        <v>614</v>
      </c>
      <c r="X38" t="s">
        <v>615</v>
      </c>
      <c r="Y38" t="s">
        <v>616</v>
      </c>
      <c r="Z38">
        <v>4.9000000000000004</v>
      </c>
      <c r="AA38">
        <v>223</v>
      </c>
      <c r="AB38" t="s">
        <v>617</v>
      </c>
      <c r="AC38">
        <v>5</v>
      </c>
      <c r="AD38">
        <v>2013</v>
      </c>
      <c r="AE38">
        <v>18</v>
      </c>
      <c r="AF38" t="s">
        <v>618</v>
      </c>
      <c r="AG38">
        <v>14</v>
      </c>
      <c r="AH38">
        <v>12.8543662782689</v>
      </c>
      <c r="AI38">
        <v>0.856957751884596</v>
      </c>
      <c r="AJ38" t="s">
        <v>60</v>
      </c>
      <c r="AK38" t="s">
        <v>619</v>
      </c>
      <c r="AL38">
        <v>1</v>
      </c>
      <c r="AM38">
        <v>0</v>
      </c>
      <c r="AN38">
        <v>1</v>
      </c>
      <c r="AO38">
        <v>0</v>
      </c>
      <c r="AP38" t="s">
        <v>62</v>
      </c>
      <c r="AQ38" t="s">
        <v>62</v>
      </c>
    </row>
    <row r="39" spans="1:43" x14ac:dyDescent="0.2">
      <c r="A39">
        <v>54138</v>
      </c>
      <c r="B39" t="s">
        <v>620</v>
      </c>
      <c r="C39">
        <v>7.32</v>
      </c>
      <c r="D39">
        <v>9382</v>
      </c>
      <c r="E39" t="s">
        <v>44</v>
      </c>
      <c r="F39" s="1">
        <v>41399</v>
      </c>
      <c r="G39">
        <v>467381584</v>
      </c>
      <c r="H39">
        <v>132</v>
      </c>
      <c r="I39">
        <v>190000000</v>
      </c>
      <c r="J39" t="s">
        <v>621</v>
      </c>
      <c r="K39" t="s">
        <v>46</v>
      </c>
      <c r="L39" t="s">
        <v>620</v>
      </c>
      <c r="M39" t="s">
        <v>622</v>
      </c>
      <c r="N39">
        <v>3.8656999999999999</v>
      </c>
      <c r="O39" t="s">
        <v>623</v>
      </c>
      <c r="P39" t="s">
        <v>205</v>
      </c>
      <c r="Q39" t="s">
        <v>624</v>
      </c>
      <c r="R39" t="s">
        <v>69</v>
      </c>
      <c r="S39" t="s">
        <v>52</v>
      </c>
      <c r="T39" t="s">
        <v>625</v>
      </c>
      <c r="U39" t="s">
        <v>626</v>
      </c>
      <c r="V39" t="s">
        <v>627</v>
      </c>
      <c r="W39" t="s">
        <v>628</v>
      </c>
      <c r="X39" t="s">
        <v>629</v>
      </c>
      <c r="Y39" t="s">
        <v>630</v>
      </c>
      <c r="Z39">
        <v>7.7</v>
      </c>
      <c r="AA39">
        <v>506998</v>
      </c>
      <c r="AB39" t="s">
        <v>631</v>
      </c>
      <c r="AC39">
        <v>5</v>
      </c>
      <c r="AD39">
        <v>2013</v>
      </c>
      <c r="AE39">
        <v>18</v>
      </c>
      <c r="AF39" t="s">
        <v>632</v>
      </c>
      <c r="AG39">
        <v>17</v>
      </c>
      <c r="AH39">
        <v>19.962656580490901</v>
      </c>
      <c r="AI39">
        <v>1.10903647669394</v>
      </c>
      <c r="AJ39" t="s">
        <v>60</v>
      </c>
      <c r="AK39" t="s">
        <v>633</v>
      </c>
      <c r="AL39">
        <v>71</v>
      </c>
      <c r="AM39">
        <v>0</v>
      </c>
      <c r="AN39">
        <v>86</v>
      </c>
      <c r="AO39">
        <v>0</v>
      </c>
      <c r="AP39" t="s">
        <v>62</v>
      </c>
      <c r="AQ39" t="s">
        <v>62</v>
      </c>
    </row>
    <row r="40" spans="1:43" x14ac:dyDescent="0.2">
      <c r="A40">
        <v>136418</v>
      </c>
      <c r="B40" t="s">
        <v>634</v>
      </c>
      <c r="C40">
        <v>6.1820000000000004</v>
      </c>
      <c r="D40">
        <v>1791</v>
      </c>
      <c r="E40" t="s">
        <v>44</v>
      </c>
      <c r="F40" s="1">
        <v>41401</v>
      </c>
      <c r="G40">
        <v>8352885</v>
      </c>
      <c r="H40">
        <v>100</v>
      </c>
      <c r="I40">
        <v>20000000</v>
      </c>
      <c r="J40" t="s">
        <v>635</v>
      </c>
      <c r="K40" t="s">
        <v>46</v>
      </c>
      <c r="L40" t="s">
        <v>634</v>
      </c>
      <c r="M40" t="s">
        <v>636</v>
      </c>
      <c r="N40">
        <v>5.4501999999999997</v>
      </c>
      <c r="O40" t="s">
        <v>637</v>
      </c>
      <c r="P40" t="s">
        <v>174</v>
      </c>
      <c r="Q40" t="s">
        <v>638</v>
      </c>
      <c r="R40" t="s">
        <v>85</v>
      </c>
      <c r="S40" t="s">
        <v>52</v>
      </c>
      <c r="T40" t="s">
        <v>639</v>
      </c>
      <c r="U40" t="s">
        <v>640</v>
      </c>
      <c r="V40" t="s">
        <v>641</v>
      </c>
      <c r="W40" t="s">
        <v>640</v>
      </c>
      <c r="X40" t="s">
        <v>642</v>
      </c>
      <c r="Y40" t="s">
        <v>643</v>
      </c>
      <c r="Z40">
        <v>6.2</v>
      </c>
      <c r="AA40">
        <v>80938</v>
      </c>
      <c r="AB40" t="s">
        <v>644</v>
      </c>
      <c r="AC40">
        <v>5</v>
      </c>
      <c r="AD40">
        <v>2013</v>
      </c>
      <c r="AE40">
        <v>19</v>
      </c>
      <c r="AF40" t="s">
        <v>645</v>
      </c>
      <c r="AG40">
        <v>19</v>
      </c>
      <c r="AH40">
        <v>15.938117665853699</v>
      </c>
      <c r="AI40">
        <v>0.79690588329268497</v>
      </c>
      <c r="AJ40" t="s">
        <v>60</v>
      </c>
      <c r="AK40" t="s">
        <v>646</v>
      </c>
      <c r="AL40">
        <v>27</v>
      </c>
      <c r="AM40">
        <v>1</v>
      </c>
      <c r="AN40">
        <v>44</v>
      </c>
      <c r="AO40">
        <v>0.02</v>
      </c>
      <c r="AP40" t="s">
        <v>62</v>
      </c>
      <c r="AQ40" t="s">
        <v>62</v>
      </c>
    </row>
    <row r="41" spans="1:43" x14ac:dyDescent="0.2">
      <c r="A41">
        <v>64682</v>
      </c>
      <c r="B41" t="s">
        <v>647</v>
      </c>
      <c r="C41">
        <v>7.3609999999999998</v>
      </c>
      <c r="D41">
        <v>12637</v>
      </c>
      <c r="E41" t="s">
        <v>44</v>
      </c>
      <c r="F41" s="1">
        <v>41403</v>
      </c>
      <c r="G41">
        <v>351040419</v>
      </c>
      <c r="H41">
        <v>143</v>
      </c>
      <c r="I41">
        <v>105000000</v>
      </c>
      <c r="J41" t="s">
        <v>648</v>
      </c>
      <c r="K41" t="s">
        <v>46</v>
      </c>
      <c r="L41" t="s">
        <v>647</v>
      </c>
      <c r="M41" t="s">
        <v>649</v>
      </c>
      <c r="N41">
        <v>6.2225000000000001</v>
      </c>
      <c r="O41" t="s">
        <v>650</v>
      </c>
      <c r="P41" t="s">
        <v>545</v>
      </c>
      <c r="Q41" t="s">
        <v>651</v>
      </c>
      <c r="R41" t="s">
        <v>652</v>
      </c>
      <c r="S41" t="s">
        <v>52</v>
      </c>
      <c r="T41" t="s">
        <v>653</v>
      </c>
      <c r="U41" t="s">
        <v>654</v>
      </c>
      <c r="V41" t="s">
        <v>655</v>
      </c>
      <c r="W41" t="s">
        <v>656</v>
      </c>
      <c r="X41" t="s">
        <v>657</v>
      </c>
      <c r="Y41" t="s">
        <v>658</v>
      </c>
      <c r="Z41">
        <v>7.2</v>
      </c>
      <c r="AA41">
        <v>631737</v>
      </c>
      <c r="AB41" t="s">
        <v>659</v>
      </c>
      <c r="AC41">
        <v>5</v>
      </c>
      <c r="AD41">
        <v>2013</v>
      </c>
      <c r="AE41">
        <v>19</v>
      </c>
      <c r="AF41" t="s">
        <v>660</v>
      </c>
      <c r="AG41">
        <v>21</v>
      </c>
      <c r="AH41">
        <v>19.676411931495199</v>
      </c>
      <c r="AI41">
        <v>0.89438236052251197</v>
      </c>
      <c r="AJ41" t="s">
        <v>60</v>
      </c>
      <c r="AK41" t="s">
        <v>661</v>
      </c>
      <c r="AL41">
        <v>73</v>
      </c>
      <c r="AM41">
        <v>0</v>
      </c>
      <c r="AN41">
        <v>83</v>
      </c>
      <c r="AO41">
        <v>0</v>
      </c>
      <c r="AP41" t="s">
        <v>62</v>
      </c>
      <c r="AQ41" t="s">
        <v>62</v>
      </c>
    </row>
    <row r="42" spans="1:43" x14ac:dyDescent="0.2">
      <c r="A42">
        <v>191562</v>
      </c>
      <c r="B42" t="s">
        <v>662</v>
      </c>
      <c r="C42">
        <v>5.8109999999999999</v>
      </c>
      <c r="D42">
        <v>111</v>
      </c>
      <c r="E42" t="s">
        <v>44</v>
      </c>
      <c r="F42" s="1">
        <v>41404</v>
      </c>
      <c r="G42">
        <v>5400000</v>
      </c>
      <c r="H42">
        <v>111</v>
      </c>
      <c r="I42">
        <v>2700000</v>
      </c>
      <c r="J42" t="s">
        <v>663</v>
      </c>
      <c r="K42" t="s">
        <v>286</v>
      </c>
      <c r="L42" t="s">
        <v>664</v>
      </c>
      <c r="M42" t="s">
        <v>665</v>
      </c>
      <c r="N42">
        <v>1.944</v>
      </c>
      <c r="O42" t="s">
        <v>666</v>
      </c>
      <c r="P42" t="s">
        <v>667</v>
      </c>
      <c r="Q42" t="s">
        <v>668</v>
      </c>
      <c r="R42" t="s">
        <v>292</v>
      </c>
      <c r="S42" t="s">
        <v>293</v>
      </c>
      <c r="T42" t="s">
        <v>669</v>
      </c>
      <c r="U42" t="s">
        <v>670</v>
      </c>
      <c r="V42" t="s">
        <v>671</v>
      </c>
      <c r="W42" t="s">
        <v>670</v>
      </c>
      <c r="X42" t="s">
        <v>672</v>
      </c>
      <c r="Y42" t="s">
        <v>673</v>
      </c>
      <c r="Z42">
        <v>6.7</v>
      </c>
      <c r="AA42">
        <v>16674</v>
      </c>
      <c r="AB42" t="s">
        <v>674</v>
      </c>
      <c r="AC42">
        <v>5</v>
      </c>
      <c r="AD42">
        <v>2013</v>
      </c>
      <c r="AE42">
        <v>19</v>
      </c>
      <c r="AF42" t="s">
        <v>675</v>
      </c>
      <c r="AG42">
        <v>22</v>
      </c>
      <c r="AH42">
        <v>15.501909696719601</v>
      </c>
      <c r="AI42">
        <v>0.67399607377042003</v>
      </c>
      <c r="AJ42" t="s">
        <v>60</v>
      </c>
      <c r="AK42" t="s">
        <v>676</v>
      </c>
      <c r="AL42">
        <v>4</v>
      </c>
      <c r="AM42">
        <v>0</v>
      </c>
      <c r="AN42">
        <v>11</v>
      </c>
      <c r="AO42">
        <v>0</v>
      </c>
      <c r="AP42" t="s">
        <v>62</v>
      </c>
      <c r="AQ42" t="s">
        <v>62</v>
      </c>
    </row>
    <row r="43" spans="1:43" x14ac:dyDescent="0.2">
      <c r="A43">
        <v>188761</v>
      </c>
      <c r="B43" t="s">
        <v>677</v>
      </c>
      <c r="C43">
        <v>6.5</v>
      </c>
      <c r="D43">
        <v>162</v>
      </c>
      <c r="E43" t="s">
        <v>44</v>
      </c>
      <c r="F43" s="1">
        <v>41413</v>
      </c>
      <c r="G43">
        <v>3635718</v>
      </c>
      <c r="H43">
        <v>90</v>
      </c>
      <c r="I43">
        <v>2000000</v>
      </c>
      <c r="J43" t="s">
        <v>678</v>
      </c>
      <c r="K43" t="s">
        <v>679</v>
      </c>
      <c r="L43" t="s">
        <v>680</v>
      </c>
      <c r="M43" t="s">
        <v>681</v>
      </c>
      <c r="N43">
        <v>1.8487</v>
      </c>
      <c r="O43" t="s">
        <v>682</v>
      </c>
      <c r="P43" t="s">
        <v>683</v>
      </c>
      <c r="Q43" t="s">
        <v>684</v>
      </c>
      <c r="R43" t="s">
        <v>685</v>
      </c>
      <c r="S43" t="s">
        <v>686</v>
      </c>
      <c r="T43" t="s">
        <v>687</v>
      </c>
      <c r="U43" t="s">
        <v>688</v>
      </c>
      <c r="V43" t="s">
        <v>689</v>
      </c>
      <c r="W43" t="s">
        <v>688</v>
      </c>
      <c r="X43" t="s">
        <v>690</v>
      </c>
      <c r="Y43" t="s">
        <v>691</v>
      </c>
      <c r="Z43">
        <v>6.7</v>
      </c>
      <c r="AA43">
        <v>8053</v>
      </c>
      <c r="AB43" t="s">
        <v>692</v>
      </c>
      <c r="AC43">
        <v>5</v>
      </c>
      <c r="AD43">
        <v>2013</v>
      </c>
      <c r="AE43">
        <v>20</v>
      </c>
      <c r="AF43" t="s">
        <v>693</v>
      </c>
      <c r="AG43">
        <v>31</v>
      </c>
      <c r="AH43">
        <v>15.106317448564701</v>
      </c>
      <c r="AI43">
        <v>0.47207242026764901</v>
      </c>
      <c r="AJ43" t="s">
        <v>60</v>
      </c>
      <c r="AK43" t="s">
        <v>694</v>
      </c>
      <c r="AL43">
        <v>26</v>
      </c>
      <c r="AM43">
        <v>0</v>
      </c>
      <c r="AN43">
        <v>61</v>
      </c>
      <c r="AO43">
        <v>0</v>
      </c>
      <c r="AP43" t="s">
        <v>62</v>
      </c>
      <c r="AQ43" t="s">
        <v>62</v>
      </c>
    </row>
    <row r="44" spans="1:43" x14ac:dyDescent="0.2">
      <c r="A44">
        <v>82992</v>
      </c>
      <c r="B44" t="s">
        <v>695</v>
      </c>
      <c r="C44">
        <v>6.8179999999999996</v>
      </c>
      <c r="D44">
        <v>10910</v>
      </c>
      <c r="E44" t="s">
        <v>44</v>
      </c>
      <c r="F44" s="1">
        <v>41415</v>
      </c>
      <c r="G44">
        <v>788700000</v>
      </c>
      <c r="H44">
        <v>130</v>
      </c>
      <c r="I44">
        <v>160000000</v>
      </c>
      <c r="J44" t="s">
        <v>696</v>
      </c>
      <c r="K44" t="s">
        <v>46</v>
      </c>
      <c r="L44" t="s">
        <v>695</v>
      </c>
      <c r="M44" t="s">
        <v>697</v>
      </c>
      <c r="N44">
        <v>1.0978000000000001</v>
      </c>
      <c r="O44" t="s">
        <v>698</v>
      </c>
      <c r="P44" t="s">
        <v>699</v>
      </c>
      <c r="Q44" t="s">
        <v>700</v>
      </c>
      <c r="R44" t="s">
        <v>69</v>
      </c>
      <c r="S44" t="s">
        <v>701</v>
      </c>
      <c r="T44" t="s">
        <v>702</v>
      </c>
      <c r="U44" t="s">
        <v>703</v>
      </c>
      <c r="V44" t="s">
        <v>243</v>
      </c>
      <c r="W44" t="s">
        <v>704</v>
      </c>
      <c r="X44" t="s">
        <v>705</v>
      </c>
      <c r="Y44" t="s">
        <v>706</v>
      </c>
      <c r="Z44">
        <v>7</v>
      </c>
      <c r="AA44">
        <v>434439</v>
      </c>
      <c r="AB44" t="s">
        <v>707</v>
      </c>
      <c r="AC44">
        <v>5</v>
      </c>
      <c r="AD44">
        <v>2013</v>
      </c>
      <c r="AE44">
        <v>21</v>
      </c>
      <c r="AF44" t="s">
        <v>708</v>
      </c>
      <c r="AG44">
        <v>33</v>
      </c>
      <c r="AH44">
        <v>20.485896579636101</v>
      </c>
      <c r="AI44">
        <v>0.60252636998929798</v>
      </c>
      <c r="AJ44" t="s">
        <v>60</v>
      </c>
      <c r="AK44" t="s">
        <v>709</v>
      </c>
      <c r="AL44">
        <v>67</v>
      </c>
      <c r="AM44">
        <v>1</v>
      </c>
      <c r="AN44">
        <v>76</v>
      </c>
      <c r="AO44">
        <v>0.01</v>
      </c>
      <c r="AP44" t="s">
        <v>62</v>
      </c>
      <c r="AQ44" t="s">
        <v>62</v>
      </c>
    </row>
    <row r="45" spans="1:43" x14ac:dyDescent="0.2">
      <c r="A45">
        <v>109439</v>
      </c>
      <c r="B45" t="s">
        <v>710</v>
      </c>
      <c r="C45">
        <v>6.2</v>
      </c>
      <c r="D45">
        <v>8965</v>
      </c>
      <c r="E45" t="s">
        <v>44</v>
      </c>
      <c r="F45" s="1">
        <v>41417</v>
      </c>
      <c r="G45">
        <v>362000072</v>
      </c>
      <c r="H45">
        <v>100</v>
      </c>
      <c r="I45">
        <v>103000000</v>
      </c>
      <c r="J45" t="s">
        <v>711</v>
      </c>
      <c r="K45" t="s">
        <v>46</v>
      </c>
      <c r="L45" t="s">
        <v>710</v>
      </c>
      <c r="M45" t="s">
        <v>712</v>
      </c>
      <c r="N45">
        <v>5.6451000000000002</v>
      </c>
      <c r="O45" t="s">
        <v>713</v>
      </c>
      <c r="P45" t="s">
        <v>99</v>
      </c>
      <c r="Q45" t="s">
        <v>714</v>
      </c>
      <c r="R45" t="s">
        <v>69</v>
      </c>
      <c r="S45" t="s">
        <v>52</v>
      </c>
      <c r="T45" t="s">
        <v>715</v>
      </c>
      <c r="U45" t="s">
        <v>716</v>
      </c>
      <c r="V45" t="s">
        <v>717</v>
      </c>
      <c r="W45" t="s">
        <v>718</v>
      </c>
      <c r="X45" t="s">
        <v>719</v>
      </c>
      <c r="Y45" t="s">
        <v>720</v>
      </c>
      <c r="Z45">
        <v>5.9</v>
      </c>
      <c r="AA45">
        <v>355474</v>
      </c>
      <c r="AB45" t="s">
        <v>721</v>
      </c>
      <c r="AC45">
        <v>5</v>
      </c>
      <c r="AD45">
        <v>2013</v>
      </c>
      <c r="AE45">
        <v>21</v>
      </c>
      <c r="AF45" t="s">
        <v>722</v>
      </c>
      <c r="AG45">
        <v>35</v>
      </c>
      <c r="AH45">
        <v>19.707154971447402</v>
      </c>
      <c r="AI45">
        <v>0.54742097142909596</v>
      </c>
      <c r="AJ45" t="s">
        <v>60</v>
      </c>
      <c r="AK45" t="s">
        <v>723</v>
      </c>
      <c r="AL45">
        <v>69</v>
      </c>
      <c r="AM45">
        <v>1</v>
      </c>
      <c r="AN45">
        <v>76</v>
      </c>
      <c r="AO45">
        <v>0.01</v>
      </c>
      <c r="AP45" t="s">
        <v>62</v>
      </c>
      <c r="AQ45" t="s">
        <v>62</v>
      </c>
    </row>
    <row r="46" spans="1:43" x14ac:dyDescent="0.2">
      <c r="A46">
        <v>75656</v>
      </c>
      <c r="B46" t="s">
        <v>724</v>
      </c>
      <c r="C46">
        <v>7.3319999999999999</v>
      </c>
      <c r="D46">
        <v>16126</v>
      </c>
      <c r="E46" t="s">
        <v>44</v>
      </c>
      <c r="F46" s="1">
        <v>41423</v>
      </c>
      <c r="G46">
        <v>351723989</v>
      </c>
      <c r="H46">
        <v>116</v>
      </c>
      <c r="I46">
        <v>75000000</v>
      </c>
      <c r="J46" t="s">
        <v>725</v>
      </c>
      <c r="K46" t="s">
        <v>46</v>
      </c>
      <c r="L46" t="s">
        <v>724</v>
      </c>
      <c r="M46" t="s">
        <v>726</v>
      </c>
      <c r="N46">
        <v>14.5824</v>
      </c>
      <c r="O46" t="s">
        <v>727</v>
      </c>
      <c r="P46" t="s">
        <v>728</v>
      </c>
      <c r="Q46" t="s">
        <v>729</v>
      </c>
      <c r="R46" t="s">
        <v>730</v>
      </c>
      <c r="S46" t="s">
        <v>731</v>
      </c>
      <c r="T46" t="s">
        <v>732</v>
      </c>
      <c r="U46" t="s">
        <v>733</v>
      </c>
      <c r="V46" t="s">
        <v>734</v>
      </c>
      <c r="W46" t="s">
        <v>735</v>
      </c>
      <c r="X46" t="s">
        <v>736</v>
      </c>
      <c r="Y46" t="s">
        <v>737</v>
      </c>
      <c r="Z46">
        <v>7.2</v>
      </c>
      <c r="AA46">
        <v>752837</v>
      </c>
      <c r="AB46" t="s">
        <v>738</v>
      </c>
      <c r="AC46">
        <v>5</v>
      </c>
      <c r="AD46">
        <v>2013</v>
      </c>
      <c r="AE46">
        <v>22</v>
      </c>
      <c r="AF46" t="s">
        <v>739</v>
      </c>
      <c r="AG46">
        <v>41</v>
      </c>
      <c r="AH46">
        <v>19.678357306661798</v>
      </c>
      <c r="AI46">
        <v>0.46853231682528101</v>
      </c>
      <c r="AJ46" t="s">
        <v>60</v>
      </c>
      <c r="AK46" t="s">
        <v>740</v>
      </c>
      <c r="AL46">
        <v>70</v>
      </c>
      <c r="AM46">
        <v>0</v>
      </c>
      <c r="AN46">
        <v>79</v>
      </c>
      <c r="AO46">
        <v>0</v>
      </c>
      <c r="AP46" t="s">
        <v>62</v>
      </c>
      <c r="AQ46" t="s">
        <v>62</v>
      </c>
    </row>
    <row r="47" spans="1:43" x14ac:dyDescent="0.2">
      <c r="A47">
        <v>77987</v>
      </c>
      <c r="B47" t="s">
        <v>741</v>
      </c>
      <c r="C47">
        <v>5.8319999999999999</v>
      </c>
      <c r="D47">
        <v>2507</v>
      </c>
      <c r="E47" t="s">
        <v>44</v>
      </c>
      <c r="F47" s="1">
        <v>41424</v>
      </c>
      <c r="G47">
        <v>10300000</v>
      </c>
      <c r="H47">
        <v>90</v>
      </c>
      <c r="I47">
        <v>4800000</v>
      </c>
      <c r="J47" t="s">
        <v>742</v>
      </c>
      <c r="K47" t="s">
        <v>46</v>
      </c>
      <c r="L47" t="s">
        <v>741</v>
      </c>
      <c r="M47" t="s">
        <v>743</v>
      </c>
      <c r="N47">
        <v>1.8949</v>
      </c>
      <c r="O47" t="s">
        <v>744</v>
      </c>
      <c r="P47" t="s">
        <v>745</v>
      </c>
      <c r="Q47" t="s">
        <v>746</v>
      </c>
      <c r="R47" t="s">
        <v>747</v>
      </c>
      <c r="S47" t="s">
        <v>748</v>
      </c>
      <c r="T47" t="s">
        <v>749</v>
      </c>
      <c r="U47" t="s">
        <v>750</v>
      </c>
      <c r="V47" t="s">
        <v>751</v>
      </c>
      <c r="W47" t="s">
        <v>750</v>
      </c>
      <c r="X47" t="s">
        <v>752</v>
      </c>
      <c r="Y47" t="s">
        <v>753</v>
      </c>
      <c r="Z47">
        <v>5.7</v>
      </c>
      <c r="AA47">
        <v>121819</v>
      </c>
      <c r="AB47" t="s">
        <v>754</v>
      </c>
      <c r="AC47">
        <v>5</v>
      </c>
      <c r="AD47">
        <v>2013</v>
      </c>
      <c r="AE47">
        <v>22</v>
      </c>
      <c r="AF47" t="s">
        <v>755</v>
      </c>
      <c r="AG47">
        <v>42</v>
      </c>
      <c r="AH47">
        <v>16.1476545502872</v>
      </c>
      <c r="AI47">
        <v>0.37552685000667901</v>
      </c>
      <c r="AJ47" t="s">
        <v>60</v>
      </c>
      <c r="AK47" t="s">
        <v>756</v>
      </c>
      <c r="AL47">
        <v>29</v>
      </c>
      <c r="AM47">
        <v>0</v>
      </c>
      <c r="AN47">
        <v>45</v>
      </c>
      <c r="AO47">
        <v>0</v>
      </c>
      <c r="AP47" t="s">
        <v>62</v>
      </c>
      <c r="AQ47" t="s">
        <v>62</v>
      </c>
    </row>
    <row r="48" spans="1:43" x14ac:dyDescent="0.2">
      <c r="A48">
        <v>82700</v>
      </c>
      <c r="B48" t="s">
        <v>757</v>
      </c>
      <c r="C48">
        <v>5.2</v>
      </c>
      <c r="D48">
        <v>6712</v>
      </c>
      <c r="E48" t="s">
        <v>44</v>
      </c>
      <c r="F48" s="1">
        <v>41424</v>
      </c>
      <c r="G48">
        <v>243843127</v>
      </c>
      <c r="H48">
        <v>100</v>
      </c>
      <c r="I48">
        <v>130000000</v>
      </c>
      <c r="J48" t="s">
        <v>758</v>
      </c>
      <c r="K48" t="s">
        <v>46</v>
      </c>
      <c r="L48" t="s">
        <v>757</v>
      </c>
      <c r="M48" t="s">
        <v>759</v>
      </c>
      <c r="N48">
        <v>5.4920999999999998</v>
      </c>
      <c r="O48" t="s">
        <v>760</v>
      </c>
      <c r="P48" t="s">
        <v>761</v>
      </c>
      <c r="Q48" t="s">
        <v>762</v>
      </c>
      <c r="R48" t="s">
        <v>69</v>
      </c>
      <c r="S48" t="s">
        <v>52</v>
      </c>
      <c r="T48" t="s">
        <v>763</v>
      </c>
      <c r="U48" t="s">
        <v>764</v>
      </c>
      <c r="V48" t="s">
        <v>765</v>
      </c>
      <c r="W48" t="s">
        <v>766</v>
      </c>
      <c r="X48" t="s">
        <v>767</v>
      </c>
      <c r="Y48" t="s">
        <v>768</v>
      </c>
      <c r="Z48">
        <v>4.8</v>
      </c>
      <c r="AA48">
        <v>215110</v>
      </c>
      <c r="AB48" t="s">
        <v>769</v>
      </c>
      <c r="AC48">
        <v>5</v>
      </c>
      <c r="AD48">
        <v>2013</v>
      </c>
      <c r="AE48">
        <v>22</v>
      </c>
      <c r="AF48" t="s">
        <v>770</v>
      </c>
      <c r="AG48">
        <v>42</v>
      </c>
      <c r="AH48">
        <v>19.3120356584642</v>
      </c>
      <c r="AI48">
        <v>0.44911710833637802</v>
      </c>
      <c r="AJ48" t="s">
        <v>60</v>
      </c>
      <c r="AK48" t="s">
        <v>771</v>
      </c>
      <c r="AL48">
        <v>73</v>
      </c>
      <c r="AM48">
        <v>0</v>
      </c>
      <c r="AN48">
        <v>81</v>
      </c>
      <c r="AO48">
        <v>0</v>
      </c>
      <c r="AP48" t="s">
        <v>62</v>
      </c>
      <c r="AQ48" t="s">
        <v>62</v>
      </c>
    </row>
    <row r="49" spans="1:43" x14ac:dyDescent="0.2">
      <c r="A49">
        <v>87499</v>
      </c>
      <c r="B49" t="s">
        <v>772</v>
      </c>
      <c r="C49">
        <v>6.5</v>
      </c>
      <c r="D49">
        <v>807</v>
      </c>
      <c r="E49" t="s">
        <v>44</v>
      </c>
      <c r="F49" s="1">
        <v>41425</v>
      </c>
      <c r="G49">
        <v>2401510</v>
      </c>
      <c r="H49">
        <v>116</v>
      </c>
      <c r="I49">
        <v>6500000</v>
      </c>
      <c r="J49" t="s">
        <v>773</v>
      </c>
      <c r="K49" t="s">
        <v>46</v>
      </c>
      <c r="L49" t="s">
        <v>772</v>
      </c>
      <c r="M49" t="s">
        <v>774</v>
      </c>
      <c r="N49">
        <v>3.4923999999999999</v>
      </c>
      <c r="O49" t="s">
        <v>775</v>
      </c>
      <c r="P49" t="s">
        <v>395</v>
      </c>
      <c r="Q49" t="s">
        <v>776</v>
      </c>
      <c r="R49" t="s">
        <v>85</v>
      </c>
      <c r="S49" t="s">
        <v>52</v>
      </c>
      <c r="T49" t="s">
        <v>777</v>
      </c>
      <c r="U49" t="s">
        <v>778</v>
      </c>
      <c r="V49" t="s">
        <v>779</v>
      </c>
      <c r="W49" t="s">
        <v>780</v>
      </c>
      <c r="X49" t="s">
        <v>781</v>
      </c>
      <c r="Y49" t="s">
        <v>782</v>
      </c>
      <c r="Z49">
        <v>6.8</v>
      </c>
      <c r="AA49">
        <v>53651</v>
      </c>
      <c r="AB49" t="s">
        <v>783</v>
      </c>
      <c r="AC49">
        <v>5</v>
      </c>
      <c r="AD49">
        <v>2013</v>
      </c>
      <c r="AE49">
        <v>22</v>
      </c>
      <c r="AF49" t="s">
        <v>784</v>
      </c>
      <c r="AG49">
        <v>43</v>
      </c>
      <c r="AH49">
        <v>14.691608680547001</v>
      </c>
      <c r="AI49">
        <v>0.33390019728516002</v>
      </c>
      <c r="AJ49" t="s">
        <v>60</v>
      </c>
      <c r="AK49" t="s">
        <v>785</v>
      </c>
      <c r="AL49">
        <v>9</v>
      </c>
      <c r="AM49">
        <v>0</v>
      </c>
      <c r="AN49">
        <v>32</v>
      </c>
      <c r="AO49">
        <v>0</v>
      </c>
      <c r="AP49" t="s">
        <v>62</v>
      </c>
      <c r="AQ49" t="s">
        <v>62</v>
      </c>
    </row>
    <row r="50" spans="1:43" x14ac:dyDescent="0.2">
      <c r="A50">
        <v>158015</v>
      </c>
      <c r="B50" t="s">
        <v>786</v>
      </c>
      <c r="C50">
        <v>6.2519999999999998</v>
      </c>
      <c r="D50">
        <v>8635</v>
      </c>
      <c r="E50" t="s">
        <v>44</v>
      </c>
      <c r="F50" s="1">
        <v>41425</v>
      </c>
      <c r="G50">
        <v>91266581</v>
      </c>
      <c r="H50">
        <v>85</v>
      </c>
      <c r="I50">
        <v>3000000</v>
      </c>
      <c r="J50" t="s">
        <v>787</v>
      </c>
      <c r="K50" t="s">
        <v>46</v>
      </c>
      <c r="L50" t="s">
        <v>786</v>
      </c>
      <c r="M50" t="s">
        <v>788</v>
      </c>
      <c r="N50">
        <v>14.152799999999999</v>
      </c>
      <c r="O50" t="s">
        <v>789</v>
      </c>
      <c r="P50" t="s">
        <v>790</v>
      </c>
      <c r="Q50" t="s">
        <v>791</v>
      </c>
      <c r="R50" t="s">
        <v>792</v>
      </c>
      <c r="S50" t="s">
        <v>52</v>
      </c>
      <c r="T50" t="s">
        <v>793</v>
      </c>
      <c r="U50" t="s">
        <v>794</v>
      </c>
      <c r="V50" t="s">
        <v>795</v>
      </c>
      <c r="W50" t="s">
        <v>794</v>
      </c>
      <c r="X50" t="s">
        <v>796</v>
      </c>
      <c r="Y50" t="s">
        <v>797</v>
      </c>
      <c r="Z50">
        <v>5.8</v>
      </c>
      <c r="AA50">
        <v>256281</v>
      </c>
      <c r="AB50" t="s">
        <v>798</v>
      </c>
      <c r="AC50">
        <v>5</v>
      </c>
      <c r="AD50">
        <v>2013</v>
      </c>
      <c r="AE50">
        <v>22</v>
      </c>
      <c r="AF50" t="s">
        <v>799</v>
      </c>
      <c r="AG50">
        <v>43</v>
      </c>
      <c r="AH50">
        <v>18.329295254465599</v>
      </c>
      <c r="AI50">
        <v>0.41657489214694599</v>
      </c>
      <c r="AJ50" t="s">
        <v>60</v>
      </c>
      <c r="AK50" t="s">
        <v>800</v>
      </c>
      <c r="AL50">
        <v>58</v>
      </c>
      <c r="AM50">
        <v>4</v>
      </c>
      <c r="AN50">
        <v>66</v>
      </c>
      <c r="AO50">
        <v>0.06</v>
      </c>
      <c r="AP50" t="s">
        <v>62</v>
      </c>
      <c r="AQ50" t="s">
        <v>62</v>
      </c>
    </row>
    <row r="51" spans="1:43" x14ac:dyDescent="0.2">
      <c r="A51">
        <v>185008</v>
      </c>
      <c r="B51" t="s">
        <v>801</v>
      </c>
      <c r="C51">
        <v>7.3</v>
      </c>
      <c r="D51">
        <v>281</v>
      </c>
      <c r="E51" t="s">
        <v>44</v>
      </c>
      <c r="F51" s="1">
        <v>41425</v>
      </c>
      <c r="G51">
        <v>46000000</v>
      </c>
      <c r="H51">
        <v>160</v>
      </c>
      <c r="I51">
        <v>7700000</v>
      </c>
      <c r="J51" t="s">
        <v>802</v>
      </c>
      <c r="K51" t="s">
        <v>286</v>
      </c>
      <c r="L51" t="s">
        <v>803</v>
      </c>
      <c r="M51" t="s">
        <v>804</v>
      </c>
      <c r="N51">
        <v>6.6128</v>
      </c>
      <c r="O51" t="s">
        <v>805</v>
      </c>
      <c r="P51" t="s">
        <v>806</v>
      </c>
      <c r="Q51" t="s">
        <v>807</v>
      </c>
      <c r="R51" t="s">
        <v>292</v>
      </c>
      <c r="S51" t="s">
        <v>293</v>
      </c>
      <c r="T51" t="s">
        <v>808</v>
      </c>
      <c r="U51" t="s">
        <v>809</v>
      </c>
      <c r="V51" t="s">
        <v>810</v>
      </c>
      <c r="W51" t="s">
        <v>811</v>
      </c>
      <c r="X51" t="s">
        <v>812</v>
      </c>
      <c r="Y51" t="s">
        <v>813</v>
      </c>
      <c r="Z51">
        <v>7.3</v>
      </c>
      <c r="AA51">
        <v>56557</v>
      </c>
      <c r="AB51" t="s">
        <v>814</v>
      </c>
      <c r="AC51">
        <v>5</v>
      </c>
      <c r="AD51">
        <v>2013</v>
      </c>
      <c r="AE51">
        <v>22</v>
      </c>
      <c r="AF51" t="s">
        <v>815</v>
      </c>
      <c r="AG51">
        <v>43</v>
      </c>
      <c r="AH51">
        <v>17.6441519761925</v>
      </c>
      <c r="AI51">
        <v>0.40100345400437498</v>
      </c>
      <c r="AJ51" t="s">
        <v>60</v>
      </c>
      <c r="AK51" t="s">
        <v>816</v>
      </c>
      <c r="AL51">
        <v>7</v>
      </c>
      <c r="AM51">
        <v>5</v>
      </c>
      <c r="AN51">
        <v>18</v>
      </c>
      <c r="AO51">
        <v>0.28000000000000003</v>
      </c>
      <c r="AP51" t="s">
        <v>62</v>
      </c>
      <c r="AQ51" t="s">
        <v>62</v>
      </c>
    </row>
    <row r="52" spans="1:43" x14ac:dyDescent="0.2">
      <c r="A52" t="s">
        <v>817</v>
      </c>
      <c r="AI52">
        <f>SUBTOTAL(109,Table1[score])</f>
        <v>106.90693530935613</v>
      </c>
      <c r="AQ52">
        <f>SUBTOTAL(103,Table1[error])</f>
        <v>49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Iron_Man_3_attributes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ksarav</cp:lastModifiedBy>
  <dcterms:created xsi:type="dcterms:W3CDTF">2026-02-17T17:15:28Z</dcterms:created>
  <dcterms:modified xsi:type="dcterms:W3CDTF">2026-02-17T18:02:19Z</dcterms:modified>
</cp:coreProperties>
</file>