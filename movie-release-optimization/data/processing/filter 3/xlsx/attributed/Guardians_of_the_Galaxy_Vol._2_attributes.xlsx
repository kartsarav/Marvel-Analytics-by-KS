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3928146D-6D23-584A-9F2F-189255A1DC09}" xr6:coauthVersionLast="47" xr6:coauthVersionMax="47" xr10:uidLastSave="{00000000-0000-0000-0000-000000000000}"/>
  <bookViews>
    <workbookView xWindow="380" yWindow="80" windowWidth="28040" windowHeight="17180" xr2:uid="{C568D008-9728-4040-8DBA-8AD4A8ED70E2}"/>
  </bookViews>
  <sheets>
    <sheet name="Guardians_of_the_Galaxy_Vol._2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3" i="1" l="1"/>
  <c r="AQ43" i="1"/>
</calcChain>
</file>

<file path=xl/sharedStrings.xml><?xml version="1.0" encoding="utf-8"?>
<sst xmlns="http://schemas.openxmlformats.org/spreadsheetml/2006/main" count="983" uniqueCount="695">
  <si>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</si>
  <si>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</si>
  <si>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</si>
  <si>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</si>
  <si>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</si>
  <si>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</si>
  <si>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</si>
  <si>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</si>
  <si>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</si>
  <si>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</si>
  <si>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</si>
  <si>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</si>
  <si>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</si>
  <si>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</si>
  <si>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</si>
  <si>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</si>
  <si>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</si>
  <si>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</si>
  <si>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</si>
  <si>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</si>
  <si>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</si>
  <si>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</si>
  <si>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</si>
  <si>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</si>
  <si>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</si>
  <si>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</si>
  <si>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</si>
  <si>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</si>
  <si>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</si>
  <si>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</si>
  <si>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</si>
  <si>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</si>
  <si>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</si>
  <si>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</si>
  <si>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</si>
  <si>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</si>
  <si>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</si>
  <si>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</si>
  <si>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</si>
  <si>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</si>
  <si>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</si>
  <si>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</si>
  <si>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</si>
  <si>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Unforgettable</t>
  </si>
  <si>
    <t>Released</t>
  </si>
  <si>
    <t>tt3462710</t>
  </si>
  <si>
    <t>en</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</si>
  <si>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</si>
  <si>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</si>
  <si>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Drama, Thriller</t>
  </si>
  <si>
    <t>di novi pictures, ratpac entertainment</t>
  </si>
  <si>
    <t>United States of America</t>
  </si>
  <si>
    <t>English</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</si>
  <si>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</si>
  <si>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</si>
  <si>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Caleb Deschanel</t>
  </si>
  <si>
    <t>Christina Hodson</t>
  </si>
  <si>
    <t>Ravi D. Mehta, Lynn Harris, Steven Mnuchin, Alison Greenspan, Denise Di Novi</t>
  </si>
  <si>
    <t>Toby Chu</t>
  </si>
  <si>
    <t>/jKyjJu3N0bcF9TzcyGLb0Nn6Uqq.jpg</t>
  </si>
  <si>
    <t>unforgettable</t>
  </si>
  <si>
    <t>guardians of the galaxy vol. 2</t>
  </si>
  <si>
    <t>blank (27), dvd premiere (2), internet (4), tv premiere (2)</t>
  </si>
  <si>
    <t>no</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</si>
  <si>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</si>
  <si>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</si>
  <si>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</si>
  <si>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</si>
  <si>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Comedy, Drama</t>
  </si>
  <si>
    <t>new line cinema, rabbit bandini productions, point grey pictures, good universe, ratpac entertainment, ramona films</t>
  </si>
  <si>
    <t>Charlyne Yi, Lauren Ash, Re‚âà√ºit Barker Enho‚âà√º,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S‚àö¬∞nchez-Blanco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</si>
  <si>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</si>
  <si>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Brandon Trost</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</si>
  <si>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</si>
  <si>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</si>
  <si>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Dave Porter</t>
  </si>
  <si>
    <t>/2HuLGiyH0TPYxnCvYHAxc8K738o.jpg</t>
  </si>
  <si>
    <t>the disaster artist</t>
  </si>
  <si>
    <t>work-in-progress (1), south by southwest film festival (1), toronto international film festival (1), premiere (1), donostia-san sebasti√°n international film festival (1), rio de janeiro international film festival (1), american film festival (1), leiden international film festival (1), madrid premiere (1), thessaloniki international film festival (1), taipei golden horse film festival (1), afi fest (1), mar del plata film festival (1), prepare for disaster event (1), night visions international film festival (1), torino film festival (1), limited (3), blank (35), toronto (1), dubai international film festival (1), reykjavik (1), palm springs international film festival (1), g√∂teborg film festival (1), american independence film festival (1), dvd premiere (2), blu-ray release (1), beijing international film festival (1), dvd &amp; bluray (1), cinelibri international book &amp; movie festival (1), tv premiere (1), tv release (1)</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</si>
  <si>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</si>
  <si>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</si>
  <si>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</si>
  <si>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</si>
  <si>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Adventure, Drama, History</t>
  </si>
  <si>
    <t>northern ireland screen, plan b entertainment, sierra/affinity, mica entertainment, madriver pictures, keep your head productions</t>
  </si>
  <si>
    <t>United Kingdom, United States of America</t>
  </si>
  <si>
    <t>English, Deutsch, Portugu‚àö‚Ñ¢s, Espa‚àö¬±ol</t>
  </si>
  <si>
    <t>Edward Ashley, Neil Bromley, Johann Myers, David Coon, Jose Pereira, Nathaniel Bates Fisher, Nicholas Agnew, Colin Carnegie, Harry Melling, Daniel Huttlestone, Anthony Boyle, Yelena Solovey, Robert Pattinson, Tom Holland, Pat Mooney, Bobby Smalldridge, Ruair‚àö‚â† Heading, Louise Parker, Gary Crossan, Pedro Coello, Matthew Sunderland, Clive Francis, Charlie Hunnam, Ian McDiarmid, Tom Mulheron, Gustavo Duque, Aleksandar Jovanovi∆í√°, Robert Fawsitt, Franco Nero, Niall Cusack, Michael Ford-FitzGerald, Stacy Shane, Frank Clem, Patrick McBrearty, Nick Sampson, Richard Croxford, Angus Macfadyen, Murray Melvin, David Calder, Michael Jenn, Bethan Coomber, Bill Hurst, Sienna Miller, Fernando Vigui</t>
  </si>
  <si>
    <t>James Gray</t>
  </si>
  <si>
    <t>Darius Khondji</t>
  </si>
  <si>
    <t>David Grann, James Gray</t>
  </si>
  <si>
    <t>Glenn Murray, Lew Horwitz, Brad Pitt, Dale Armin Johnson, Felipe Aljure, Michael Ilitch Jr., Julie B. May, James Gray, Anthony Katagas, Dede Gardner, Marc Butan, Mark Huffam, Jeremy Kleiner</t>
  </si>
  <si>
    <t>Christopher Spelman</t>
  </si>
  <si>
    <t>/dgDVkGFltTm1MCoFtlq91r7jwi9.jpg</t>
  </si>
  <si>
    <t>the lost city of z</t>
  </si>
  <si>
    <t>new york film festival (1), berlin international film festival (1), blank (53), german speaking region (1), wisconsin film festival (1), cleveland international film festival (1), riverrun international film festival (1), san francisco international film festival (1), limited (2), french speaking region (1), biografilm festival (1), new zealand international film festival (1), dvd premiere (5), dvd and blu-ray premiere (1), deauville film festival (1), cinelibri international book&amp;movie festival (1), palm springs international film festival (1)</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</si>
  <si>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</si>
  <si>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</si>
  <si>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</si>
  <si>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</si>
  <si>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</si>
  <si>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</si>
  <si>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English, Fran‚àö√üais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</si>
  <si>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Rafa‚àö¬¥lle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</si>
  <si>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Bill Condon</t>
  </si>
  <si>
    <t>Tobias A. Schliessler</t>
  </si>
  <si>
    <t>Stephen Chbosky, Linda Woolverton, Tim Rice, Jeanne-Marie Leprince de Beaumont, Evan Spiliotopoulos, Howard Ashman</t>
  </si>
  <si>
    <t>David Hoberman, Jeffrey Silver, Thomas Schumacher, Todd Lieberman, Don Hahn</t>
  </si>
  <si>
    <t>Alan Menken</t>
  </si>
  <si>
    <t>/hKegSKIDep2ewJWPUQD7u0KqFIp.jpg</t>
  </si>
  <si>
    <t>beauty and the beast</t>
  </si>
  <si>
    <t>london (1), premiere (1), blank (66), stardust theater in haramura (1), beijing international film festival (1), dvd premiere (1), re-release (1)</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</si>
  <si>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</si>
  <si>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</si>
  <si>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</si>
  <si>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</si>
  <si>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Action, Drama, Thriller</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</si>
  <si>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</si>
  <si>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Barr‚àö¬©, Jwaundace Candece, Elena Sanchez, Emily Sandifer, Joe Ochterbeck, Carter Burch, Dan Kleckner, Deborah Kara Unger, Xavier Declie, Michael Papajohn, Dikran Tulaine, Jimmy Gonz‚àö¬∞les, Keith Arthur Bolden, Jenny Martin, Kaleigh Rivera, Anna Hutchison, Marc Coppola, Dwayne Boyd, Kara Flowers, Michelle Davidson, Kaitlyn Dillard, Bernardo Pe‚àö¬±a, Rocco Nugent, Joshua Mikel, Elise DuQuette, Elizabeth Hunter</t>
  </si>
  <si>
    <t>Johnny Martin</t>
  </si>
  <si>
    <t>David Stragmeister</t>
  </si>
  <si>
    <t>Joyce Carol Oates, John Mankiewicz</t>
  </si>
  <si>
    <t>Patricia Eberle, Richard Rionda Del Castro, Michael Mendelsohn, Harold Becker, Michael Nilon, Nicolas Cage</t>
  </si>
  <si>
    <t>Frederik Wiedmann</t>
  </si>
  <si>
    <t>/kPUFcGPI9FChybFHIJJBZZLiIlg.jpg</t>
  </si>
  <si>
    <t>vengeance: a love story</t>
  </si>
  <si>
    <t>blank (7), dvd and blu-ray premiere (2), internet (2), tv premiere (3), limited (1), dvd premiere (2), blu-ray release (1)</t>
  </si>
  <si>
    <t>Life</t>
  </si>
  <si>
    <t>tt5442430</t>
  </si>
  <si>
    <t>The six-member crew of the International Space Station is tasked with studying a sample from Mars that may be the first proof of extra-terrestrial life, which proves more intelligent than ever expected.</t>
  </si>
  <si>
    <t>Be careful what you search for.</t>
  </si>
  <si>
    <t>Horror, Science Fiction, Mystery, Thriller</t>
  </si>
  <si>
    <t>columbia pictures, skydance media</t>
  </si>
  <si>
    <t>English, √ä√≥‚Ä¢√ä√∫¬®√ã‚Ñ¢√ª, Ti¬∑‚à´√∏ng Vi¬∑¬™√°t</t>
  </si>
  <si>
    <t>Alexandre Nguyen, Jesus Del Orden, Olga Dihovichnaya, Naoko Mori, Rebecca Ferguson, Jake Gyllenhaal, Camiel Warren-Taylor, Elizabeth Vargas, Hiroyuki Sanada, Hiu Woong-Sin, Mari Gvelesiani, Ryan Reynolds, Allen McLean, Leila Grace, Ariyon Bakare, Haruka Kuroda, David Muir</t>
  </si>
  <si>
    <t>Daniel Espinosa</t>
  </si>
  <si>
    <t>Seamus McGarvey</t>
  </si>
  <si>
    <t>Rhett Reese, Paul Wernick</t>
  </si>
  <si>
    <t>Dana Goldberg, Don Granger, David Ellison, Julie Lynn, Bonnie Curtis, Vicki Dee Rock</t>
  </si>
  <si>
    <t>Jon Ekstrand</t>
  </si>
  <si>
    <t>/wztfli5NgYDgurVgShNflvnyA3Z.jpg</t>
  </si>
  <si>
    <t>life</t>
  </si>
  <si>
    <t>south by southwest film festival (1), blank (58), internet (1)</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</si>
  <si>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</si>
  <si>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</si>
  <si>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</si>
  <si>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</si>
  <si>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Family, Comedy, Adventure, Animation</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</si>
  <si>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</si>
  <si>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</si>
  <si>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</si>
  <si>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Kelly Asbury</t>
  </si>
  <si>
    <t>Pamela Ribon, Peyo, Stacey Harman</t>
  </si>
  <si>
    <t>Raja Gosnell, Mary Ellen Bauder, Jordan Kerner, Ben Waisbren</t>
  </si>
  <si>
    <t>Christopher Lennertz</t>
  </si>
  <si>
    <t>/swt9crREg1UcKgg3wGWfoFNlXOz.jpg</t>
  </si>
  <si>
    <t>smurfs: the lost village</t>
  </si>
  <si>
    <t>blank (56), internet (2), re-release (1)</t>
  </si>
  <si>
    <t>The Boss Baby</t>
  </si>
  <si>
    <t>tt3874544</t>
  </si>
  <si>
    <t>A story about how a new baby's arrival impacts a family, told from the point of view of a delightfully unreliable narrator, a wildly imaginative 7 year old named Tim.</t>
  </si>
  <si>
    <t>Born leader.</t>
  </si>
  <si>
    <t>Animation, Comedy, Family</t>
  </si>
  <si>
    <t>dreamworks animation</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</si>
  <si>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</si>
  <si>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Tom McGrath</t>
  </si>
  <si>
    <t>Ennio Torresan Jr., Michael McCullers, Marla Frazee</t>
  </si>
  <si>
    <t>Denise Nolan Cascino, Ramsey Ann Naito</t>
  </si>
  <si>
    <t>Steve Mazzaro, Hans Zimmer</t>
  </si>
  <si>
    <t>/unPB1iyEeTBcKiLg8W083rlViFH.jpg</t>
  </si>
  <si>
    <t>the boss baby</t>
  </si>
  <si>
    <t>miami film festival (1), blank (61), internet (1)</t>
  </si>
  <si>
    <t>Power Rangers</t>
  </si>
  <si>
    <t>tt3717490</t>
  </si>
  <si>
    <t>Five ordinary teens must become something extraordinary when they learn that their small town of Angel Grove ‚Äö√Ñ√Æ and the world ‚Äö√Ñ√Æ is on the verge of being obliterated by an alien threat. Chosen by destiny, our heroes quickly discover they are the only ones who can save the planet. But to do so, they will have to overcome their real-life issues and before it‚Äö√Ñ√¥s too late, band together as the Power Rangers.</t>
  </si>
  <si>
    <t>Together we are more.</t>
  </si>
  <si>
    <t>Action, Adventure, Science Fiction</t>
  </si>
  <si>
    <t>lionsgate, saban brands, saban films, temple hill entertainment, tik films</t>
  </si>
  <si>
    <t>United States of America, Hong Kong</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</si>
  <si>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</si>
  <si>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</si>
  <si>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Matthew J. Lloyd</t>
  </si>
  <si>
    <t>Burk Sharpless, John Gatins, Matt Sazama, Kieran Mulroney, Haim Saban, Michele Mulroney</t>
  </si>
  <si>
    <t>Marty Bowen, Takeyuki Suzuki, Wyck Godfrey, Brian Casentini, Roberto Orci, Haim Saban, Brent O'Connor, Allison Shearmur</t>
  </si>
  <si>
    <t>Brian Tyler</t>
  </si>
  <si>
    <t>/bKYKyyIv5YnisxjZtDreWtYA386.jpg</t>
  </si>
  <si>
    <t>power rangers</t>
  </si>
  <si>
    <t>blank (74), internet (1)</t>
  </si>
  <si>
    <t>CHiPS</t>
  </si>
  <si>
    <t>tt0493405</t>
  </si>
  <si>
    <t>The adventures of two California Highway Patrol motorcycle officers as they make their rounds on the freeways of Los Angeles.</t>
  </si>
  <si>
    <t>Chip Happens</t>
  </si>
  <si>
    <t>Action, Comedy, Crime</t>
  </si>
  <si>
    <t>primate pictures, warner bros. pictures</t>
  </si>
  <si>
    <t>Espa‚àö¬±ol, English</t>
  </si>
  <si>
    <t>Merrin Dungey, Mae Whitman, Kristen Bell, Arturo del Puerto, Kelly Richardson, Mara Marini, Megalyn Echikunwoke, Anthony N., Dax Shepard, Josh Duhamel, Rosa Salazar, Michael Pe‚àö¬±a,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</si>
  <si>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Dax Shepard</t>
  </si>
  <si>
    <t>Mitchell Amundsen</t>
  </si>
  <si>
    <t>Rick Rosner, Dax Shepard</t>
  </si>
  <si>
    <t>Bob Dohrmann, Michael Pe‚àö¬±a, Andrew Panay, Ravi D. Mehta, Steven Mnuchin, Nate Tuck, Rick Rosner, Dax Shepard</t>
  </si>
  <si>
    <t>Fil Eisler</t>
  </si>
  <si>
    <t>/mIHA8Xf6WmxbS83ia4vQ5ojvxV8.jpg</t>
  </si>
  <si>
    <t>chips</t>
  </si>
  <si>
    <t>blank (32), internet (2), dvd premiere (2), tv premiere (1), tv release (1)</t>
  </si>
  <si>
    <t>The Zookeeper's Wife</t>
  </si>
  <si>
    <t>tt1730768</t>
  </si>
  <si>
    <t>The account of keepers of the Warsaw Zoo, Jan and Antonina Zabinski, who helped save hundreds of people and animals during the Nazi invasion.</t>
  </si>
  <si>
    <t>They gave all they had to save all they could</t>
  </si>
  <si>
    <t>Drama, History, War</t>
  </si>
  <si>
    <t>scion films, czech anglo pictures, focus features, electric city entertainment, mike tollin productions, sierra/affinity, madriver pictures</t>
  </si>
  <si>
    <t>Czech Republic, United Kingdom, United States of America</t>
  </si>
  <si>
    <t>Frederick Preston, Daniel Ratimorsk‚àöŒ©, Daniel Br‚àö¬∫hl, Roman Vejdovec, Patricia Kalis, Efrat Dor, Shira Haas, Jitka Smutn‚àö¬∞, Mari‚àö¬∞n Mita‚âà¬∞, V‚àö¬∞clav Neu‚âà√¶il, Viktoria Zakharyanova, Alena Mihulov‚àö¬∞, Viktorie Jenickov‚àö¬∞, Arno‚âà¬∞t Goldflam, Johan Heldenbergh, Roman Hor‚àö¬∞k, Goran Kosti∆í√°, Magdal‚àö¬©na Sidonov‚àö¬∞, Michael McElhatton, Waldemar Kobus, Slavko Sobin, Josef Guruncz, Brian Caspe, Jakub ‚âà‚Ä†m‚àö‚â†d, Theo Preston, Anna Rust, Adira B. Cole Abbett, Val Maloku, Petra Bu∆í√ßkov‚àö¬∞, Vilma Frantov‚àö¬∞, Iddo Goldberg, Magdalena Lamparska, Nata‚âà¬∞a Burger, Ester Ko∆í√ßi∆í√ßkov‚àö¬∞, Martin Hofmann, Jessica Chastain, Gabriel Cohen, Ladislav Hampl, Diego Delpiano, Hana Frejkov‚àö¬∞, Timothy Radford, Martha Issov‚àö¬∞, Hana Pindurov‚àö¬∞</t>
  </si>
  <si>
    <t>Niki Caro</t>
  </si>
  <si>
    <t>Andrij Parekh</t>
  </si>
  <si>
    <t>Angela Workman, Diane Ackerman</t>
  </si>
  <si>
    <t>Jessica Chastain, Jeff Abberley, Pete Shilaimon, Mickey Liddell, Diane Miller Levin, Michael Tollin, Marc Butan, Kim Zubick, Jennifer Monroe, Jamie Patricof, Kevan Van Thompson, Robbie Tollin</t>
  </si>
  <si>
    <t>Harry Gregson-Williams</t>
  </si>
  <si>
    <t>/50KGpMiIvSkF4WHOgp0gM6r6sMU.jpg</t>
  </si>
  <si>
    <t>the zookeeper's wife</t>
  </si>
  <si>
    <t>warsaw (1), premiere (2), cinequest film festival (1), blank (39), limited (1), bcn film fest (1), internet (3), deauville film festival (1), dvd premiere (2), tokyo (1), beijing international film festival (1), festival internacional de cine judio (1), tv premiere (2), rtp 1 (1)</t>
  </si>
  <si>
    <t>The Ottoman Lieutenant</t>
  </si>
  <si>
    <t>tt4943322</t>
  </si>
  <si>
    <t>Lillie, a determined American woman, ventures overseas to join Dr. Jude at a remote medical mission in the Ottoman Empire (now Turkey). However, Lillie soon finds herself at odds with Jude and the mission‚Äö√Ñ√¥s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</si>
  <si>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</si>
  <si>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</si>
  <si>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</si>
  <si>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</si>
  <si>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English, T‚àö¬∫rk‚àö√üe</t>
  </si>
  <si>
    <t>Ephraim Goldin, Aysan S‚àö¬∫mercan, Hera Hilmar, Josh Hartnett, Ali Riza Sahenk, Michiel Huisman, Deniz Kilic Flak, Murat Seven, Ben Kingsley, Peter Hosking, Affif Ben Badra, Begum Burian, Jessica Turner, Paul Barrett, Tzvi Shmilovich, Haluk Bilginer, Ayse Eldek, Brian Caspe, Eliska Slansky, Hasan Say, Sel‚àö√üuk Y‚àö‚àÇntem, Bree Welch, Ara Woland, Joe Weintraub</t>
  </si>
  <si>
    <t>Joseph Ruben</t>
  </si>
  <si>
    <t>Daniel Arany‚àö‚â•</t>
  </si>
  <si>
    <t>Jeff Stockwell</t>
  </si>
  <si>
    <t>Stephen Joel Brown</t>
  </si>
  <si>
    <t>Geoff Zanelli</t>
  </si>
  <si>
    <t>/keHVpf7x6Na3KK7ep2BXzd2jlCv.jpg</t>
  </si>
  <si>
    <t>the ottoman lieutenant</t>
  </si>
  <si>
    <t>blank (2), dvd premiere (4), internet (2), tv release (1)</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</si>
  <si>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</si>
  <si>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</si>
  <si>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</si>
  <si>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</si>
  <si>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</si>
  <si>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</si>
  <si>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</si>
  <si>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√ä√≥‚Ä¢√ä√∫¬®√ã‚Ñ¢√ª, English</t>
  </si>
  <si>
    <t>Allan Henry, Kaori Yamamoto, Takeshi Kitano, Peter Ferdinando, Rila Fukushima, Kai Fung Rieck, Kaori Momoi, Pilou Asb‚àö¬∂k,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</si>
  <si>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Rupert Sanders</t>
  </si>
  <si>
    <t>Jess Hall</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</si>
  <si>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</si>
  <si>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</si>
  <si>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</si>
  <si>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</si>
  <si>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ghost in the shell</t>
  </si>
  <si>
    <t>shinjuku, tokyo (1), premiere (4), seoul (1), paris (1), blank (67), new york city, new york (1), oran cin√© gold printemps 2017 (1)</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</si>
  <si>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</si>
  <si>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</si>
  <si>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</si>
  <si>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</si>
  <si>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Comedy, Drama, Romance</t>
  </si>
  <si>
    <t>filmnation entertainment, apatow productions, story ink</t>
  </si>
  <si>
    <t>English, √ø√ü√ø¬±√ø√ò≈∏√†</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</si>
  <si>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</si>
  <si>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Michael Showalter</t>
  </si>
  <si>
    <t>Brian Burgoyne</t>
  </si>
  <si>
    <t>Kumail Nanjiani, Emily V. Gordon</t>
  </si>
  <si>
    <t>Jeremy Kipp Walker, Judd Apatow, Emily V. Gordon, Glen Basner, Kumail Nanjiani, Ben Browning, Barry Mendel</t>
  </si>
  <si>
    <t>Michael Andrews</t>
  </si>
  <si>
    <t>/9fJTT8pBxxQsFILJHTtHhdYFr77.jpg</t>
  </si>
  <si>
    <t>the big sick</t>
  </si>
  <si>
    <t>sundance film festival (1), south by southwest film festival (1), seattle international film festival (1), sundance london film festival (1), bamcinemafest (1), los angeles film festival (1), nantucket film festival (1), limited (3), munich international film festival (1), galway film fleadh (1), blank (39), jerusalem film festival (1), locarno film festival (1), sarajevo film festival (1), norwegian international film festival (1), rio de janeiro international film festival (1), dvd premiere (2), oldenburg film festival (1), helsinki international film festival (1), donostia-san sebasti√°n international film festival (1), american film festival (1), internet (1), rtp 1 (1), tv premiere (1)</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</si>
  <si>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</si>
  <si>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</si>
  <si>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</si>
  <si>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</si>
  <si>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</si>
  <si>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</si>
  <si>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United Kingdom</t>
  </si>
  <si>
    <t>Sam Riley, Patrick Bergin, Babou Ceesay, Sharlto Copley, Mark Monero, Tom Davis, Enzo Cilenti, Armie Hammer, Noah Taylor, Brie Larson, Michael Smiley, Sara Dee, Cillian Murphy, Jack Reynor</t>
  </si>
  <si>
    <t>Ben Wheatley</t>
  </si>
  <si>
    <t>Laurie Rose</t>
  </si>
  <si>
    <t>Amy Jump, Ben Wheatley</t>
  </si>
  <si>
    <t>Andrew Starke, Martin Scorsese</t>
  </si>
  <si>
    <t>Ben Salisbury, Geoff Barrow</t>
  </si>
  <si>
    <t>/olpgs0OPE8sdBGcuuWhKYzxAwN4.jpg</t>
  </si>
  <si>
    <t>free fire</t>
  </si>
  <si>
    <t>blank (26), toronto international film festival (1), bfi london film festival (1), stockholm international film festival (1), mar del plata film festival (1), monster fest (1), torino film festival (1), international film festival &amp; awards macao (1), dubai international film festival (1), troms√∏ international film festval (1), international film festival rotterdam (1), iffr in groningen (1), south by southwest film festival (1), titanic international filmpresence festival (1), imagine film festival (1), night visions international film festival (1), d'a film festival (1), jerusalem film festival (1), dvd and blu-ray release (1), new horizons film festival (1), blu ray release (1), dvd premiere (1), internet (1)</t>
  </si>
  <si>
    <t>Colossal</t>
  </si>
  <si>
    <t>tt4680182</t>
  </si>
  <si>
    <t>A woman discovers that severe catastrophic events are somehow connected to the mental breakdown from which she's suffering.</t>
  </si>
  <si>
    <t>There's a monster in all of us</t>
  </si>
  <si>
    <t>Drama, Fantasy, Science Fiction</t>
  </si>
  <si>
    <t>toy fight productions, brightlight pictures, sayaka producciones, route one entertainment, voltage pictures, union investment partners, legion m</t>
  </si>
  <si>
    <t>Canada, South Korea, Spain, United States of America</t>
  </si>
  <si>
    <t>English, √å√Ø√∫√ç¬µ‚â†√è√±¬•/√è¬∞‚àû√è√ë‚Ä†√é√ü√™</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</si>
  <si>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</si>
  <si>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t>
  </si>
  <si>
    <t>Eric Kress</t>
  </si>
  <si>
    <t>Nacho Vigalondo, Dominic Rustam, Lee Jae-woo, Nahikari Ipi‚àö¬±a, Jonathan Deckter, Nicolas Chartier, Christopher Lytton, Justin Bursch, Garrett Basch, Anne Hathaway, Unjoo Lee Byars, Choi Pyung-ho, Zev Foreman, Shawn Williamson, Russell Levine</t>
  </si>
  <si>
    <t>Bear McCreary</t>
  </si>
  <si>
    <t>/4VOyofBd1pexblxtDZYtYIk7NI4.jpg</t>
  </si>
  <si>
    <t>colossal</t>
  </si>
  <si>
    <t>toronto international film festival (1), san sebasti√°n film festival (1), fantastic fest (1), sitges film festival (1), sundance film festival (1), south by southwest film festival (1), blank (33), los angeles, california (1), new york city, new york (1), limited (2), netia off camera international festival of independent cinema (1), tv premiere (2), neuchatel international fantastic film festival (1), internet (2), dvd premiere (5), summer international film festival (1), chasing reels (1), down town taito international comedy film festival (1), leiden international film festival (1), blu-ray release (1)</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</si>
  <si>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</si>
  <si>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</si>
  <si>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</si>
  <si>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</si>
  <si>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</si>
  <si>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</si>
  <si>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Jos‚àö¬© B‚àö¬∞ez, Josh Pais, Nick Cordero, Annabelle Chow, Tony Arrigo, Aaron Ayhan, Nick Austin, Marc Chouen, Melanie Nicholls-King</t>
  </si>
  <si>
    <t>Zach Braff</t>
  </si>
  <si>
    <t>Rodney Charters</t>
  </si>
  <si>
    <t>Martin Brest, Theodore Melfi, Edward Cannon</t>
  </si>
  <si>
    <t>Samuel J. Brown, Donald De Line, Andrew Haas, Jonathan McCoy, Bruce Berman, Tony Bill, Steven Mnuchin, Michael Disco, Toby Emmerich</t>
  </si>
  <si>
    <t>Rob Simonsen</t>
  </si>
  <si>
    <t>/4nfWsdsJfO5srRZgxiWC9xHub0W.jpg</t>
  </si>
  <si>
    <t>going in style</t>
  </si>
  <si>
    <t>beaune film festival (1), blank (46), blu-ray premiere (1), dvd premiere (2), dvd and blu-ray premiere (1), international film festival cinematik (1)</t>
  </si>
  <si>
    <t>The Spacewalker</t>
  </si>
  <si>
    <t>tt6673840</t>
  </si>
  <si>
    <t>ru</t>
  </si>
  <si>
    <t>‚Äì√≠‚Äî√Ñ‚Äì¬µ‚Äì¬∫‚Äî√® ‚Äì√∏‚Äì¬µ‚Äî√Ñ‚Äì‚â§‚Äî√£‚Äî√ñ</t>
  </si>
  <si>
    <t>March 1965. In the heat of the Cold War, the USA and the USSR are competing for supremacy in space. What both superpowers aim for in this race, is to be the first to have a man walk in outer space. To accomplish that, no price is too high and no risk is too great. Now it‚Äö√Ñ√¥s up to the unlikely duo of a seasoned war veteran and a hot-headed test-pilot to fulfill this mission. Two men in a tiny spaceship, without proper testing, facing the complete unknown. They were supposed to do what no man has done before‚Äö√Ñ√Æand no man imagined what would happen next.</t>
  </si>
  <si>
    <t>So far from home, so close to disaster</t>
  </si>
  <si>
    <t>Adventure, Drama, History, Thriller</t>
  </si>
  <si>
    <t>bazelevs</t>
  </si>
  <si>
    <t>Russia</t>
  </si>
  <si>
    <t>P‚Äî√â‚Äî√Ö‚Äî√Ö‚Äì‚à´‚Äì‚àè‚ÄìœÄ</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</si>
  <si>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</si>
  <si>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</si>
  <si>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Vladimir Bashta</t>
  </si>
  <si>
    <t>Sergey Kaluzhanov, Irina Pivovarova, Yuri Korotkov</t>
  </si>
  <si>
    <t>Timur Bekmambetov, Evgeny Mironov, Sergey Ageev</t>
  </si>
  <si>
    <t>Yuriy Poteenko, Alexandr Vartanov</t>
  </si>
  <si>
    <t>/hDNVRmrprxI9NQ0zc2Uu03p65Fw.jpg</t>
  </si>
  <si>
    <t>the spacewalker</t>
  </si>
  <si>
    <t>blank (14), limited (1), apec film week (1), dvd and blu-ray premiere (2), internet (2), sputnik russian film festival (2), beijing international film festival (1), blu-ray release (2), dvd premiere (1)</t>
  </si>
  <si>
    <t>The Fate of the Furious</t>
  </si>
  <si>
    <t>tt4630562</t>
  </si>
  <si>
    <t>When a mysterious woman seduces Dom into the world of crime and a betrayal of those closest to him, the crew face trials that will test them as never before.</t>
  </si>
  <si>
    <t>Never give up on family.</t>
  </si>
  <si>
    <t>Action, Crime, Thriller</t>
  </si>
  <si>
    <t>original film, one race, universal pictures</t>
  </si>
  <si>
    <t>English, Espa‚àö¬±ol</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</si>
  <si>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Nu‚àö¬±ez L‚àö‚â•pez, Nick Gracer, Zachary Vazquez, Andre Pushkin, ‚àö√±zcan ‚àö√±zdemir,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Tatalovi∆í√°,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</si>
  <si>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F. Gary Gray</t>
  </si>
  <si>
    <t>Stephen F. Windon</t>
  </si>
  <si>
    <t>Gary Scott Thompson, Chris Morgan</t>
  </si>
  <si>
    <t>Vin Diesel, Michael Fottrell, Chris Morgan, Samantha Vincent, Amanda Lewis, Neal H. Moritz</t>
  </si>
  <si>
    <t>/dImWM7GJqryWJO9LHa3XQ8DD5NH.jpg</t>
  </si>
  <si>
    <t>the fate of the furious</t>
  </si>
  <si>
    <t>berlin (1), premiere (1), blank (68), oran cin√© gold printemps (1), colombo (1), blu-ray release (1)</t>
  </si>
  <si>
    <t>Puthan Panam</t>
  </si>
  <si>
    <t>tt6426832</t>
  </si>
  <si>
    <t>ml</t>
  </si>
  <si>
    <t>‚Ä°¬•‚Ñ¢‚Ä°¬µ√Ö‚Ä°¬•¬ß‚Ä°¬µ√ß‚Ä°¬•¬ß‚Ä°¬µ¬™‚Ä°¬•‚Ñ¢‚Ä°¬•¬£‚Ä°¬•√á</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</si>
  <si>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</si>
  <si>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</si>
  <si>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</si>
  <si>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India</t>
  </si>
  <si>
    <t xml:space="preserve">?????, </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</si>
  <si>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</si>
  <si>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</si>
  <si>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Om Prakash</t>
  </si>
  <si>
    <t>Rafeeq Ahammed, B. K. Harinarayanan, P. V. Shajikumar, Ranjith</t>
  </si>
  <si>
    <t>John Arogyaswamy, Abraham Mathew, Ranjith, Arun Narayan</t>
  </si>
  <si>
    <t>Shahabaz Aman</t>
  </si>
  <si>
    <t>/jePXxUxwHCdZJiTrVnU9QuNF7B4.jpg</t>
  </si>
  <si>
    <t>puthan panam</t>
  </si>
  <si>
    <t>blank (3)</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</si>
  <si>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</si>
  <si>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</si>
  <si>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</si>
  <si>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</si>
  <si>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Horror, Mystery, Science Fiction</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</si>
  <si>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</si>
  <si>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Ru‚àö‚â†z,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</si>
  <si>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</si>
  <si>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</si>
  <si>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</si>
  <si>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</si>
  <si>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</si>
  <si>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</si>
  <si>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phoenix forgotten</t>
  </si>
  <si>
    <t>blank (4), dvd premiere (1), molins film festival (1)</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</si>
  <si>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</si>
  <si>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</si>
  <si>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</si>
  <si>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</si>
  <si>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Drama, Fantasy, Mystery, Romance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</si>
  <si>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</si>
  <si>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</si>
  <si>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David Lowery</t>
  </si>
  <si>
    <t>Andrew Droz Palermo</t>
  </si>
  <si>
    <t>James M. Johnston, David Maddox, Adam Donaghey, Toby Halbrooks</t>
  </si>
  <si>
    <t>Daniel Hart</t>
  </si>
  <si>
    <t>/rp5JPIyZi9sMob15l46zNQLe5cO.jpg</t>
  </si>
  <si>
    <t>a ghost story</t>
  </si>
  <si>
    <t>sundance film festival (1), chicago critics film festival (1), sundance london film festival (1), seattle international film festival (1), oak cliff film festival (1), sydney film festival (1), bamcinemafest (1), karlovy vary international film festival (1), limited (4), galway film fleadh (1), fantasia international film festival (1), blank (16), new horizons film festival (1), sarajevo film festival (1), toronto international film festival (1), deauville film festival (1), scenic city film festival (1), cph: pix (1), parool film fest (1), sitges film festival (1), vienna international film festival (1), leiden international film festival (1), subtitled version (1), los cabos international film festival (1), molins film festival (1), paris international fantastic film festival (1), dvd premiere (4), molodist international film festival (1), titanic international filmpresence festival (1), dvd and blu-ray premiere (1), tv release (2), internet (1), tv premiere (1), film festival ghent (1)</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</si>
  <si>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</si>
  <si>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</si>
  <si>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</si>
  <si>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</si>
  <si>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Drama, Thriller, Science Fiction</t>
  </si>
  <si>
    <t>parkes+macdonald image nation, route one entertainment, playtone, likely story, 1978 films, image nation abu dhabi</t>
  </si>
  <si>
    <t>United Arab Emirates, United States of America</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</si>
  <si>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</si>
  <si>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t>
  </si>
  <si>
    <t>Matthew Libatique</t>
  </si>
  <si>
    <t>James Ponsoldt, Dave Eggers</t>
  </si>
  <si>
    <t>Evan Hayes, Steven Shareshian, Walter F. Parkes, Sally Wilcox, Russell Levine, Tom Hanks, Laurie MacDonald, Gary Goetzman, Peter Cron, Anthony Bregman, Stefanie Azpiazu</t>
  </si>
  <si>
    <t>Danny Elfman</t>
  </si>
  <si>
    <t>/bQVqd5rWrx5GbXhJNuvKy4Viz6j.jpg</t>
  </si>
  <si>
    <t>the circle</t>
  </si>
  <si>
    <t>tribeca film festival (1), blank (47), internet (1), dvd premiere (2)</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</si>
  <si>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</si>
  <si>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</si>
  <si>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</si>
  <si>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</si>
  <si>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Action, Comedy</t>
  </si>
  <si>
    <t>chernin entertainment, feigco entertainment, 20th century fox</t>
  </si>
  <si>
    <t>Wanda Sykes, Moani Hara, Nicholas J. Lockwood, Christopher Meloni, Francis Benhamou, Carlos Diaz, Jenny Babas, Wolf Lee Counsel, ‚àö√¨scar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</si>
  <si>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Jonathan Levine</t>
  </si>
  <si>
    <t>Florian Ballhaus</t>
  </si>
  <si>
    <t>Kim Caramele, Katie Dippold, Amy Schumer</t>
  </si>
  <si>
    <t>Tonia Davis, Peter Chernin, Paul Feig, Donald J. Lee Jr., Kim Caramele, Michael Kruzan, Katie Dippold, Amy Schumer, Jenno Topping, Jessie Henderson</t>
  </si>
  <si>
    <t>Theodore Shapiro, Chris Bacon</t>
  </si>
  <si>
    <t>/gsleO1KultziWltEAngAEZkxQhf.jpg</t>
  </si>
  <si>
    <t>snatched</t>
  </si>
  <si>
    <t>blank (30), dvd premiere (3), internet (2), tv premiere (2), tv release (1)</t>
  </si>
  <si>
    <t>Bad Genius</t>
  </si>
  <si>
    <t>tt6788942</t>
  </si>
  <si>
    <t>th</t>
  </si>
  <si>
    <t>‚Ä°‚àè√¢‚Ä°‚àè‚Ä¢‚Ä°‚àè‚â§‚Ä°‚àè√Æ‚Ä°œÄ√Ñ‚Ä°‚àè√Ö‚Ä°‚àè¬∞‚Ä°‚àè‚Ñ¢‚Ä°œÄ√•‚Ä°œÄ√á‚Ä°‚àè√Ö‚Ä°‚àè√°</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</si>
  <si>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</si>
  <si>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</si>
  <si>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</si>
  <si>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</si>
  <si>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Thailand</t>
  </si>
  <si>
    <t>English, ‚Ä°‚àè‚Ä†‚Ä°‚àè‚â§‚Ä°‚àè¬©‚Ä°‚àè‚â§‚Ä°œÄ√ë‚Ä°‚àè√≥‚Ä°‚àè¬¢</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</si>
  <si>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</si>
  <si>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</si>
  <si>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</si>
  <si>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</si>
  <si>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</si>
  <si>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</si>
  <si>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</si>
  <si>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bad genius</t>
  </si>
  <si>
    <t>blank (19), new york asian film festival (1), fantasia international film festival (1), new zealand international film festival (1), focus on asia international film festival fukuoka (1), fantastic fest (1), vancouver international film festival (1), bfi london film festival (1), la roche-sur-yon international film festival (1), razor reel flanders film festival (1), leiden international film festival (1), hawaii film festival (1), toronto reel asian international film festival (1), san diego asian film festival (1), leeds international film festival (1), asian pop-up cinema chicago (1), luang prabang film festival (1), tiff next wave (1), lost weekend film festival (1), colorado dragon film festival (1), cinemasia film festival (1), c√≠nemalay√†: philippine independent film festival (1), asian film festival barcelona (1), asean culture house (1), asean international film festival &amp; awards (1), dvd premiere (1), internet (1)</t>
  </si>
  <si>
    <t>CIA: Comrade In America</t>
  </si>
  <si>
    <t>tt5925772</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</si>
  <si>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</si>
  <si>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</si>
  <si>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</si>
  <si>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</si>
  <si>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Espa‚àö¬±ol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</si>
  <si>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</si>
  <si>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</si>
  <si>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</si>
  <si>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</si>
  <si>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</si>
  <si>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</si>
  <si>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cia: comrade in america</t>
  </si>
  <si>
    <t>blank (26), internet (1)</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</si>
  <si>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</si>
  <si>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</si>
  <si>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</si>
  <si>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</si>
  <si>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Horror, Science Fiction, Thriller</t>
  </si>
  <si>
    <t>20th century fox, brandywine productions, scott free productions</t>
  </si>
  <si>
    <t>English, Deutsch</t>
  </si>
  <si>
    <t>Uli Latukefu, Nathaniel Dean, Billy Crudup, Jussie Smollett, Michael Fassbender, Lorelei King, Amy Seimetz, Noomi Rapace, Danny McBride, Demi‚àö¬∞n Bichir, Katherine Waterston, Alexander England, Guy Pearce, Tom O'Sullivan, Andrew Crawford, Callie Hernandez, Goran D. Kleut, Tess Haubrich, Benjamin Rigby, James Franco, Carmen Ejogo</t>
  </si>
  <si>
    <t>Ridley Scott</t>
  </si>
  <si>
    <t>Dariusz Wolski</t>
  </si>
  <si>
    <t>Michael Green, Dante Harper, John Logan, Dan O'Bannon, Jack Paglen, Ronald Shusett</t>
  </si>
  <si>
    <t>Ridley Scott, Walter Hill, Michael Schaefer, Mark Huffam, David Giler</t>
  </si>
  <si>
    <t>Jed Kurzel</t>
  </si>
  <si>
    <t>/zecMELPbU5YMQpC81Z8ImaaXuf9.jpg</t>
  </si>
  <si>
    <t>alien: covenant</t>
  </si>
  <si>
    <t>london (1), premiere (2), kyiv comic con (1), paris (1), blank (61), limited (1), colombo (1), transylvania international film festival (1), internet (1)</t>
  </si>
  <si>
    <t>King Arthur: Legend of the Sword</t>
  </si>
  <si>
    <t>tt1972591</t>
  </si>
  <si>
    <t>When the child Arthur‚Äö√Ñ√¥s father is murdered, Vortigern, Arthur‚Äö√Ñ√¥s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</si>
  <si>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</si>
  <si>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</si>
  <si>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</si>
  <si>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Berg‚àö¬Æs-Frisbey,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</si>
  <si>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Guy Ritchie</t>
  </si>
  <si>
    <t>John Mathieson</t>
  </si>
  <si>
    <t>Lionel Wigram, David Dobkin, Guy Ritchie, Joby Harold</t>
  </si>
  <si>
    <t>Steve Clark-Hall, James Herbert, Steven Mnuchin, Tory Tunnell, Bruce Berman, Guy Ritchie, Akiva Goldsman, Lionel Wigram, David Dobkin, Joby Harold</t>
  </si>
  <si>
    <t>Daniel Pemberton</t>
  </si>
  <si>
    <t>/9kKXH6eJpzoFGhCbTN3FVwSQK3n.jpg</t>
  </si>
  <si>
    <t>king arthur: legend of the sword</t>
  </si>
  <si>
    <t>king for a day event (1), limited (1), kyiv comic con (1), hollywood, california (1), premiere (1), blank (60), colombo (1), internet (2)</t>
  </si>
  <si>
    <t>Deep</t>
  </si>
  <si>
    <t>tt4105584</t>
  </si>
  <si>
    <t>In 2100, when humanity has abandoned the earth, a colony of extravagant creatures still thrives in the deepest abyss of the ocean.</t>
  </si>
  <si>
    <t>Under pressure, everything gets complicated</t>
  </si>
  <si>
    <t>Animation, Family, Adventure</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</si>
  <si>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</si>
  <si>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</si>
  <si>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</si>
  <si>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</si>
  <si>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</si>
  <si>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Estap‚àö¬©, Claudia Bluemhuber, Yunzhong Guo</t>
  </si>
  <si>
    <t>Fernando Vel‚àö¬∞zquez</t>
  </si>
  <si>
    <t>/mShTMzDNfHgTgA3N81TEefL0EMv.jpg</t>
  </si>
  <si>
    <t>deep</t>
  </si>
  <si>
    <t>blank (23), annecy film festival (1), dvd premiere (3)</t>
  </si>
  <si>
    <t>Bon Cop Bad Cop 2</t>
  </si>
  <si>
    <t>tt4738174</t>
  </si>
  <si>
    <t>fr</t>
  </si>
  <si>
    <t>Ward and Bouchard must face an important car theft ring that turns out to be a lot more than they bargained for: one where the stolen cars will serve as bombs in a well planned terrorist attack.</t>
  </si>
  <si>
    <t>It's okay America, we've got your back.</t>
  </si>
  <si>
    <t>Action, Crime, Comedy</t>
  </si>
  <si>
    <t>jessie films, item 7</t>
  </si>
  <si>
    <t>Canada</t>
  </si>
  <si>
    <t>Claude Poirier, Mariana Mazza, Alexis B‚àö¬©lec, Marc-Andr‚àö¬© Boulanger, Fr‚àö¬©d‚àö¬©rique Cyr-Desch‚àö‚Ñ¢nes, Fran‚àö√üois Ruel-C‚àö¬•t‚àö¬©, Kendall Savage, Chris Cavener, John Sanford Moore, Brad Gros-Louis, Andr‚àö¬© B‚àö¬©dard, Emma Cormier, Amy Sobol, Sean Lu, Marc Beaupr‚àö¬©, J‚àö¬©r‚àö¬©my Carmichael, Elizabeth Neale, Pascal Parent, Mitch Spour, Jean-Marc Dalphond, Antoine Regaudie, Tommy Tremblay, Karl Werleman, ‚àö√¢tienne Savoie St-Gelais, Christopher Hayes, Marius Petitclerc, Jacob Reardon, Jameson Kraemer, Neil Crone, Moe Jeudy-Lamour, Nicolas Paquin, Aldo Lopez, Noam Jenkins, Charles Fournier, Christian Paul, Sarah-Jeanne Labrosse, Catherine St-Laurent, Francis Bri‚àö¬Ære, Erik Knudsen, Lucie Laurier, Marie-Lyne Joncas, Michael Richard, Karl Graboshas, Patrick Huard, Colm Feore, Karl Poirier-Petersen, Hamza Haq</t>
  </si>
  <si>
    <t>Alain Desrochers</t>
  </si>
  <si>
    <t>Ronald Plante</t>
  </si>
  <si>
    <t>Patrick Huard</t>
  </si>
  <si>
    <t>Fran‚àö√üois Flamand, Pierre Even, Patrick Huard</t>
  </si>
  <si>
    <t>Anik Jean</t>
  </si>
  <si>
    <t>/sXP6WjVJGeZuqVQJVMMAf8CeGma.jpg</t>
  </si>
  <si>
    <t>bon cop bad cop 2</t>
  </si>
  <si>
    <t>blank (1), internet (4)</t>
  </si>
  <si>
    <t>yes</t>
  </si>
  <si>
    <t>Half Girlfriend</t>
  </si>
  <si>
    <t>tt5474042</t>
  </si>
  <si>
    <t>hi</t>
  </si>
  <si>
    <t>A boy meets a girl named Riya and falls in love. After struggling to convince her to be his girlfriend, she half-heartedly agrees to be his `half-girlfriend'.</t>
  </si>
  <si>
    <t>More Than A Friend,  Lesser Than A Girlfriend</t>
  </si>
  <si>
    <t>Romance, Drama</t>
  </si>
  <si>
    <t>balaji motion pictures</t>
  </si>
  <si>
    <t>‚Ä°¬ßœÄ‚Ä°¬ß√∏‚Ä°¬ß¬Æ‚Ä°‚Ä¢√ß‚Ä°¬ß¬∂‚Ä°‚Ä¢√Ñ</t>
  </si>
  <si>
    <t>Adam Davenport, Shraddha Kapoor, Greg Kriek, Anisa Butt, Arjun Kapoor, Rhea Chakraborty, Seema Biswas, Vikrant Massey</t>
  </si>
  <si>
    <t>Mohit Suri</t>
  </si>
  <si>
    <t>Vishnu Rao</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</si>
  <si>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</si>
  <si>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</si>
  <si>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</si>
  <si>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</si>
  <si>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half girlfriend</t>
  </si>
  <si>
    <t>blank (9), internet (1)</t>
  </si>
  <si>
    <t>Everything, Everything</t>
  </si>
  <si>
    <t>tt5001718</t>
  </si>
  <si>
    <t>A teenager who's lived a sheltered life because she's allergic to everything, falls for the boy who moves in next door.</t>
  </si>
  <si>
    <t>Risk everything... for love.</t>
  </si>
  <si>
    <t>Drama, Romance</t>
  </si>
  <si>
    <t>alloy entertainment, itaca films, metro-goldwyn-mayer, warner bros. pictures</t>
  </si>
  <si>
    <t>Ana de la Reguera, Fiona Loewi, Fran‚àö√üoise Yip, Peter Benson, Robert Lawrenson, Nick Robinson, Danube R. Hermosillo, Amandla Stenberg, Farryn VanHumbeck, Allison Riley, Valareen Friday, Sage Brocklebank, Dan Payne, Marion Eisman, Anika Noni Rose, Taylor Hickson</t>
  </si>
  <si>
    <t>Stella Meghie</t>
  </si>
  <si>
    <t>Igor Jadue-Lillo</t>
  </si>
  <si>
    <t>J. Mills Goodloe, Nicola Yoon</t>
  </si>
  <si>
    <t>Leslie Morgenstein, Elysa Koplovitz Dutton, Victor Ho</t>
  </si>
  <si>
    <t>Ludwig G‚àö‚àÇransson</t>
  </si>
  <si>
    <t>/gukkmf3W5Cev7winxBa8FHvKLql.jpg</t>
  </si>
  <si>
    <t>everything, everything</t>
  </si>
  <si>
    <t>blank (38), internet (1), champs-√©lys√©es film festival (1), blu-ray release (1)</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</si>
  <si>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</si>
  <si>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</si>
  <si>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</si>
  <si>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</si>
  <si>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</si>
  <si>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</si>
  <si>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</si>
  <si>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David Bowers</t>
  </si>
  <si>
    <t>Anthony B. Richmond</t>
  </si>
  <si>
    <t>David Bowers, Jeff Kinney</t>
  </si>
  <si>
    <t>Nina Jacobson, Timothy M. Bourne, David Bowers, Brad Simpson, Jeff Kinney</t>
  </si>
  <si>
    <t>Edward Shearmur</t>
  </si>
  <si>
    <t>/ivRrDm5PlOndteVZgjhQenzKU5t.jpg</t>
  </si>
  <si>
    <t>diary of a wimpy kid: the long haul</t>
  </si>
  <si>
    <t>blank (24), dvd premiere (5), dvd and blu-ray premiere (1), internet (1)</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</si>
  <si>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</si>
  <si>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</si>
  <si>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</si>
  <si>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</si>
  <si>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Adventure, Action, Fantasy</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</si>
  <si>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</si>
  <si>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</si>
  <si>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R‚àö‚àènning, Espen Sandberg</t>
  </si>
  <si>
    <t>Paul Cameron</t>
  </si>
  <si>
    <t>Terry Rossio, Jeff Nathanson, Stuart Beattie, Ted Elliott, Jay Wolpert</t>
  </si>
  <si>
    <t>Terry Rossio, Mike Stenson, Joseph M. Caracciolo Jr., Chad Oman, Jerry Bruckheimer, Brigham Taylor</t>
  </si>
  <si>
    <t>/qwoGfcg6YUS55nUweKGujHE54Wy.jpg</t>
  </si>
  <si>
    <t>pirates of the caribbean: dead men tell no tales</t>
  </si>
  <si>
    <t>shanghai (1), premiere (2), los angeles, california (1), blank (63), colombo (1)</t>
  </si>
  <si>
    <t>Baywatch</t>
  </si>
  <si>
    <t>tt1469304</t>
  </si>
  <si>
    <t>Devoted lifeguard Mitch Buchannon butts heads with a brash new recruit. Together, they uncover a local criminal plot that threatens the future of the Bay.</t>
  </si>
  <si>
    <t>Don't worry, summer is coming</t>
  </si>
  <si>
    <t>Comedy, Action, Crime</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</si>
  <si>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</si>
  <si>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Acory‚àö¬© White, Dwayne Johnson, Kelly R‚àö‚â•is‚àö‚â†n, Izabel Goulart, Casey McCullum, Welder Santos, Oscar Nu‚àö¬±ez, Peter Anaya, Arian Foster, Vincenzo Hinckley, Ilfenesh Hadera, David Hasselhoff, Pamela Anderson, Priyanka Chopra Jonas, Vernon Davis</t>
  </si>
  <si>
    <t>Seth Gordon</t>
  </si>
  <si>
    <t>Eric Steelberg</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</si>
  <si>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</si>
  <si>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</si>
  <si>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</si>
  <si>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baywatch</t>
  </si>
  <si>
    <t>blank (54), blu-ray release (1), dvd premiere (1), internet (2)</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</si>
  <si>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</si>
  <si>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</si>
  <si>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</si>
  <si>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</si>
  <si>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Horror, Thriller</t>
  </si>
  <si>
    <t>lantica media, flexibon films, dragon root securities, altitude film sales, dimension films, entertainment studios motion pictures, tea shop &amp; film company, the fyzz</t>
  </si>
  <si>
    <t>Dominican Republic, United Kingdom, United States of America</t>
  </si>
  <si>
    <t>Mayra Ju‚àö¬∞rez, Claire Holt, Matthew Modine, Chris Johnson, Yani Gellman, Santiago Segura, Axel Mansella, Mandy Moore</t>
  </si>
  <si>
    <t>Johannes Roberts</t>
  </si>
  <si>
    <t>Mark Silk</t>
  </si>
  <si>
    <t>Johannes Roberts, Ernest Riera</t>
  </si>
  <si>
    <t>Alastair Burlingham, Harvey Weinstein, Bob Weinstein, Alexandre Aja, Wayne Marc Godfrey, Lee Vandermolen, Robert Jones, Keith Levine, Will Clarke, Andrew Boucher, James Harris, Andy Mayson, Duncan McWilliam, Mark Lane</t>
  </si>
  <si>
    <t>Andy Milburn, Tom Hajdu, tomandandy</t>
  </si>
  <si>
    <t>/2IgdRUTdHyoI3nFORcnnYEKOGIH.jpg</t>
  </si>
  <si>
    <t>47 meters down</t>
  </si>
  <si>
    <t>blank (37), los angeles (1), premiere (1), karlovy vary international film festival (1), bifan - bucheon international fantastic film festival (1), deauville film festival (1), internet (4), dvd premiere (1), dvd and blu-ray premiere (2), fanter film festival (1), enemef: maraton grozy (1), blu-ray release (1)</t>
  </si>
  <si>
    <t>Double Lover</t>
  </si>
  <si>
    <t>tt6367558</t>
  </si>
  <si>
    <t>L'Amant double</t>
  </si>
  <si>
    <t>Chlo‚àö¬©,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</si>
  <si>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</si>
  <si>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</si>
  <si>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cin‚àö¬©ma</t>
  </si>
  <si>
    <t>Belgium, France</t>
  </si>
  <si>
    <t>Fran‚àö√üais</t>
  </si>
  <si>
    <t>Antoine de La Morinerie, Pascal Aubert, Beno‚àö√Üt Giros, Clemence Trocque, Jacqueline Bisset, Marine Vacth, Dominique Reymond, Fanny Sage, Keisley Gauthier, Myriam Boyer, Guillaume Le Pape, Jean-‚àö√¢douard Bodziak, Jean-Paul Muel, J‚àö¬©r‚àö¬©mie Renier, Tchaz Gauthier</t>
  </si>
  <si>
    <t>Fran‚àö√üois Ozon</t>
  </si>
  <si>
    <t>Manuel Dacosse</t>
  </si>
  <si>
    <t>Philippe Piazzo, Joyce Carol Oates, Fran‚àö√üois Ozon</t>
  </si>
  <si>
    <t>Eric Altmayer, Nicolas Altmayer</t>
  </si>
  <si>
    <t>Philippe Rombi</t>
  </si>
  <si>
    <t>/3LLav27QcAtZYYIdClmz2MhYsum.jpg</t>
  </si>
  <si>
    <t>double lover</t>
  </si>
  <si>
    <t>blank (35), cannes film festival (1), french speaking region (1), karlovy vary international film festival (1), golden apricot international film festival (1), jerusalem film festival (1), odessa international film festival (1), new horizons film festival (1), norwegian international film festival (1), bfi london film festival (1), hamburg film festival (1), busan international film festival (1), stockholm international film festival (1), bratislava international film festival (1), santa barbara international film festival (1), limited (2), german speaking region (1), belgrade film festival (1), internet (1), blu-ray release (2), dvd premiere (3), festival du film fran√ßais au japon (1), vukovar film festival (1)</t>
  </si>
  <si>
    <t>Wonder Woman</t>
  </si>
  <si>
    <t>tt0451279</t>
  </si>
  <si>
    <t>An Amazon princess comes to the world of Man in the grips of the First World War to confront the forces of evil and bring an end to human conflict.</t>
  </si>
  <si>
    <t>Power. Grace. Wisdom. Wonder.</t>
  </si>
  <si>
    <t>Action, Adventure, Fantasy</t>
  </si>
  <si>
    <t>atlas entertainment, cruel &amp; unusual films, dc films</t>
  </si>
  <si>
    <t>Deutsch, English</t>
  </si>
  <si>
    <t>Tim Pritchett, Sa‚àö√òd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</si>
  <si>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</si>
  <si>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Matthew Jensen</t>
  </si>
  <si>
    <t>William Moulton Marston, Allan Heinberg, Jason Fuchs, Zack Snyder</t>
  </si>
  <si>
    <t>Richard Suckle, Wesley Coller, Stephen Jones, Zack Snyder, Charles Roven, Rebecca Steel Roven, Geoff Johns, Deborah Snyder, Jon Berg, Steven Mnuchin</t>
  </si>
  <si>
    <t>Rupert Gregson-Williams</t>
  </si>
  <si>
    <t>/v4ncgZjG2Zu8ZW5al1vIZTsSjqX.jpg</t>
  </si>
  <si>
    <t>wonder woman</t>
  </si>
  <si>
    <t>shanghai (1), premiere (2), los angeles, california (1), blank (65), colombo (1), french speaking region (1), german speaking region (1), palm springs international film festival (1), re-release (2), blu-ray release (1)</t>
  </si>
  <si>
    <t>Captain Underpants: The First Epic Movie</t>
  </si>
  <si>
    <t>tt2091256</t>
  </si>
  <si>
    <t>Based on the bestselling book series, this outrageous comedy tells the story of George and Harold,  two overly imaginative pranksters who hypnotize their principal into thinking he‚Äö√Ñ√¥s an enthusiastic, yet dimwitted, superhero named Captain Underpants.</t>
  </si>
  <si>
    <t>50% hero. 100% cotton.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</si>
  <si>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</si>
  <si>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</si>
  <si>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David Soren</t>
  </si>
  <si>
    <t>Nicholas Stoller, Dav Pilkey, Hamish Grieve</t>
  </si>
  <si>
    <t>Chris Finnegan, Mark Swift, Rob Letterman, Dav Pilkey, Mireille Soria</t>
  </si>
  <si>
    <t>Theodore Shapiro</t>
  </si>
  <si>
    <t>/vKSmaPct5OEeMoD8ue30RisHlKD.jpg</t>
  </si>
  <si>
    <t>captain underpants: the first epic movie</t>
  </si>
  <si>
    <t>blank (35), seattle international film festival (1), blu-ray release (1), blu-ray premiere (1), dvd premiere (4), dvd and blu-ray premiere (2), tv premiere (1), internet (1), tv release (1)</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</si>
  <si>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</si>
  <si>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</si>
  <si>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</si>
  <si>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</si>
  <si>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</si>
  <si>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</si>
  <si>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</si>
  <si>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</si>
  <si>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</si>
  <si>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</si>
  <si>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</si>
  <si>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</si>
  <si>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band aid</t>
  </si>
  <si>
    <t>sundance film festival (1), independent film festival of boston (1), montclair film festival (1), rooftop films summer series (1), seattle international film festival (1), limited (1), internet (3), munich international film festival (1), leiden international film festival (1), dvd premiere (2), stockholm international film festival (1)</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</si>
  <si>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</si>
  <si>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</si>
  <si>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</si>
  <si>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</si>
  <si>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</si>
  <si>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</si>
  <si>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</si>
  <si>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</si>
  <si>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</si>
  <si>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</si>
  <si>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</si>
  <si>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</si>
  <si>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</si>
  <si>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recall</t>
  </si>
  <si>
    <t>blank (7), dvd and blu-ray premiere (4), dvd premiere (1), digital platforms (1), internet (1), tv release (1), blu-ray 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</si>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</sst>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54C16-6B1D-864F-B445-6BE3670D732F}" name="Table1" displayName="Table1" ref="A1:AQ43" totalsRowCount="1">
  <autoFilter ref="A1:AQ42" xr:uid="{D0C54C16-6B1D-864F-B445-6BE3670D732F}">
    <filterColumn colId="41">
      <filters>
        <filter val="no"/>
      </filters>
    </filterColumn>
  </autoFilter>
  <tableColumns count="43">
    <tableColumn id="1" xr3:uid="{D66D8BC0-D249-2741-9DA0-926570B46039}" name="id" totalsRowLabel="Total"/>
    <tableColumn id="2" xr3:uid="{13193F05-D1D7-B94D-BCBC-23F513B5C934}" name="title"/>
    <tableColumn id="3" xr3:uid="{3B8825FF-4B01-1E4B-9C3D-FA4B0253A04E}" name="vote_average"/>
    <tableColumn id="4" xr3:uid="{73B501D1-4050-AE4D-A0C8-F4303B3D02C6}" name="vote_count"/>
    <tableColumn id="5" xr3:uid="{FB077475-BD62-BD4F-8A6D-1BAA8E4E092D}" name="status"/>
    <tableColumn id="6" xr3:uid="{8A84D7A7-744F-6544-A3AC-1F11118406AE}" name="release_date" dataDxfId="0"/>
    <tableColumn id="7" xr3:uid="{160FAC31-67DC-3E46-9B79-98AA125ADD48}" name="revenue"/>
    <tableColumn id="8" xr3:uid="{7C4E4781-59D7-4048-B126-336BA0AE55B2}" name="runtime"/>
    <tableColumn id="9" xr3:uid="{A24109BD-5D2C-3A47-B6B1-B0A147CD5861}" name="budget"/>
    <tableColumn id="10" xr3:uid="{BAB7E0F8-86C3-FF46-88AD-5E1732808315}" name="imdb_id"/>
    <tableColumn id="11" xr3:uid="{3AA57AB6-DCBD-554B-8097-20933E4FE72F}" name="original_language"/>
    <tableColumn id="12" xr3:uid="{A2876212-C720-574C-8CB3-3980DA18C829}" name="original_title"/>
    <tableColumn id="13" xr3:uid="{B9E94633-F894-1C4E-8DE0-5FAB6371EBC6}" name="overview"/>
    <tableColumn id="14" xr3:uid="{F3CBB391-73AF-184B-9E63-3A7DD392C45E}" name="popularity"/>
    <tableColumn id="15" xr3:uid="{F58B79E8-E1B3-A945-B127-1DBC36461DAD}" name="tagline"/>
    <tableColumn id="16" xr3:uid="{1D007FE3-001B-E84D-873F-19E4A422B893}" name="genres"/>
    <tableColumn id="17" xr3:uid="{D1115C4D-B4C6-5A42-BC0E-E8F8F6225C35}" name="production_companies"/>
    <tableColumn id="18" xr3:uid="{FF40D76D-6F95-0C4A-884E-D6194E949E07}" name="production_countries"/>
    <tableColumn id="19" xr3:uid="{A7A8B5D1-3B7F-F842-8794-8C666EE3C33D}" name="spoken_languages"/>
    <tableColumn id="20" xr3:uid="{FC52A498-1DF7-D44C-A468-3704962A2719}" name="cast"/>
    <tableColumn id="21" xr3:uid="{51136997-1013-8149-B8F3-C81C00E390C0}" name="director"/>
    <tableColumn id="22" xr3:uid="{6C36F06F-EF83-4641-A8DE-164AA2B98E27}" name="director_of_photography"/>
    <tableColumn id="23" xr3:uid="{8C5531B5-B8D0-E042-8691-83BCD41B4717}" name="writers"/>
    <tableColumn id="24" xr3:uid="{EB457E27-48FF-F642-898C-A0757ECD1046}" name="producers"/>
    <tableColumn id="25" xr3:uid="{E8462979-303A-8A48-99D3-4C8D155D11D3}" name="music_composer"/>
    <tableColumn id="26" xr3:uid="{26A7F150-716B-D849-ADC6-41CB3200BA71}" name="imdb_rating"/>
    <tableColumn id="27" xr3:uid="{9FC732EE-38EA-D846-A630-AFA153DA0008}" name="imdb_votes"/>
    <tableColumn id="28" xr3:uid="{9332328F-8492-D746-B01B-1B5E82FA9D65}" name="poster_path"/>
    <tableColumn id="29" xr3:uid="{3234E142-0FC8-5041-B07D-2A0DE1677A7D}" name="release_month"/>
    <tableColumn id="30" xr3:uid="{C81B5D8E-2281-4148-9C62-F3887A9AD74D}" name="release_year"/>
    <tableColumn id="31" xr3:uid="{033DB1C2-49F3-FB42-B76D-3344B0749F83}" name="iso_week"/>
    <tableColumn id="32" xr3:uid="{4F4BA21D-A404-E242-B64D-CCE08987CDA4}" name="title_clean"/>
    <tableColumn id="33" xr3:uid="{135D779E-39F0-8944-A733-0A5720B5003E}" name="distance"/>
    <tableColumn id="34" xr3:uid="{1FC50500-DEBE-7642-9E4B-5B1554E3FD6C}" name="strength"/>
    <tableColumn id="35" xr3:uid="{4CF0BAAA-1F18-8F46-BA8C-55B7D53D5264}" name="score" totalsRowFunction="sum"/>
    <tableColumn id="36" xr3:uid="{499DCEA7-0306-9F47-AC20-2AFC24046BDB}" name="marvel_movie"/>
    <tableColumn id="37" xr3:uid="{95EE2152-444C-9342-B1AF-D1E9197CE9A6}" name="attributes"/>
    <tableColumn id="38" xr3:uid="{B00CEFF4-E7FD-C04E-8A50-BAC1257AD330}" name="blank"/>
    <tableColumn id="39" xr3:uid="{3A508E59-1A3A-9542-84D7-9A024F5CF3C8}" name="internet"/>
    <tableColumn id="40" xr3:uid="{96ABA586-6E00-D949-B3A7-CD5D2F85AD3D}" name="total"/>
    <tableColumn id="41" xr3:uid="{C3EE171F-AAD8-F74C-B94A-C950579D126C}" name="internet_ratio"/>
    <tableColumn id="42" xr3:uid="{11619589-0C4B-E54E-AFE0-DD19EF3978B1}" name="internet_dominance"/>
    <tableColumn id="43" xr3:uid="{60D98D1D-5396-AE40-9B7F-0EBAC4DD13F5}"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3340-C0DA-304E-9E0B-812D196EEE65}">
  <dimension ref="A1:AQ43"/>
  <sheetViews>
    <sheetView tabSelected="1" topLeftCell="W5" workbookViewId="0">
      <selection activeCell="AI43" sqref="AI43"/>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418437</v>
      </c>
      <c r="B2" t="s">
        <v>43</v>
      </c>
      <c r="C2">
        <v>5.91</v>
      </c>
      <c r="D2">
        <v>672</v>
      </c>
      <c r="E2" t="s">
        <v>44</v>
      </c>
      <c r="F2" s="1">
        <v>42800</v>
      </c>
      <c r="G2">
        <v>17800000</v>
      </c>
      <c r="H2">
        <v>100</v>
      </c>
      <c r="I2">
        <v>12000000</v>
      </c>
      <c r="J2" t="s">
        <v>45</v>
      </c>
      <c r="K2" t="s">
        <v>46</v>
      </c>
      <c r="L2" t="s">
        <v>43</v>
      </c>
      <c r="M2" t="s">
        <v>47</v>
      </c>
      <c r="N2">
        <v>2.9083000000000001</v>
      </c>
      <c r="O2" t="s">
        <v>48</v>
      </c>
      <c r="P2" t="s">
        <v>49</v>
      </c>
      <c r="Q2" t="s">
        <v>50</v>
      </c>
      <c r="R2" t="s">
        <v>51</v>
      </c>
      <c r="S2" t="s">
        <v>52</v>
      </c>
      <c r="T2" t="s">
        <v>53</v>
      </c>
      <c r="U2" t="s">
        <v>54</v>
      </c>
      <c r="V2" t="s">
        <v>55</v>
      </c>
      <c r="W2" t="s">
        <v>56</v>
      </c>
      <c r="X2" t="s">
        <v>57</v>
      </c>
      <c r="Y2" t="s">
        <v>58</v>
      </c>
      <c r="Z2">
        <v>5.2</v>
      </c>
      <c r="AA2">
        <v>17771</v>
      </c>
      <c r="AB2" t="s">
        <v>59</v>
      </c>
      <c r="AC2">
        <v>3</v>
      </c>
      <c r="AD2">
        <v>2017</v>
      </c>
      <c r="AE2">
        <v>10</v>
      </c>
      <c r="AF2" t="s">
        <v>60</v>
      </c>
      <c r="AG2">
        <v>-44</v>
      </c>
      <c r="AH2">
        <v>16.694709071441999</v>
      </c>
      <c r="AI2">
        <v>0.37099353492093501</v>
      </c>
      <c r="AJ2" t="s">
        <v>61</v>
      </c>
      <c r="AK2" t="s">
        <v>62</v>
      </c>
      <c r="AL2">
        <v>27</v>
      </c>
      <c r="AM2">
        <v>4</v>
      </c>
      <c r="AN2">
        <v>35</v>
      </c>
      <c r="AO2">
        <v>0.11</v>
      </c>
      <c r="AP2" t="s">
        <v>63</v>
      </c>
      <c r="AQ2" t="s">
        <v>63</v>
      </c>
    </row>
    <row r="3" spans="1:43" x14ac:dyDescent="0.2">
      <c r="A3">
        <v>371638</v>
      </c>
      <c r="B3" t="s">
        <v>64</v>
      </c>
      <c r="C3">
        <v>7.1050000000000004</v>
      </c>
      <c r="D3">
        <v>3637</v>
      </c>
      <c r="E3" t="s">
        <v>44</v>
      </c>
      <c r="F3" s="1">
        <v>42806</v>
      </c>
      <c r="G3">
        <v>29820616</v>
      </c>
      <c r="H3">
        <v>104</v>
      </c>
      <c r="I3">
        <v>10000000</v>
      </c>
      <c r="J3" t="s">
        <v>65</v>
      </c>
      <c r="K3" t="s">
        <v>46</v>
      </c>
      <c r="L3" t="s">
        <v>64</v>
      </c>
      <c r="M3" t="s">
        <v>66</v>
      </c>
      <c r="N3">
        <v>1.8888</v>
      </c>
      <c r="O3" t="s">
        <v>67</v>
      </c>
      <c r="P3" t="s">
        <v>68</v>
      </c>
      <c r="Q3" t="s">
        <v>69</v>
      </c>
      <c r="R3" t="s">
        <v>51</v>
      </c>
      <c r="S3" t="s">
        <v>52</v>
      </c>
      <c r="T3" t="s">
        <v>70</v>
      </c>
      <c r="U3" t="s">
        <v>71</v>
      </c>
      <c r="V3" t="s">
        <v>72</v>
      </c>
      <c r="W3" t="s">
        <v>73</v>
      </c>
      <c r="X3" t="s">
        <v>74</v>
      </c>
      <c r="Y3" t="s">
        <v>75</v>
      </c>
      <c r="Z3">
        <v>7.3</v>
      </c>
      <c r="AA3">
        <v>169964</v>
      </c>
      <c r="AB3" t="s">
        <v>76</v>
      </c>
      <c r="AC3">
        <v>3</v>
      </c>
      <c r="AD3">
        <v>2017</v>
      </c>
      <c r="AE3">
        <v>10</v>
      </c>
      <c r="AF3" t="s">
        <v>77</v>
      </c>
      <c r="AG3">
        <v>-38</v>
      </c>
      <c r="AH3">
        <v>17.210710557898299</v>
      </c>
      <c r="AI3">
        <v>0.441300270715342</v>
      </c>
      <c r="AJ3" t="s">
        <v>61</v>
      </c>
      <c r="AK3" t="s">
        <v>78</v>
      </c>
      <c r="AL3">
        <v>35</v>
      </c>
      <c r="AM3">
        <v>0</v>
      </c>
      <c r="AN3">
        <v>68</v>
      </c>
      <c r="AO3">
        <v>0</v>
      </c>
      <c r="AP3" t="s">
        <v>63</v>
      </c>
      <c r="AQ3" t="s">
        <v>63</v>
      </c>
    </row>
    <row r="4" spans="1:43" x14ac:dyDescent="0.2">
      <c r="A4">
        <v>314095</v>
      </c>
      <c r="B4" t="s">
        <v>79</v>
      </c>
      <c r="C4">
        <v>6.4</v>
      </c>
      <c r="D4">
        <v>2991</v>
      </c>
      <c r="E4" t="s">
        <v>44</v>
      </c>
      <c r="F4" s="1">
        <v>42809</v>
      </c>
      <c r="G4">
        <v>8574339</v>
      </c>
      <c r="H4">
        <v>141</v>
      </c>
      <c r="I4">
        <v>30000000</v>
      </c>
      <c r="J4" t="s">
        <v>80</v>
      </c>
      <c r="K4" t="s">
        <v>46</v>
      </c>
      <c r="L4" t="s">
        <v>79</v>
      </c>
      <c r="M4" t="s">
        <v>81</v>
      </c>
      <c r="N4">
        <v>2.2239</v>
      </c>
      <c r="O4" t="s">
        <v>82</v>
      </c>
      <c r="P4" t="s">
        <v>83</v>
      </c>
      <c r="Q4" t="s">
        <v>84</v>
      </c>
      <c r="R4" t="s">
        <v>85</v>
      </c>
      <c r="S4" t="s">
        <v>86</v>
      </c>
      <c r="T4" t="s">
        <v>87</v>
      </c>
      <c r="U4" t="s">
        <v>88</v>
      </c>
      <c r="V4" t="s">
        <v>89</v>
      </c>
      <c r="W4" t="s">
        <v>90</v>
      </c>
      <c r="X4" t="s">
        <v>91</v>
      </c>
      <c r="Y4" t="s">
        <v>92</v>
      </c>
      <c r="Z4">
        <v>6.6</v>
      </c>
      <c r="AA4">
        <v>104536</v>
      </c>
      <c r="AB4" t="s">
        <v>93</v>
      </c>
      <c r="AC4">
        <v>3</v>
      </c>
      <c r="AD4">
        <v>2017</v>
      </c>
      <c r="AE4">
        <v>11</v>
      </c>
      <c r="AF4" t="s">
        <v>94</v>
      </c>
      <c r="AG4">
        <v>-35</v>
      </c>
      <c r="AH4">
        <v>15.964284580124</v>
      </c>
      <c r="AI4">
        <v>0.44345234944789003</v>
      </c>
      <c r="AJ4" t="s">
        <v>61</v>
      </c>
      <c r="AK4" t="s">
        <v>95</v>
      </c>
      <c r="AL4">
        <v>53</v>
      </c>
      <c r="AM4">
        <v>0</v>
      </c>
      <c r="AN4">
        <v>74</v>
      </c>
      <c r="AO4">
        <v>0</v>
      </c>
      <c r="AP4" t="s">
        <v>63</v>
      </c>
      <c r="AQ4" t="s">
        <v>63</v>
      </c>
    </row>
    <row r="5" spans="1:43" x14ac:dyDescent="0.2">
      <c r="A5">
        <v>321612</v>
      </c>
      <c r="B5" t="s">
        <v>96</v>
      </c>
      <c r="C5">
        <v>7</v>
      </c>
      <c r="D5">
        <v>15816</v>
      </c>
      <c r="E5" t="s">
        <v>44</v>
      </c>
      <c r="F5" s="1">
        <v>42810</v>
      </c>
      <c r="G5">
        <v>1266115964</v>
      </c>
      <c r="H5">
        <v>129</v>
      </c>
      <c r="I5">
        <v>160000000</v>
      </c>
      <c r="J5" t="s">
        <v>97</v>
      </c>
      <c r="K5" t="s">
        <v>46</v>
      </c>
      <c r="L5" t="s">
        <v>96</v>
      </c>
      <c r="M5" t="s">
        <v>98</v>
      </c>
      <c r="N5">
        <v>9.5361999999999991</v>
      </c>
      <c r="O5" t="s">
        <v>99</v>
      </c>
      <c r="P5" t="s">
        <v>100</v>
      </c>
      <c r="Q5" t="s">
        <v>101</v>
      </c>
      <c r="R5" t="s">
        <v>51</v>
      </c>
      <c r="S5" t="s">
        <v>102</v>
      </c>
      <c r="T5" t="s">
        <v>103</v>
      </c>
      <c r="U5" t="s">
        <v>104</v>
      </c>
      <c r="V5" t="s">
        <v>105</v>
      </c>
      <c r="W5" t="s">
        <v>106</v>
      </c>
      <c r="X5" t="s">
        <v>107</v>
      </c>
      <c r="Y5" t="s">
        <v>108</v>
      </c>
      <c r="Z5">
        <v>7.1</v>
      </c>
      <c r="AA5">
        <v>353333</v>
      </c>
      <c r="AB5" t="s">
        <v>109</v>
      </c>
      <c r="AC5">
        <v>3</v>
      </c>
      <c r="AD5">
        <v>2017</v>
      </c>
      <c r="AE5">
        <v>11</v>
      </c>
      <c r="AF5" t="s">
        <v>110</v>
      </c>
      <c r="AG5">
        <v>-34</v>
      </c>
      <c r="AH5">
        <v>20.959219755999399</v>
      </c>
      <c r="AI5">
        <v>0.59883485017141302</v>
      </c>
      <c r="AJ5" t="s">
        <v>61</v>
      </c>
      <c r="AK5" t="s">
        <v>111</v>
      </c>
      <c r="AL5">
        <v>66</v>
      </c>
      <c r="AM5">
        <v>0</v>
      </c>
      <c r="AN5">
        <v>72</v>
      </c>
      <c r="AO5">
        <v>0</v>
      </c>
      <c r="AP5" t="s">
        <v>63</v>
      </c>
      <c r="AQ5" t="s">
        <v>63</v>
      </c>
    </row>
    <row r="6" spans="1:43" x14ac:dyDescent="0.2">
      <c r="A6">
        <v>397415</v>
      </c>
      <c r="B6" t="s">
        <v>112</v>
      </c>
      <c r="C6">
        <v>5.5469999999999997</v>
      </c>
      <c r="D6">
        <v>327</v>
      </c>
      <c r="E6" t="s">
        <v>44</v>
      </c>
      <c r="F6" s="1">
        <v>42810</v>
      </c>
      <c r="G6">
        <v>14940116</v>
      </c>
      <c r="H6">
        <v>99</v>
      </c>
      <c r="I6">
        <v>28000000</v>
      </c>
      <c r="J6" t="s">
        <v>113</v>
      </c>
      <c r="K6" t="s">
        <v>46</v>
      </c>
      <c r="L6" t="s">
        <v>112</v>
      </c>
      <c r="M6" t="s">
        <v>114</v>
      </c>
      <c r="N6">
        <v>8.5890000000000004</v>
      </c>
      <c r="O6" t="s">
        <v>115</v>
      </c>
      <c r="P6" t="s">
        <v>116</v>
      </c>
      <c r="Q6" t="s">
        <v>117</v>
      </c>
      <c r="R6" t="s">
        <v>51</v>
      </c>
      <c r="S6" t="s">
        <v>52</v>
      </c>
      <c r="T6" t="s">
        <v>118</v>
      </c>
      <c r="U6" t="s">
        <v>119</v>
      </c>
      <c r="V6" t="s">
        <v>120</v>
      </c>
      <c r="W6" t="s">
        <v>121</v>
      </c>
      <c r="X6" t="s">
        <v>122</v>
      </c>
      <c r="Y6" t="s">
        <v>123</v>
      </c>
      <c r="Z6">
        <v>5.2</v>
      </c>
      <c r="AA6">
        <v>9717</v>
      </c>
      <c r="AB6" t="s">
        <v>124</v>
      </c>
      <c r="AC6">
        <v>3</v>
      </c>
      <c r="AD6">
        <v>2017</v>
      </c>
      <c r="AE6">
        <v>11</v>
      </c>
      <c r="AF6" t="s">
        <v>125</v>
      </c>
      <c r="AG6">
        <v>-34</v>
      </c>
      <c r="AH6">
        <v>16.519560568963499</v>
      </c>
      <c r="AI6">
        <v>0.47198744482753002</v>
      </c>
      <c r="AJ6" t="s">
        <v>61</v>
      </c>
      <c r="AK6" t="s">
        <v>126</v>
      </c>
      <c r="AL6">
        <v>7</v>
      </c>
      <c r="AM6">
        <v>2</v>
      </c>
      <c r="AN6">
        <v>18</v>
      </c>
      <c r="AO6">
        <v>0.11</v>
      </c>
      <c r="AP6" t="s">
        <v>63</v>
      </c>
      <c r="AQ6" t="s">
        <v>63</v>
      </c>
    </row>
    <row r="7" spans="1:43" x14ac:dyDescent="0.2">
      <c r="A7">
        <v>395992</v>
      </c>
      <c r="B7" t="s">
        <v>127</v>
      </c>
      <c r="C7">
        <v>6.4450000000000003</v>
      </c>
      <c r="D7">
        <v>7676</v>
      </c>
      <c r="E7" t="s">
        <v>44</v>
      </c>
      <c r="F7" s="1">
        <v>42816</v>
      </c>
      <c r="G7">
        <v>100541806</v>
      </c>
      <c r="H7">
        <v>104</v>
      </c>
      <c r="I7">
        <v>58000000</v>
      </c>
      <c r="J7" t="s">
        <v>128</v>
      </c>
      <c r="K7" t="s">
        <v>46</v>
      </c>
      <c r="L7" t="s">
        <v>127</v>
      </c>
      <c r="M7" t="s">
        <v>129</v>
      </c>
      <c r="N7">
        <v>6.6189</v>
      </c>
      <c r="O7" t="s">
        <v>130</v>
      </c>
      <c r="P7" t="s">
        <v>131</v>
      </c>
      <c r="Q7" t="s">
        <v>132</v>
      </c>
      <c r="R7" t="s">
        <v>51</v>
      </c>
      <c r="S7" t="s">
        <v>133</v>
      </c>
      <c r="T7" t="s">
        <v>134</v>
      </c>
      <c r="U7" t="s">
        <v>135</v>
      </c>
      <c r="V7" t="s">
        <v>136</v>
      </c>
      <c r="W7" t="s">
        <v>137</v>
      </c>
      <c r="X7" t="s">
        <v>138</v>
      </c>
      <c r="Y7" t="s">
        <v>139</v>
      </c>
      <c r="Z7">
        <v>6.6</v>
      </c>
      <c r="AA7">
        <v>272688</v>
      </c>
      <c r="AB7" t="s">
        <v>140</v>
      </c>
      <c r="AC7">
        <v>3</v>
      </c>
      <c r="AD7">
        <v>2017</v>
      </c>
      <c r="AE7">
        <v>12</v>
      </c>
      <c r="AF7" t="s">
        <v>141</v>
      </c>
      <c r="AG7">
        <v>-28</v>
      </c>
      <c r="AH7">
        <v>18.426084189013199</v>
      </c>
      <c r="AI7">
        <v>0.63538221341425105</v>
      </c>
      <c r="AJ7" t="s">
        <v>61</v>
      </c>
      <c r="AK7" t="s">
        <v>142</v>
      </c>
      <c r="AL7">
        <v>58</v>
      </c>
      <c r="AM7">
        <v>1</v>
      </c>
      <c r="AN7">
        <v>60</v>
      </c>
      <c r="AO7">
        <v>0.02</v>
      </c>
      <c r="AP7" t="s">
        <v>63</v>
      </c>
      <c r="AQ7" t="s">
        <v>63</v>
      </c>
    </row>
    <row r="8" spans="1:43" x14ac:dyDescent="0.2">
      <c r="A8">
        <v>137116</v>
      </c>
      <c r="B8" t="s">
        <v>143</v>
      </c>
      <c r="C8">
        <v>6.3</v>
      </c>
      <c r="D8">
        <v>1512</v>
      </c>
      <c r="E8" t="s">
        <v>44</v>
      </c>
      <c r="F8" s="1">
        <v>42817</v>
      </c>
      <c r="G8">
        <v>197183546</v>
      </c>
      <c r="H8">
        <v>89</v>
      </c>
      <c r="I8">
        <v>60000000</v>
      </c>
      <c r="J8" t="s">
        <v>144</v>
      </c>
      <c r="K8" t="s">
        <v>46</v>
      </c>
      <c r="L8" t="s">
        <v>143</v>
      </c>
      <c r="M8" t="s">
        <v>145</v>
      </c>
      <c r="N8">
        <v>8.6059000000000001</v>
      </c>
      <c r="O8" t="s">
        <v>146</v>
      </c>
      <c r="P8" t="s">
        <v>147</v>
      </c>
      <c r="Q8" t="s">
        <v>148</v>
      </c>
      <c r="R8" t="s">
        <v>149</v>
      </c>
      <c r="S8" t="s">
        <v>52</v>
      </c>
      <c r="T8" t="s">
        <v>150</v>
      </c>
      <c r="U8" t="s">
        <v>151</v>
      </c>
      <c r="W8" t="s">
        <v>152</v>
      </c>
      <c r="X8" t="s">
        <v>153</v>
      </c>
      <c r="Y8" t="s">
        <v>154</v>
      </c>
      <c r="Z8">
        <v>6</v>
      </c>
      <c r="AA8">
        <v>26876</v>
      </c>
      <c r="AB8" t="s">
        <v>155</v>
      </c>
      <c r="AC8">
        <v>3</v>
      </c>
      <c r="AD8">
        <v>2017</v>
      </c>
      <c r="AE8">
        <v>12</v>
      </c>
      <c r="AF8" t="s">
        <v>156</v>
      </c>
      <c r="AG8">
        <v>-27</v>
      </c>
      <c r="AH8">
        <v>19.0996455635891</v>
      </c>
      <c r="AI8">
        <v>0.682130198699614</v>
      </c>
      <c r="AJ8" t="s">
        <v>61</v>
      </c>
      <c r="AK8" t="s">
        <v>157</v>
      </c>
      <c r="AL8">
        <v>56</v>
      </c>
      <c r="AM8">
        <v>2</v>
      </c>
      <c r="AN8">
        <v>59</v>
      </c>
      <c r="AO8">
        <v>0.03</v>
      </c>
      <c r="AP8" t="s">
        <v>63</v>
      </c>
      <c r="AQ8" t="s">
        <v>63</v>
      </c>
    </row>
    <row r="9" spans="1:43" x14ac:dyDescent="0.2">
      <c r="A9">
        <v>295693</v>
      </c>
      <c r="B9" t="s">
        <v>158</v>
      </c>
      <c r="C9">
        <v>6.4569999999999999</v>
      </c>
      <c r="D9">
        <v>7306</v>
      </c>
      <c r="E9" t="s">
        <v>44</v>
      </c>
      <c r="F9" s="1">
        <v>42817</v>
      </c>
      <c r="G9">
        <v>527965936</v>
      </c>
      <c r="H9">
        <v>97</v>
      </c>
      <c r="I9">
        <v>125000000</v>
      </c>
      <c r="J9" t="s">
        <v>159</v>
      </c>
      <c r="K9" t="s">
        <v>46</v>
      </c>
      <c r="L9" t="s">
        <v>158</v>
      </c>
      <c r="M9" t="s">
        <v>160</v>
      </c>
      <c r="N9">
        <v>2.8612000000000002</v>
      </c>
      <c r="O9" t="s">
        <v>161</v>
      </c>
      <c r="P9" t="s">
        <v>162</v>
      </c>
      <c r="Q9" t="s">
        <v>163</v>
      </c>
      <c r="R9" t="s">
        <v>51</v>
      </c>
      <c r="S9" t="s">
        <v>52</v>
      </c>
      <c r="T9" t="s">
        <v>164</v>
      </c>
      <c r="U9" t="s">
        <v>165</v>
      </c>
      <c r="W9" t="s">
        <v>166</v>
      </c>
      <c r="X9" t="s">
        <v>167</v>
      </c>
      <c r="Y9" t="s">
        <v>168</v>
      </c>
      <c r="Z9">
        <v>6.3</v>
      </c>
      <c r="AA9">
        <v>153875</v>
      </c>
      <c r="AB9" t="s">
        <v>169</v>
      </c>
      <c r="AC9">
        <v>3</v>
      </c>
      <c r="AD9">
        <v>2017</v>
      </c>
      <c r="AE9">
        <v>12</v>
      </c>
      <c r="AF9" t="s">
        <v>170</v>
      </c>
      <c r="AG9">
        <v>-27</v>
      </c>
      <c r="AH9">
        <v>20.0845423263318</v>
      </c>
      <c r="AI9">
        <v>0.717305083083281</v>
      </c>
      <c r="AJ9" t="s">
        <v>61</v>
      </c>
      <c r="AK9" t="s">
        <v>171</v>
      </c>
      <c r="AL9">
        <v>61</v>
      </c>
      <c r="AM9">
        <v>1</v>
      </c>
      <c r="AN9">
        <v>63</v>
      </c>
      <c r="AO9">
        <v>0.02</v>
      </c>
      <c r="AP9" t="s">
        <v>63</v>
      </c>
      <c r="AQ9" t="s">
        <v>63</v>
      </c>
    </row>
    <row r="10" spans="1:43" x14ac:dyDescent="0.2">
      <c r="A10">
        <v>305470</v>
      </c>
      <c r="B10" t="s">
        <v>172</v>
      </c>
      <c r="C10">
        <v>6.2560000000000002</v>
      </c>
      <c r="D10">
        <v>4527</v>
      </c>
      <c r="E10" t="s">
        <v>44</v>
      </c>
      <c r="F10" s="1">
        <v>42817</v>
      </c>
      <c r="G10">
        <v>142300000</v>
      </c>
      <c r="H10">
        <v>124</v>
      </c>
      <c r="I10">
        <v>105000000</v>
      </c>
      <c r="J10" t="s">
        <v>173</v>
      </c>
      <c r="K10" t="s">
        <v>46</v>
      </c>
      <c r="L10" t="s">
        <v>172</v>
      </c>
      <c r="M10" t="s">
        <v>174</v>
      </c>
      <c r="N10">
        <v>5.3883999999999999</v>
      </c>
      <c r="O10" t="s">
        <v>175</v>
      </c>
      <c r="P10" t="s">
        <v>176</v>
      </c>
      <c r="Q10" t="s">
        <v>177</v>
      </c>
      <c r="R10" t="s">
        <v>178</v>
      </c>
      <c r="S10" t="s">
        <v>52</v>
      </c>
      <c r="T10" t="s">
        <v>179</v>
      </c>
      <c r="U10" t="s">
        <v>180</v>
      </c>
      <c r="V10" t="s">
        <v>181</v>
      </c>
      <c r="W10" t="s">
        <v>182</v>
      </c>
      <c r="X10" t="s">
        <v>183</v>
      </c>
      <c r="Y10" t="s">
        <v>184</v>
      </c>
      <c r="Z10">
        <v>5.9</v>
      </c>
      <c r="AA10">
        <v>118165</v>
      </c>
      <c r="AB10" t="s">
        <v>185</v>
      </c>
      <c r="AC10">
        <v>3</v>
      </c>
      <c r="AD10">
        <v>2017</v>
      </c>
      <c r="AE10">
        <v>12</v>
      </c>
      <c r="AF10" t="s">
        <v>186</v>
      </c>
      <c r="AG10">
        <v>-27</v>
      </c>
      <c r="AH10">
        <v>18.773448070087401</v>
      </c>
      <c r="AI10">
        <v>0.67048028821741001</v>
      </c>
      <c r="AJ10" t="s">
        <v>61</v>
      </c>
      <c r="AK10" t="s">
        <v>187</v>
      </c>
      <c r="AL10">
        <v>74</v>
      </c>
      <c r="AM10">
        <v>1</v>
      </c>
      <c r="AN10">
        <v>75</v>
      </c>
      <c r="AO10">
        <v>0.01</v>
      </c>
      <c r="AP10" t="s">
        <v>63</v>
      </c>
      <c r="AQ10" t="s">
        <v>63</v>
      </c>
    </row>
    <row r="11" spans="1:43" x14ac:dyDescent="0.2">
      <c r="A11">
        <v>417644</v>
      </c>
      <c r="B11" t="s">
        <v>188</v>
      </c>
      <c r="C11">
        <v>6.1</v>
      </c>
      <c r="D11">
        <v>1339</v>
      </c>
      <c r="E11" t="s">
        <v>44</v>
      </c>
      <c r="F11" s="1">
        <v>42817</v>
      </c>
      <c r="G11">
        <v>26800152</v>
      </c>
      <c r="H11">
        <v>100</v>
      </c>
      <c r="I11">
        <v>25000000</v>
      </c>
      <c r="J11" t="s">
        <v>189</v>
      </c>
      <c r="K11" t="s">
        <v>46</v>
      </c>
      <c r="L11" t="s">
        <v>188</v>
      </c>
      <c r="M11" t="s">
        <v>190</v>
      </c>
      <c r="N11">
        <v>4.8136999999999999</v>
      </c>
      <c r="O11" t="s">
        <v>191</v>
      </c>
      <c r="P11" t="s">
        <v>192</v>
      </c>
      <c r="Q11" t="s">
        <v>193</v>
      </c>
      <c r="R11" t="s">
        <v>51</v>
      </c>
      <c r="S11" t="s">
        <v>194</v>
      </c>
      <c r="T11" t="s">
        <v>195</v>
      </c>
      <c r="U11" t="s">
        <v>196</v>
      </c>
      <c r="V11" t="s">
        <v>197</v>
      </c>
      <c r="W11" t="s">
        <v>198</v>
      </c>
      <c r="X11" t="s">
        <v>199</v>
      </c>
      <c r="Y11" t="s">
        <v>200</v>
      </c>
      <c r="Z11">
        <v>6</v>
      </c>
      <c r="AA11">
        <v>53510</v>
      </c>
      <c r="AB11" t="s">
        <v>201</v>
      </c>
      <c r="AC11">
        <v>3</v>
      </c>
      <c r="AD11">
        <v>2017</v>
      </c>
      <c r="AE11">
        <v>12</v>
      </c>
      <c r="AF11" t="s">
        <v>202</v>
      </c>
      <c r="AG11">
        <v>-27</v>
      </c>
      <c r="AH11">
        <v>17.103918154420001</v>
      </c>
      <c r="AI11">
        <v>0.61085421980071397</v>
      </c>
      <c r="AJ11" t="s">
        <v>61</v>
      </c>
      <c r="AK11" t="s">
        <v>203</v>
      </c>
      <c r="AL11">
        <v>32</v>
      </c>
      <c r="AM11">
        <v>2</v>
      </c>
      <c r="AN11">
        <v>38</v>
      </c>
      <c r="AO11">
        <v>0.05</v>
      </c>
      <c r="AP11" t="s">
        <v>63</v>
      </c>
      <c r="AQ11" t="s">
        <v>63</v>
      </c>
    </row>
    <row r="12" spans="1:43" x14ac:dyDescent="0.2">
      <c r="A12">
        <v>289222</v>
      </c>
      <c r="B12" t="s">
        <v>204</v>
      </c>
      <c r="C12">
        <v>7.33</v>
      </c>
      <c r="D12">
        <v>1529</v>
      </c>
      <c r="E12" t="s">
        <v>44</v>
      </c>
      <c r="F12" s="1">
        <v>42818</v>
      </c>
      <c r="G12">
        <v>26152835</v>
      </c>
      <c r="H12">
        <v>126</v>
      </c>
      <c r="I12">
        <v>20000000</v>
      </c>
      <c r="J12" t="s">
        <v>205</v>
      </c>
      <c r="K12" t="s">
        <v>46</v>
      </c>
      <c r="L12" t="s">
        <v>204</v>
      </c>
      <c r="M12" t="s">
        <v>206</v>
      </c>
      <c r="N12">
        <v>2.6735000000000002</v>
      </c>
      <c r="O12" t="s">
        <v>207</v>
      </c>
      <c r="P12" t="s">
        <v>208</v>
      </c>
      <c r="Q12" t="s">
        <v>209</v>
      </c>
      <c r="R12" t="s">
        <v>210</v>
      </c>
      <c r="S12" t="s">
        <v>52</v>
      </c>
      <c r="T12" t="s">
        <v>211</v>
      </c>
      <c r="U12" t="s">
        <v>212</v>
      </c>
      <c r="V12" t="s">
        <v>213</v>
      </c>
      <c r="W12" t="s">
        <v>214</v>
      </c>
      <c r="X12" t="s">
        <v>215</v>
      </c>
      <c r="Y12" t="s">
        <v>216</v>
      </c>
      <c r="Z12">
        <v>7</v>
      </c>
      <c r="AA12">
        <v>48706</v>
      </c>
      <c r="AB12" t="s">
        <v>217</v>
      </c>
      <c r="AC12">
        <v>3</v>
      </c>
      <c r="AD12">
        <v>2017</v>
      </c>
      <c r="AE12">
        <v>12</v>
      </c>
      <c r="AF12" t="s">
        <v>218</v>
      </c>
      <c r="AG12">
        <v>-26</v>
      </c>
      <c r="AH12">
        <v>17.079468193837599</v>
      </c>
      <c r="AI12">
        <v>0.63257289606806</v>
      </c>
      <c r="AJ12" t="s">
        <v>61</v>
      </c>
      <c r="AK12" t="s">
        <v>219</v>
      </c>
      <c r="AL12">
        <v>39</v>
      </c>
      <c r="AM12">
        <v>3</v>
      </c>
      <c r="AN12">
        <v>57</v>
      </c>
      <c r="AO12">
        <v>0.05</v>
      </c>
      <c r="AP12" t="s">
        <v>63</v>
      </c>
      <c r="AQ12" t="s">
        <v>63</v>
      </c>
    </row>
    <row r="13" spans="1:43" x14ac:dyDescent="0.2">
      <c r="A13">
        <v>433356</v>
      </c>
      <c r="B13" t="s">
        <v>220</v>
      </c>
      <c r="C13">
        <v>6.1</v>
      </c>
      <c r="D13">
        <v>268</v>
      </c>
      <c r="E13" t="s">
        <v>44</v>
      </c>
      <c r="F13" s="1">
        <v>42822</v>
      </c>
      <c r="G13">
        <v>413844</v>
      </c>
      <c r="H13">
        <v>111</v>
      </c>
      <c r="I13">
        <v>40000000</v>
      </c>
      <c r="J13" t="s">
        <v>221</v>
      </c>
      <c r="K13" t="s">
        <v>46</v>
      </c>
      <c r="L13" t="s">
        <v>220</v>
      </c>
      <c r="M13" t="s">
        <v>222</v>
      </c>
      <c r="N13">
        <v>3.1530999999999998</v>
      </c>
      <c r="O13" t="s">
        <v>223</v>
      </c>
      <c r="P13" t="s">
        <v>224</v>
      </c>
      <c r="Q13" t="s">
        <v>225</v>
      </c>
      <c r="R13" t="s">
        <v>226</v>
      </c>
      <c r="S13" t="s">
        <v>227</v>
      </c>
      <c r="T13" t="s">
        <v>228</v>
      </c>
      <c r="U13" t="s">
        <v>229</v>
      </c>
      <c r="V13" t="s">
        <v>230</v>
      </c>
      <c r="W13" t="s">
        <v>231</v>
      </c>
      <c r="X13" t="s">
        <v>232</v>
      </c>
      <c r="Y13" t="s">
        <v>233</v>
      </c>
      <c r="Z13">
        <v>6.4</v>
      </c>
      <c r="AA13">
        <v>27038</v>
      </c>
      <c r="AB13" t="s">
        <v>234</v>
      </c>
      <c r="AC13">
        <v>3</v>
      </c>
      <c r="AD13">
        <v>2017</v>
      </c>
      <c r="AE13">
        <v>13</v>
      </c>
      <c r="AF13" t="s">
        <v>235</v>
      </c>
      <c r="AG13">
        <v>-22</v>
      </c>
      <c r="AH13">
        <v>12.9332467865684</v>
      </c>
      <c r="AI13">
        <v>0.56231507767688904</v>
      </c>
      <c r="AJ13" t="s">
        <v>61</v>
      </c>
      <c r="AK13" t="s">
        <v>236</v>
      </c>
      <c r="AL13">
        <v>2</v>
      </c>
      <c r="AM13">
        <v>2</v>
      </c>
      <c r="AN13">
        <v>9</v>
      </c>
      <c r="AO13">
        <v>0.22</v>
      </c>
      <c r="AP13" t="s">
        <v>63</v>
      </c>
      <c r="AQ13" t="s">
        <v>63</v>
      </c>
    </row>
    <row r="14" spans="1:43" x14ac:dyDescent="0.2">
      <c r="A14">
        <v>315837</v>
      </c>
      <c r="B14" t="s">
        <v>237</v>
      </c>
      <c r="C14">
        <v>6.1</v>
      </c>
      <c r="D14">
        <v>8332</v>
      </c>
      <c r="E14" t="s">
        <v>44</v>
      </c>
      <c r="F14" s="1">
        <v>42823</v>
      </c>
      <c r="G14">
        <v>169801921</v>
      </c>
      <c r="H14">
        <v>107</v>
      </c>
      <c r="I14">
        <v>110000000</v>
      </c>
      <c r="J14" t="s">
        <v>238</v>
      </c>
      <c r="K14" t="s">
        <v>46</v>
      </c>
      <c r="L14" t="s">
        <v>237</v>
      </c>
      <c r="M14" t="s">
        <v>239</v>
      </c>
      <c r="N14">
        <v>7.0122999999999998</v>
      </c>
      <c r="O14" t="s">
        <v>240</v>
      </c>
      <c r="P14" t="s">
        <v>241</v>
      </c>
      <c r="Q14" t="s">
        <v>242</v>
      </c>
      <c r="R14" t="s">
        <v>243</v>
      </c>
      <c r="S14" t="s">
        <v>244</v>
      </c>
      <c r="T14" t="s">
        <v>245</v>
      </c>
      <c r="U14" t="s">
        <v>246</v>
      </c>
      <c r="V14" t="s">
        <v>247</v>
      </c>
      <c r="W14" t="s">
        <v>248</v>
      </c>
      <c r="X14" t="s">
        <v>249</v>
      </c>
      <c r="Y14" t="s">
        <v>250</v>
      </c>
      <c r="Z14">
        <v>6.3</v>
      </c>
      <c r="AA14">
        <v>237159</v>
      </c>
      <c r="AB14" t="s">
        <v>251</v>
      </c>
      <c r="AC14">
        <v>3</v>
      </c>
      <c r="AD14">
        <v>2017</v>
      </c>
      <c r="AE14">
        <v>13</v>
      </c>
      <c r="AF14" t="s">
        <v>252</v>
      </c>
      <c r="AG14">
        <v>-21</v>
      </c>
      <c r="AH14">
        <v>18.950143150976501</v>
      </c>
      <c r="AI14">
        <v>0.86137014322620498</v>
      </c>
      <c r="AJ14" t="s">
        <v>61</v>
      </c>
      <c r="AK14" t="s">
        <v>253</v>
      </c>
      <c r="AL14">
        <v>67</v>
      </c>
      <c r="AM14">
        <v>0</v>
      </c>
      <c r="AN14">
        <v>76</v>
      </c>
      <c r="AO14">
        <v>0</v>
      </c>
      <c r="AP14" t="s">
        <v>63</v>
      </c>
      <c r="AQ14" t="s">
        <v>63</v>
      </c>
    </row>
    <row r="15" spans="1:43" x14ac:dyDescent="0.2">
      <c r="A15">
        <v>416477</v>
      </c>
      <c r="B15" t="s">
        <v>254</v>
      </c>
      <c r="C15">
        <v>7.3</v>
      </c>
      <c r="D15">
        <v>2517</v>
      </c>
      <c r="E15" t="s">
        <v>44</v>
      </c>
      <c r="F15" s="1">
        <v>42824</v>
      </c>
      <c r="G15">
        <v>56303596</v>
      </c>
      <c r="H15">
        <v>120</v>
      </c>
      <c r="I15">
        <v>5000000</v>
      </c>
      <c r="J15" t="s">
        <v>255</v>
      </c>
      <c r="K15" t="s">
        <v>46</v>
      </c>
      <c r="L15" t="s">
        <v>254</v>
      </c>
      <c r="M15" t="s">
        <v>256</v>
      </c>
      <c r="N15">
        <v>5.5292000000000003</v>
      </c>
      <c r="O15" t="s">
        <v>257</v>
      </c>
      <c r="P15" t="s">
        <v>258</v>
      </c>
      <c r="Q15" t="s">
        <v>259</v>
      </c>
      <c r="R15" t="s">
        <v>51</v>
      </c>
      <c r="S15" t="s">
        <v>260</v>
      </c>
      <c r="T15" t="s">
        <v>261</v>
      </c>
      <c r="U15" t="s">
        <v>262</v>
      </c>
      <c r="V15" t="s">
        <v>263</v>
      </c>
      <c r="W15" t="s">
        <v>264</v>
      </c>
      <c r="X15" t="s">
        <v>265</v>
      </c>
      <c r="Y15" t="s">
        <v>266</v>
      </c>
      <c r="Z15">
        <v>7.5</v>
      </c>
      <c r="AA15">
        <v>148644</v>
      </c>
      <c r="AB15" t="s">
        <v>267</v>
      </c>
      <c r="AC15">
        <v>3</v>
      </c>
      <c r="AD15">
        <v>2017</v>
      </c>
      <c r="AE15">
        <v>13</v>
      </c>
      <c r="AF15" t="s">
        <v>268</v>
      </c>
      <c r="AG15">
        <v>-20</v>
      </c>
      <c r="AH15">
        <v>17.8462689809447</v>
      </c>
      <c r="AI15">
        <v>0.84982233242593797</v>
      </c>
      <c r="AJ15" t="s">
        <v>61</v>
      </c>
      <c r="AK15" t="s">
        <v>269</v>
      </c>
      <c r="AL15">
        <v>39</v>
      </c>
      <c r="AM15">
        <v>1</v>
      </c>
      <c r="AN15">
        <v>65</v>
      </c>
      <c r="AO15">
        <v>0.02</v>
      </c>
      <c r="AP15" t="s">
        <v>63</v>
      </c>
      <c r="AQ15" t="s">
        <v>63</v>
      </c>
    </row>
    <row r="16" spans="1:43" x14ac:dyDescent="0.2">
      <c r="A16">
        <v>334521</v>
      </c>
      <c r="B16" t="s">
        <v>270</v>
      </c>
      <c r="C16">
        <v>6.3</v>
      </c>
      <c r="D16">
        <v>1174</v>
      </c>
      <c r="E16" t="s">
        <v>44</v>
      </c>
      <c r="F16" s="1">
        <v>42825</v>
      </c>
      <c r="G16">
        <v>3719383</v>
      </c>
      <c r="H16">
        <v>90</v>
      </c>
      <c r="I16">
        <v>7000000</v>
      </c>
      <c r="J16" t="s">
        <v>271</v>
      </c>
      <c r="K16" t="s">
        <v>46</v>
      </c>
      <c r="L16" t="s">
        <v>270</v>
      </c>
      <c r="M16" t="s">
        <v>272</v>
      </c>
      <c r="N16">
        <v>1.4560999999999999</v>
      </c>
      <c r="O16" t="s">
        <v>273</v>
      </c>
      <c r="P16" t="s">
        <v>274</v>
      </c>
      <c r="Q16" t="s">
        <v>275</v>
      </c>
      <c r="R16" t="s">
        <v>276</v>
      </c>
      <c r="S16" t="s">
        <v>52</v>
      </c>
      <c r="T16" t="s">
        <v>277</v>
      </c>
      <c r="U16" t="s">
        <v>278</v>
      </c>
      <c r="V16" t="s">
        <v>279</v>
      </c>
      <c r="W16" t="s">
        <v>280</v>
      </c>
      <c r="X16" t="s">
        <v>281</v>
      </c>
      <c r="Y16" t="s">
        <v>282</v>
      </c>
      <c r="Z16">
        <v>6.3</v>
      </c>
      <c r="AA16">
        <v>52788</v>
      </c>
      <c r="AB16" t="s">
        <v>283</v>
      </c>
      <c r="AC16">
        <v>3</v>
      </c>
      <c r="AD16">
        <v>2017</v>
      </c>
      <c r="AE16">
        <v>13</v>
      </c>
      <c r="AF16" t="s">
        <v>284</v>
      </c>
      <c r="AG16">
        <v>-19</v>
      </c>
      <c r="AH16">
        <v>15.1290686211397</v>
      </c>
      <c r="AI16">
        <v>0.75645343105698504</v>
      </c>
      <c r="AJ16" t="s">
        <v>61</v>
      </c>
      <c r="AK16" t="s">
        <v>285</v>
      </c>
      <c r="AL16">
        <v>26</v>
      </c>
      <c r="AM16">
        <v>1</v>
      </c>
      <c r="AN16">
        <v>48</v>
      </c>
      <c r="AO16">
        <v>0.02</v>
      </c>
      <c r="AP16" t="s">
        <v>63</v>
      </c>
      <c r="AQ16" t="s">
        <v>63</v>
      </c>
    </row>
    <row r="17" spans="1:43" x14ac:dyDescent="0.2">
      <c r="A17">
        <v>339967</v>
      </c>
      <c r="B17" t="s">
        <v>286</v>
      </c>
      <c r="C17">
        <v>6.3</v>
      </c>
      <c r="D17">
        <v>2178</v>
      </c>
      <c r="E17" t="s">
        <v>44</v>
      </c>
      <c r="F17" s="1">
        <v>42831</v>
      </c>
      <c r="G17">
        <v>3029287</v>
      </c>
      <c r="H17">
        <v>109</v>
      </c>
      <c r="I17">
        <v>15000000</v>
      </c>
      <c r="J17" t="s">
        <v>287</v>
      </c>
      <c r="K17" t="s">
        <v>46</v>
      </c>
      <c r="L17" t="s">
        <v>286</v>
      </c>
      <c r="M17" t="s">
        <v>288</v>
      </c>
      <c r="N17">
        <v>2.0190999999999999</v>
      </c>
      <c r="O17" t="s">
        <v>289</v>
      </c>
      <c r="P17" t="s">
        <v>290</v>
      </c>
      <c r="Q17" t="s">
        <v>291</v>
      </c>
      <c r="R17" t="s">
        <v>292</v>
      </c>
      <c r="S17" t="s">
        <v>293</v>
      </c>
      <c r="T17" t="s">
        <v>294</v>
      </c>
      <c r="U17" t="s">
        <v>295</v>
      </c>
      <c r="V17" t="s">
        <v>296</v>
      </c>
      <c r="W17" t="s">
        <v>295</v>
      </c>
      <c r="X17" t="s">
        <v>297</v>
      </c>
      <c r="Y17" t="s">
        <v>298</v>
      </c>
      <c r="Z17">
        <v>6.2</v>
      </c>
      <c r="AA17">
        <v>72744</v>
      </c>
      <c r="AB17" t="s">
        <v>299</v>
      </c>
      <c r="AC17">
        <v>4</v>
      </c>
      <c r="AD17">
        <v>2017</v>
      </c>
      <c r="AE17">
        <v>14</v>
      </c>
      <c r="AF17" t="s">
        <v>300</v>
      </c>
      <c r="AG17">
        <v>-13</v>
      </c>
      <c r="AH17">
        <v>14.9238381663742</v>
      </c>
      <c r="AI17">
        <v>1.0659884404552999</v>
      </c>
      <c r="AJ17" t="s">
        <v>61</v>
      </c>
      <c r="AK17" t="s">
        <v>301</v>
      </c>
      <c r="AL17">
        <v>33</v>
      </c>
      <c r="AM17">
        <v>2</v>
      </c>
      <c r="AN17">
        <v>59</v>
      </c>
      <c r="AO17">
        <v>0.03</v>
      </c>
      <c r="AP17" t="s">
        <v>63</v>
      </c>
      <c r="AQ17" t="s">
        <v>63</v>
      </c>
    </row>
    <row r="18" spans="1:43" x14ac:dyDescent="0.2">
      <c r="A18">
        <v>353070</v>
      </c>
      <c r="B18" t="s">
        <v>302</v>
      </c>
      <c r="C18">
        <v>6.6950000000000003</v>
      </c>
      <c r="D18">
        <v>2901</v>
      </c>
      <c r="E18" t="s">
        <v>44</v>
      </c>
      <c r="F18" s="1">
        <v>42831</v>
      </c>
      <c r="G18">
        <v>84618541</v>
      </c>
      <c r="H18">
        <v>96</v>
      </c>
      <c r="I18">
        <v>25000000</v>
      </c>
      <c r="J18" t="s">
        <v>303</v>
      </c>
      <c r="K18" t="s">
        <v>46</v>
      </c>
      <c r="L18" t="s">
        <v>302</v>
      </c>
      <c r="M18" t="s">
        <v>304</v>
      </c>
      <c r="N18">
        <v>3.9091999999999998</v>
      </c>
      <c r="O18" t="s">
        <v>305</v>
      </c>
      <c r="P18" t="s">
        <v>306</v>
      </c>
      <c r="Q18" t="s">
        <v>307</v>
      </c>
      <c r="R18" t="s">
        <v>51</v>
      </c>
      <c r="S18" t="s">
        <v>52</v>
      </c>
      <c r="T18" t="s">
        <v>308</v>
      </c>
      <c r="U18" t="s">
        <v>309</v>
      </c>
      <c r="V18" t="s">
        <v>310</v>
      </c>
      <c r="W18" t="s">
        <v>311</v>
      </c>
      <c r="X18" t="s">
        <v>312</v>
      </c>
      <c r="Y18" t="s">
        <v>313</v>
      </c>
      <c r="Z18">
        <v>6.6</v>
      </c>
      <c r="AA18">
        <v>97358</v>
      </c>
      <c r="AB18" t="s">
        <v>314</v>
      </c>
      <c r="AC18">
        <v>4</v>
      </c>
      <c r="AD18">
        <v>2017</v>
      </c>
      <c r="AE18">
        <v>14</v>
      </c>
      <c r="AF18" t="s">
        <v>315</v>
      </c>
      <c r="AG18">
        <v>-13</v>
      </c>
      <c r="AH18">
        <v>18.253663973138401</v>
      </c>
      <c r="AI18">
        <v>1.30383314093846</v>
      </c>
      <c r="AJ18" t="s">
        <v>61</v>
      </c>
      <c r="AK18" t="s">
        <v>316</v>
      </c>
      <c r="AL18">
        <v>46</v>
      </c>
      <c r="AM18">
        <v>0</v>
      </c>
      <c r="AN18">
        <v>52</v>
      </c>
      <c r="AO18">
        <v>0</v>
      </c>
      <c r="AP18" t="s">
        <v>63</v>
      </c>
      <c r="AQ18" t="s">
        <v>63</v>
      </c>
    </row>
    <row r="19" spans="1:43" x14ac:dyDescent="0.2">
      <c r="A19">
        <v>440642</v>
      </c>
      <c r="B19" t="s">
        <v>317</v>
      </c>
      <c r="C19">
        <v>7</v>
      </c>
      <c r="D19">
        <v>332</v>
      </c>
      <c r="E19" t="s">
        <v>44</v>
      </c>
      <c r="F19" s="1">
        <v>42831</v>
      </c>
      <c r="G19">
        <v>9868942</v>
      </c>
      <c r="H19">
        <v>140</v>
      </c>
      <c r="I19">
        <v>7075038</v>
      </c>
      <c r="J19" t="s">
        <v>318</v>
      </c>
      <c r="K19" t="s">
        <v>319</v>
      </c>
      <c r="L19" t="s">
        <v>320</v>
      </c>
      <c r="M19" t="s">
        <v>321</v>
      </c>
      <c r="N19">
        <v>2.8107000000000002</v>
      </c>
      <c r="O19" t="s">
        <v>322</v>
      </c>
      <c r="P19" t="s">
        <v>323</v>
      </c>
      <c r="Q19" t="s">
        <v>324</v>
      </c>
      <c r="R19" t="s">
        <v>325</v>
      </c>
      <c r="S19" t="s">
        <v>326</v>
      </c>
      <c r="T19" t="s">
        <v>327</v>
      </c>
      <c r="U19" t="s">
        <v>328</v>
      </c>
      <c r="V19" t="s">
        <v>329</v>
      </c>
      <c r="W19" t="s">
        <v>330</v>
      </c>
      <c r="X19" t="s">
        <v>331</v>
      </c>
      <c r="Y19" t="s">
        <v>332</v>
      </c>
      <c r="Z19">
        <v>7.2</v>
      </c>
      <c r="AA19">
        <v>8564</v>
      </c>
      <c r="AB19" t="s">
        <v>333</v>
      </c>
      <c r="AC19">
        <v>4</v>
      </c>
      <c r="AD19">
        <v>2017</v>
      </c>
      <c r="AE19">
        <v>14</v>
      </c>
      <c r="AF19" t="s">
        <v>334</v>
      </c>
      <c r="AG19">
        <v>-13</v>
      </c>
      <c r="AH19">
        <v>16.104903313476299</v>
      </c>
      <c r="AI19">
        <v>1.1503502366768701</v>
      </c>
      <c r="AJ19" t="s">
        <v>61</v>
      </c>
      <c r="AK19" t="s">
        <v>335</v>
      </c>
      <c r="AL19">
        <v>14</v>
      </c>
      <c r="AM19">
        <v>2</v>
      </c>
      <c r="AN19">
        <v>26</v>
      </c>
      <c r="AO19">
        <v>0.08</v>
      </c>
      <c r="AP19" t="s">
        <v>63</v>
      </c>
      <c r="AQ19" t="s">
        <v>63</v>
      </c>
    </row>
    <row r="20" spans="1:43" x14ac:dyDescent="0.2">
      <c r="A20">
        <v>337339</v>
      </c>
      <c r="B20" t="s">
        <v>336</v>
      </c>
      <c r="C20">
        <v>6.8609999999999998</v>
      </c>
      <c r="D20">
        <v>10587</v>
      </c>
      <c r="E20" t="s">
        <v>44</v>
      </c>
      <c r="F20" s="1">
        <v>42837</v>
      </c>
      <c r="G20">
        <v>1236000000</v>
      </c>
      <c r="H20">
        <v>136</v>
      </c>
      <c r="I20">
        <v>250000000</v>
      </c>
      <c r="J20" t="s">
        <v>337</v>
      </c>
      <c r="K20" t="s">
        <v>46</v>
      </c>
      <c r="L20" t="s">
        <v>336</v>
      </c>
      <c r="M20" t="s">
        <v>338</v>
      </c>
      <c r="N20">
        <v>7.0404999999999998</v>
      </c>
      <c r="O20" t="s">
        <v>339</v>
      </c>
      <c r="P20" t="s">
        <v>340</v>
      </c>
      <c r="Q20" t="s">
        <v>341</v>
      </c>
      <c r="R20" t="s">
        <v>51</v>
      </c>
      <c r="S20" t="s">
        <v>342</v>
      </c>
      <c r="T20" t="s">
        <v>343</v>
      </c>
      <c r="U20" t="s">
        <v>344</v>
      </c>
      <c r="V20" t="s">
        <v>345</v>
      </c>
      <c r="W20" t="s">
        <v>346</v>
      </c>
      <c r="X20" t="s">
        <v>347</v>
      </c>
      <c r="Y20" t="s">
        <v>184</v>
      </c>
      <c r="Z20">
        <v>6.6</v>
      </c>
      <c r="AA20">
        <v>269366</v>
      </c>
      <c r="AB20" t="s">
        <v>348</v>
      </c>
      <c r="AC20">
        <v>4</v>
      </c>
      <c r="AD20">
        <v>2017</v>
      </c>
      <c r="AE20">
        <v>15</v>
      </c>
      <c r="AF20" t="s">
        <v>349</v>
      </c>
      <c r="AG20">
        <v>-7</v>
      </c>
      <c r="AH20">
        <v>20.9351461967909</v>
      </c>
      <c r="AI20">
        <v>2.61689327459887</v>
      </c>
      <c r="AJ20" t="s">
        <v>61</v>
      </c>
      <c r="AK20" t="s">
        <v>350</v>
      </c>
      <c r="AL20">
        <v>68</v>
      </c>
      <c r="AM20">
        <v>0</v>
      </c>
      <c r="AN20">
        <v>73</v>
      </c>
      <c r="AO20">
        <v>0</v>
      </c>
      <c r="AP20" t="s">
        <v>63</v>
      </c>
      <c r="AQ20" t="s">
        <v>63</v>
      </c>
    </row>
    <row r="21" spans="1:43" x14ac:dyDescent="0.2">
      <c r="A21">
        <v>452416</v>
      </c>
      <c r="B21" t="s">
        <v>351</v>
      </c>
      <c r="C21">
        <v>5.3</v>
      </c>
      <c r="D21">
        <v>10</v>
      </c>
      <c r="E21" t="s">
        <v>44</v>
      </c>
      <c r="F21" s="1">
        <v>42837</v>
      </c>
      <c r="G21">
        <v>1400000</v>
      </c>
      <c r="H21">
        <v>147</v>
      </c>
      <c r="I21">
        <v>930000</v>
      </c>
      <c r="J21" t="s">
        <v>352</v>
      </c>
      <c r="K21" t="s">
        <v>353</v>
      </c>
      <c r="L21" t="s">
        <v>354</v>
      </c>
      <c r="M21" t="s">
        <v>355</v>
      </c>
      <c r="N21">
        <v>1.278</v>
      </c>
      <c r="O21" t="s">
        <v>356</v>
      </c>
      <c r="P21" t="s">
        <v>340</v>
      </c>
      <c r="Q21" t="s">
        <v>357</v>
      </c>
      <c r="R21" t="s">
        <v>358</v>
      </c>
      <c r="S21" t="s">
        <v>359</v>
      </c>
      <c r="T21" t="s">
        <v>360</v>
      </c>
      <c r="U21" t="s">
        <v>361</v>
      </c>
      <c r="V21" t="s">
        <v>362</v>
      </c>
      <c r="W21" t="s">
        <v>363</v>
      </c>
      <c r="X21" t="s">
        <v>364</v>
      </c>
      <c r="Y21" t="s">
        <v>365</v>
      </c>
      <c r="Z21">
        <v>5.4</v>
      </c>
      <c r="AA21">
        <v>1625</v>
      </c>
      <c r="AB21" t="s">
        <v>366</v>
      </c>
      <c r="AC21">
        <v>4</v>
      </c>
      <c r="AD21">
        <v>2017</v>
      </c>
      <c r="AE21">
        <v>15</v>
      </c>
      <c r="AF21" t="s">
        <v>367</v>
      </c>
      <c r="AG21">
        <v>-7</v>
      </c>
      <c r="AH21">
        <v>14.151983508870901</v>
      </c>
      <c r="AI21">
        <v>1.7689979386088599</v>
      </c>
      <c r="AJ21" t="s">
        <v>61</v>
      </c>
      <c r="AK21" t="s">
        <v>368</v>
      </c>
      <c r="AL21">
        <v>3</v>
      </c>
      <c r="AM21">
        <v>0</v>
      </c>
      <c r="AN21">
        <v>3</v>
      </c>
      <c r="AO21">
        <v>0</v>
      </c>
      <c r="AP21" t="s">
        <v>63</v>
      </c>
      <c r="AQ21" t="s">
        <v>63</v>
      </c>
    </row>
    <row r="22" spans="1:43" x14ac:dyDescent="0.2">
      <c r="A22">
        <v>443319</v>
      </c>
      <c r="B22" t="s">
        <v>369</v>
      </c>
      <c r="C22">
        <v>6</v>
      </c>
      <c r="D22">
        <v>302</v>
      </c>
      <c r="E22" t="s">
        <v>44</v>
      </c>
      <c r="F22" s="1">
        <v>42846</v>
      </c>
      <c r="G22">
        <v>3600000</v>
      </c>
      <c r="H22">
        <v>87</v>
      </c>
      <c r="I22">
        <v>2800000</v>
      </c>
      <c r="J22" t="s">
        <v>370</v>
      </c>
      <c r="K22" t="s">
        <v>46</v>
      </c>
      <c r="L22" t="s">
        <v>369</v>
      </c>
      <c r="M22" t="s">
        <v>371</v>
      </c>
      <c r="N22">
        <v>1.798</v>
      </c>
      <c r="O22" t="s">
        <v>372</v>
      </c>
      <c r="P22" t="s">
        <v>373</v>
      </c>
      <c r="Q22" t="s">
        <v>374</v>
      </c>
      <c r="R22" t="s">
        <v>85</v>
      </c>
      <c r="S22" t="s">
        <v>52</v>
      </c>
      <c r="T22" t="s">
        <v>375</v>
      </c>
      <c r="U22" t="s">
        <v>376</v>
      </c>
      <c r="V22" t="s">
        <v>377</v>
      </c>
      <c r="W22" t="s">
        <v>378</v>
      </c>
      <c r="X22" t="s">
        <v>379</v>
      </c>
      <c r="Y22" t="s">
        <v>380</v>
      </c>
      <c r="Z22">
        <v>5.4</v>
      </c>
      <c r="AA22">
        <v>7584</v>
      </c>
      <c r="AB22" t="s">
        <v>381</v>
      </c>
      <c r="AC22">
        <v>4</v>
      </c>
      <c r="AD22">
        <v>2017</v>
      </c>
      <c r="AE22">
        <v>16</v>
      </c>
      <c r="AF22" t="s">
        <v>382</v>
      </c>
      <c r="AG22">
        <v>2</v>
      </c>
      <c r="AH22">
        <v>15.096444681204</v>
      </c>
      <c r="AI22">
        <v>5.0321482270680198</v>
      </c>
      <c r="AJ22" t="s">
        <v>61</v>
      </c>
      <c r="AK22" t="s">
        <v>383</v>
      </c>
      <c r="AL22">
        <v>4</v>
      </c>
      <c r="AM22">
        <v>0</v>
      </c>
      <c r="AN22">
        <v>6</v>
      </c>
      <c r="AO22">
        <v>0</v>
      </c>
      <c r="AP22" t="s">
        <v>63</v>
      </c>
      <c r="AQ22" t="s">
        <v>63</v>
      </c>
    </row>
    <row r="23" spans="1:43" x14ac:dyDescent="0.2">
      <c r="A23">
        <v>428449</v>
      </c>
      <c r="B23" t="s">
        <v>384</v>
      </c>
      <c r="C23">
        <v>7.1</v>
      </c>
      <c r="D23">
        <v>2408</v>
      </c>
      <c r="E23" t="s">
        <v>44</v>
      </c>
      <c r="F23" s="1">
        <v>42849</v>
      </c>
      <c r="G23">
        <v>1929659</v>
      </c>
      <c r="H23">
        <v>93</v>
      </c>
      <c r="I23">
        <v>100000</v>
      </c>
      <c r="J23" t="s">
        <v>385</v>
      </c>
      <c r="K23" t="s">
        <v>46</v>
      </c>
      <c r="L23" t="s">
        <v>384</v>
      </c>
      <c r="M23" t="s">
        <v>386</v>
      </c>
      <c r="N23">
        <v>3.8523000000000001</v>
      </c>
      <c r="O23" t="s">
        <v>387</v>
      </c>
      <c r="P23" t="s">
        <v>388</v>
      </c>
      <c r="Q23" t="s">
        <v>389</v>
      </c>
      <c r="R23" t="s">
        <v>51</v>
      </c>
      <c r="S23" t="s">
        <v>52</v>
      </c>
      <c r="T23" t="s">
        <v>390</v>
      </c>
      <c r="U23" t="s">
        <v>391</v>
      </c>
      <c r="V23" t="s">
        <v>392</v>
      </c>
      <c r="W23" t="s">
        <v>391</v>
      </c>
      <c r="X23" t="s">
        <v>393</v>
      </c>
      <c r="Y23" t="s">
        <v>394</v>
      </c>
      <c r="Z23">
        <v>6.8</v>
      </c>
      <c r="AA23">
        <v>85227</v>
      </c>
      <c r="AB23" t="s">
        <v>395</v>
      </c>
      <c r="AC23">
        <v>4</v>
      </c>
      <c r="AD23">
        <v>2017</v>
      </c>
      <c r="AE23">
        <v>17</v>
      </c>
      <c r="AF23" t="s">
        <v>396</v>
      </c>
      <c r="AG23">
        <v>5</v>
      </c>
      <c r="AH23">
        <v>14.4728543795589</v>
      </c>
      <c r="AI23">
        <v>2.4121423965931501</v>
      </c>
      <c r="AJ23" t="s">
        <v>61</v>
      </c>
      <c r="AK23" t="s">
        <v>397</v>
      </c>
      <c r="AL23">
        <v>16</v>
      </c>
      <c r="AM23">
        <v>1</v>
      </c>
      <c r="AN23">
        <v>56</v>
      </c>
      <c r="AO23">
        <v>0.02</v>
      </c>
      <c r="AP23" t="s">
        <v>63</v>
      </c>
      <c r="AQ23" t="s">
        <v>63</v>
      </c>
    </row>
    <row r="24" spans="1:43" x14ac:dyDescent="0.2">
      <c r="A24">
        <v>339988</v>
      </c>
      <c r="B24" t="s">
        <v>398</v>
      </c>
      <c r="C24">
        <v>5.5</v>
      </c>
      <c r="D24">
        <v>4506</v>
      </c>
      <c r="E24" t="s">
        <v>44</v>
      </c>
      <c r="F24" s="1">
        <v>42852</v>
      </c>
      <c r="G24">
        <v>40651864</v>
      </c>
      <c r="H24">
        <v>110</v>
      </c>
      <c r="I24">
        <v>18000000</v>
      </c>
      <c r="J24" t="s">
        <v>399</v>
      </c>
      <c r="K24" t="s">
        <v>46</v>
      </c>
      <c r="L24" t="s">
        <v>398</v>
      </c>
      <c r="M24" t="s">
        <v>400</v>
      </c>
      <c r="N24">
        <v>5.1243999999999996</v>
      </c>
      <c r="O24" t="s">
        <v>401</v>
      </c>
      <c r="P24" t="s">
        <v>402</v>
      </c>
      <c r="Q24" t="s">
        <v>403</v>
      </c>
      <c r="R24" t="s">
        <v>404</v>
      </c>
      <c r="S24" t="s">
        <v>52</v>
      </c>
      <c r="T24" t="s">
        <v>405</v>
      </c>
      <c r="U24" t="s">
        <v>406</v>
      </c>
      <c r="V24" t="s">
        <v>407</v>
      </c>
      <c r="W24" t="s">
        <v>408</v>
      </c>
      <c r="X24" t="s">
        <v>409</v>
      </c>
      <c r="Y24" t="s">
        <v>410</v>
      </c>
      <c r="Z24">
        <v>5.4</v>
      </c>
      <c r="AA24">
        <v>104376</v>
      </c>
      <c r="AB24" t="s">
        <v>411</v>
      </c>
      <c r="AC24">
        <v>4</v>
      </c>
      <c r="AD24">
        <v>2017</v>
      </c>
      <c r="AE24">
        <v>17</v>
      </c>
      <c r="AF24" t="s">
        <v>412</v>
      </c>
      <c r="AG24">
        <v>8</v>
      </c>
      <c r="AH24">
        <v>17.520555272364401</v>
      </c>
      <c r="AI24">
        <v>1.9467283635960499</v>
      </c>
      <c r="AJ24" t="s">
        <v>61</v>
      </c>
      <c r="AK24" t="s">
        <v>413</v>
      </c>
      <c r="AL24">
        <v>47</v>
      </c>
      <c r="AM24">
        <v>1</v>
      </c>
      <c r="AN24">
        <v>51</v>
      </c>
      <c r="AO24">
        <v>0.02</v>
      </c>
      <c r="AP24" t="s">
        <v>63</v>
      </c>
      <c r="AQ24" t="s">
        <v>63</v>
      </c>
    </row>
    <row r="25" spans="1:43" x14ac:dyDescent="0.2">
      <c r="A25">
        <v>373569</v>
      </c>
      <c r="B25" t="s">
        <v>414</v>
      </c>
      <c r="C25">
        <v>5.4</v>
      </c>
      <c r="D25">
        <v>814</v>
      </c>
      <c r="E25" t="s">
        <v>44</v>
      </c>
      <c r="F25" s="1">
        <v>42858</v>
      </c>
      <c r="G25">
        <v>60800000</v>
      </c>
      <c r="H25">
        <v>90</v>
      </c>
      <c r="I25">
        <v>42000000</v>
      </c>
      <c r="J25" t="s">
        <v>415</v>
      </c>
      <c r="K25" t="s">
        <v>46</v>
      </c>
      <c r="L25" t="s">
        <v>414</v>
      </c>
      <c r="M25" t="s">
        <v>416</v>
      </c>
      <c r="N25">
        <v>2.4171999999999998</v>
      </c>
      <c r="O25" t="s">
        <v>417</v>
      </c>
      <c r="P25" t="s">
        <v>418</v>
      </c>
      <c r="Q25" t="s">
        <v>419</v>
      </c>
      <c r="R25" t="s">
        <v>51</v>
      </c>
      <c r="S25" t="s">
        <v>194</v>
      </c>
      <c r="T25" t="s">
        <v>420</v>
      </c>
      <c r="U25" t="s">
        <v>421</v>
      </c>
      <c r="V25" t="s">
        <v>422</v>
      </c>
      <c r="W25" t="s">
        <v>423</v>
      </c>
      <c r="X25" t="s">
        <v>424</v>
      </c>
      <c r="Y25" t="s">
        <v>425</v>
      </c>
      <c r="Z25">
        <v>4.7</v>
      </c>
      <c r="AA25">
        <v>38950</v>
      </c>
      <c r="AB25" t="s">
        <v>426</v>
      </c>
      <c r="AC25">
        <v>5</v>
      </c>
      <c r="AD25">
        <v>2017</v>
      </c>
      <c r="AE25">
        <v>18</v>
      </c>
      <c r="AF25" t="s">
        <v>427</v>
      </c>
      <c r="AG25">
        <v>14</v>
      </c>
      <c r="AH25">
        <v>17.9231003633837</v>
      </c>
      <c r="AI25">
        <v>1.1948733575589101</v>
      </c>
      <c r="AJ25" t="s">
        <v>61</v>
      </c>
      <c r="AK25" t="s">
        <v>428</v>
      </c>
      <c r="AL25">
        <v>30</v>
      </c>
      <c r="AM25">
        <v>2</v>
      </c>
      <c r="AN25">
        <v>38</v>
      </c>
      <c r="AO25">
        <v>0.05</v>
      </c>
      <c r="AP25" t="s">
        <v>63</v>
      </c>
      <c r="AQ25" t="s">
        <v>63</v>
      </c>
    </row>
    <row r="26" spans="1:43" x14ac:dyDescent="0.2">
      <c r="A26">
        <v>455714</v>
      </c>
      <c r="B26" t="s">
        <v>429</v>
      </c>
      <c r="C26">
        <v>7.9</v>
      </c>
      <c r="D26">
        <v>813</v>
      </c>
      <c r="E26" t="s">
        <v>44</v>
      </c>
      <c r="F26" s="1">
        <v>42858</v>
      </c>
      <c r="G26">
        <v>42350000</v>
      </c>
      <c r="H26">
        <v>130</v>
      </c>
      <c r="I26">
        <v>1839169</v>
      </c>
      <c r="J26" t="s">
        <v>430</v>
      </c>
      <c r="K26" t="s">
        <v>431</v>
      </c>
      <c r="L26" t="s">
        <v>432</v>
      </c>
      <c r="M26" t="s">
        <v>433</v>
      </c>
      <c r="N26">
        <v>4.1616</v>
      </c>
      <c r="O26" t="s">
        <v>434</v>
      </c>
      <c r="P26" t="s">
        <v>435</v>
      </c>
      <c r="Q26" t="s">
        <v>436</v>
      </c>
      <c r="R26" t="s">
        <v>437</v>
      </c>
      <c r="S26" t="s">
        <v>438</v>
      </c>
      <c r="T26" t="s">
        <v>439</v>
      </c>
      <c r="U26" t="s">
        <v>440</v>
      </c>
      <c r="V26" t="s">
        <v>441</v>
      </c>
      <c r="W26" t="s">
        <v>442</v>
      </c>
      <c r="X26" t="s">
        <v>443</v>
      </c>
      <c r="Y26" t="s">
        <v>444</v>
      </c>
      <c r="Z26">
        <v>7.6</v>
      </c>
      <c r="AA26">
        <v>25074</v>
      </c>
      <c r="AB26" t="s">
        <v>445</v>
      </c>
      <c r="AC26">
        <v>5</v>
      </c>
      <c r="AD26">
        <v>2017</v>
      </c>
      <c r="AE26">
        <v>18</v>
      </c>
      <c r="AF26" t="s">
        <v>446</v>
      </c>
      <c r="AG26">
        <v>14</v>
      </c>
      <c r="AH26">
        <v>17.561479002675</v>
      </c>
      <c r="AI26">
        <v>1.1707652668449999</v>
      </c>
      <c r="AJ26" t="s">
        <v>61</v>
      </c>
      <c r="AK26" t="s">
        <v>447</v>
      </c>
      <c r="AL26">
        <v>19</v>
      </c>
      <c r="AM26">
        <v>1</v>
      </c>
      <c r="AN26">
        <v>45</v>
      </c>
      <c r="AO26">
        <v>0.02</v>
      </c>
      <c r="AP26" t="s">
        <v>63</v>
      </c>
      <c r="AQ26" t="s">
        <v>63</v>
      </c>
    </row>
    <row r="27" spans="1:43" x14ac:dyDescent="0.2">
      <c r="A27">
        <v>439601</v>
      </c>
      <c r="B27" t="s">
        <v>448</v>
      </c>
      <c r="C27">
        <v>6</v>
      </c>
      <c r="D27">
        <v>32</v>
      </c>
      <c r="E27" t="s">
        <v>44</v>
      </c>
      <c r="F27" s="1">
        <v>42860</v>
      </c>
      <c r="G27">
        <v>3900000</v>
      </c>
      <c r="H27">
        <v>134</v>
      </c>
      <c r="I27">
        <v>1400000</v>
      </c>
      <c r="J27" t="s">
        <v>449</v>
      </c>
      <c r="K27" t="s">
        <v>353</v>
      </c>
      <c r="L27" t="s">
        <v>448</v>
      </c>
      <c r="M27" t="s">
        <v>450</v>
      </c>
      <c r="N27">
        <v>0.14080000000000001</v>
      </c>
      <c r="O27" t="s">
        <v>451</v>
      </c>
      <c r="P27" t="s">
        <v>452</v>
      </c>
      <c r="Q27" t="s">
        <v>453</v>
      </c>
      <c r="R27" t="s">
        <v>358</v>
      </c>
      <c r="S27" t="s">
        <v>454</v>
      </c>
      <c r="T27" t="s">
        <v>455</v>
      </c>
      <c r="U27" t="s">
        <v>456</v>
      </c>
      <c r="V27" t="s">
        <v>457</v>
      </c>
      <c r="W27" t="s">
        <v>458</v>
      </c>
      <c r="X27" t="s">
        <v>456</v>
      </c>
      <c r="Y27" t="s">
        <v>459</v>
      </c>
      <c r="Z27">
        <v>6.4</v>
      </c>
      <c r="AA27">
        <v>3723</v>
      </c>
      <c r="AB27" t="s">
        <v>460</v>
      </c>
      <c r="AC27">
        <v>5</v>
      </c>
      <c r="AD27">
        <v>2017</v>
      </c>
      <c r="AE27">
        <v>18</v>
      </c>
      <c r="AF27" t="s">
        <v>461</v>
      </c>
      <c r="AG27">
        <v>16</v>
      </c>
      <c r="AH27">
        <v>15.1764873675101</v>
      </c>
      <c r="AI27">
        <v>0.89273455103000499</v>
      </c>
      <c r="AJ27" t="s">
        <v>61</v>
      </c>
      <c r="AK27" t="s">
        <v>462</v>
      </c>
      <c r="AL27">
        <v>26</v>
      </c>
      <c r="AM27">
        <v>1</v>
      </c>
      <c r="AN27">
        <v>27</v>
      </c>
      <c r="AO27">
        <v>0.04</v>
      </c>
      <c r="AP27" t="s">
        <v>63</v>
      </c>
      <c r="AQ27" t="s">
        <v>63</v>
      </c>
    </row>
    <row r="28" spans="1:43" x14ac:dyDescent="0.2">
      <c r="A28">
        <v>126889</v>
      </c>
      <c r="B28" t="s">
        <v>463</v>
      </c>
      <c r="C28">
        <v>6.2</v>
      </c>
      <c r="D28">
        <v>9109</v>
      </c>
      <c r="E28" t="s">
        <v>44</v>
      </c>
      <c r="F28" s="1">
        <v>42864</v>
      </c>
      <c r="G28">
        <v>240891763</v>
      </c>
      <c r="H28">
        <v>122</v>
      </c>
      <c r="I28">
        <v>97000000</v>
      </c>
      <c r="J28" t="s">
        <v>464</v>
      </c>
      <c r="K28" t="s">
        <v>46</v>
      </c>
      <c r="L28" t="s">
        <v>463</v>
      </c>
      <c r="M28" t="s">
        <v>465</v>
      </c>
      <c r="N28">
        <v>6.8788999999999998</v>
      </c>
      <c r="O28" t="s">
        <v>466</v>
      </c>
      <c r="P28" t="s">
        <v>467</v>
      </c>
      <c r="Q28" t="s">
        <v>468</v>
      </c>
      <c r="R28" t="s">
        <v>51</v>
      </c>
      <c r="S28" t="s">
        <v>469</v>
      </c>
      <c r="T28" t="s">
        <v>470</v>
      </c>
      <c r="U28" t="s">
        <v>471</v>
      </c>
      <c r="V28" t="s">
        <v>472</v>
      </c>
      <c r="W28" t="s">
        <v>473</v>
      </c>
      <c r="X28" t="s">
        <v>474</v>
      </c>
      <c r="Y28" t="s">
        <v>475</v>
      </c>
      <c r="Z28">
        <v>6.4</v>
      </c>
      <c r="AA28">
        <v>338772</v>
      </c>
      <c r="AB28" t="s">
        <v>476</v>
      </c>
      <c r="AC28">
        <v>5</v>
      </c>
      <c r="AD28">
        <v>2017</v>
      </c>
      <c r="AE28">
        <v>19</v>
      </c>
      <c r="AF28" t="s">
        <v>477</v>
      </c>
      <c r="AG28">
        <v>20</v>
      </c>
      <c r="AH28">
        <v>19.2998582785407</v>
      </c>
      <c r="AI28">
        <v>0.91904087040670002</v>
      </c>
      <c r="AJ28" t="s">
        <v>61</v>
      </c>
      <c r="AK28" t="s">
        <v>478</v>
      </c>
      <c r="AL28">
        <v>61</v>
      </c>
      <c r="AM28">
        <v>1</v>
      </c>
      <c r="AN28">
        <v>70</v>
      </c>
      <c r="AO28">
        <v>0.01</v>
      </c>
      <c r="AP28" t="s">
        <v>63</v>
      </c>
      <c r="AQ28" t="s">
        <v>63</v>
      </c>
    </row>
    <row r="29" spans="1:43" x14ac:dyDescent="0.2">
      <c r="A29">
        <v>274857</v>
      </c>
      <c r="B29" t="s">
        <v>479</v>
      </c>
      <c r="C29">
        <v>6.5469999999999997</v>
      </c>
      <c r="D29">
        <v>5879</v>
      </c>
      <c r="E29" t="s">
        <v>44</v>
      </c>
      <c r="F29" s="1">
        <v>42865</v>
      </c>
      <c r="G29">
        <v>149175066</v>
      </c>
      <c r="H29">
        <v>126</v>
      </c>
      <c r="I29">
        <v>175000000</v>
      </c>
      <c r="J29" t="s">
        <v>480</v>
      </c>
      <c r="K29" t="s">
        <v>46</v>
      </c>
      <c r="L29" t="s">
        <v>479</v>
      </c>
      <c r="M29" t="s">
        <v>481</v>
      </c>
      <c r="N29">
        <v>8.6210000000000004</v>
      </c>
      <c r="O29" t="s">
        <v>482</v>
      </c>
      <c r="P29" t="s">
        <v>483</v>
      </c>
      <c r="Q29" t="s">
        <v>484</v>
      </c>
      <c r="R29" t="s">
        <v>51</v>
      </c>
      <c r="S29" t="s">
        <v>52</v>
      </c>
      <c r="T29" t="s">
        <v>485</v>
      </c>
      <c r="U29" t="s">
        <v>486</v>
      </c>
      <c r="V29" t="s">
        <v>487</v>
      </c>
      <c r="W29" t="s">
        <v>488</v>
      </c>
      <c r="X29" t="s">
        <v>489</v>
      </c>
      <c r="Y29" t="s">
        <v>490</v>
      </c>
      <c r="Z29">
        <v>6.7</v>
      </c>
      <c r="AA29">
        <v>244087</v>
      </c>
      <c r="AB29" t="s">
        <v>491</v>
      </c>
      <c r="AC29">
        <v>5</v>
      </c>
      <c r="AD29">
        <v>2017</v>
      </c>
      <c r="AE29">
        <v>19</v>
      </c>
      <c r="AF29" t="s">
        <v>492</v>
      </c>
      <c r="AG29">
        <v>21</v>
      </c>
      <c r="AH29">
        <v>18.820631120509201</v>
      </c>
      <c r="AI29">
        <v>0.85548323275041904</v>
      </c>
      <c r="AJ29" t="s">
        <v>61</v>
      </c>
      <c r="AK29" t="s">
        <v>493</v>
      </c>
      <c r="AL29">
        <v>60</v>
      </c>
      <c r="AM29">
        <v>2</v>
      </c>
      <c r="AN29">
        <v>68</v>
      </c>
      <c r="AO29">
        <v>0.03</v>
      </c>
      <c r="AP29" t="s">
        <v>63</v>
      </c>
      <c r="AQ29" t="s">
        <v>63</v>
      </c>
    </row>
    <row r="30" spans="1:43" x14ac:dyDescent="0.2">
      <c r="A30">
        <v>430474</v>
      </c>
      <c r="B30" t="s">
        <v>494</v>
      </c>
      <c r="C30">
        <v>5.9720000000000004</v>
      </c>
      <c r="D30">
        <v>145</v>
      </c>
      <c r="E30" t="s">
        <v>44</v>
      </c>
      <c r="F30" s="1">
        <v>42866</v>
      </c>
      <c r="G30">
        <v>10972300</v>
      </c>
      <c r="H30">
        <v>92</v>
      </c>
      <c r="I30">
        <v>6000000</v>
      </c>
      <c r="J30" t="s">
        <v>495</v>
      </c>
      <c r="K30" t="s">
        <v>46</v>
      </c>
      <c r="L30" t="s">
        <v>494</v>
      </c>
      <c r="M30" t="s">
        <v>496</v>
      </c>
      <c r="N30">
        <v>2.6919</v>
      </c>
      <c r="O30" t="s">
        <v>497</v>
      </c>
      <c r="P30" t="s">
        <v>498</v>
      </c>
      <c r="Q30" t="s">
        <v>499</v>
      </c>
      <c r="R30" t="s">
        <v>500</v>
      </c>
      <c r="S30" t="s">
        <v>52</v>
      </c>
      <c r="T30" t="s">
        <v>501</v>
      </c>
      <c r="U30" t="s">
        <v>502</v>
      </c>
      <c r="W30" t="s">
        <v>503</v>
      </c>
      <c r="X30" t="s">
        <v>504</v>
      </c>
      <c r="Y30" t="s">
        <v>505</v>
      </c>
      <c r="Z30">
        <v>4.2</v>
      </c>
      <c r="AA30">
        <v>1706</v>
      </c>
      <c r="AB30" t="s">
        <v>506</v>
      </c>
      <c r="AC30">
        <v>5</v>
      </c>
      <c r="AD30">
        <v>2017</v>
      </c>
      <c r="AE30">
        <v>19</v>
      </c>
      <c r="AF30" t="s">
        <v>507</v>
      </c>
      <c r="AG30">
        <v>22</v>
      </c>
      <c r="AH30">
        <v>16.2108845641303</v>
      </c>
      <c r="AI30">
        <v>0.70482106800566702</v>
      </c>
      <c r="AJ30" t="s">
        <v>61</v>
      </c>
      <c r="AK30" t="s">
        <v>508</v>
      </c>
      <c r="AL30">
        <v>23</v>
      </c>
      <c r="AM30">
        <v>0</v>
      </c>
      <c r="AN30">
        <v>27</v>
      </c>
      <c r="AO30">
        <v>0</v>
      </c>
      <c r="AP30" t="s">
        <v>63</v>
      </c>
      <c r="AQ30" t="s">
        <v>63</v>
      </c>
    </row>
    <row r="31" spans="1:43" hidden="1" x14ac:dyDescent="0.2">
      <c r="A31">
        <v>417489</v>
      </c>
      <c r="B31" t="s">
        <v>509</v>
      </c>
      <c r="C31">
        <v>6.4089999999999998</v>
      </c>
      <c r="D31">
        <v>121</v>
      </c>
      <c r="E31" t="s">
        <v>44</v>
      </c>
      <c r="F31" s="1">
        <v>42867</v>
      </c>
      <c r="G31">
        <v>7007931</v>
      </c>
      <c r="H31">
        <v>126</v>
      </c>
      <c r="I31">
        <v>10000000</v>
      </c>
      <c r="J31" t="s">
        <v>510</v>
      </c>
      <c r="K31" t="s">
        <v>511</v>
      </c>
      <c r="L31" t="s">
        <v>509</v>
      </c>
      <c r="M31" t="s">
        <v>512</v>
      </c>
      <c r="N31">
        <v>1.7861</v>
      </c>
      <c r="O31" t="s">
        <v>513</v>
      </c>
      <c r="P31" t="s">
        <v>514</v>
      </c>
      <c r="Q31" t="s">
        <v>515</v>
      </c>
      <c r="R31" t="s">
        <v>516</v>
      </c>
      <c r="S31" t="s">
        <v>102</v>
      </c>
      <c r="T31" t="s">
        <v>517</v>
      </c>
      <c r="U31" t="s">
        <v>518</v>
      </c>
      <c r="V31" t="s">
        <v>519</v>
      </c>
      <c r="W31" t="s">
        <v>520</v>
      </c>
      <c r="X31" t="s">
        <v>521</v>
      </c>
      <c r="Y31" t="s">
        <v>522</v>
      </c>
      <c r="Z31">
        <v>6.6</v>
      </c>
      <c r="AA31">
        <v>4574</v>
      </c>
      <c r="AB31" t="s">
        <v>523</v>
      </c>
      <c r="AC31">
        <v>5</v>
      </c>
      <c r="AD31">
        <v>2017</v>
      </c>
      <c r="AE31">
        <v>19</v>
      </c>
      <c r="AF31" t="s">
        <v>524</v>
      </c>
      <c r="AG31">
        <v>23</v>
      </c>
      <c r="AH31">
        <v>15.7625532083549</v>
      </c>
      <c r="AI31">
        <v>0.65677305034812195</v>
      </c>
      <c r="AJ31" t="s">
        <v>61</v>
      </c>
      <c r="AK31" t="s">
        <v>525</v>
      </c>
      <c r="AL31">
        <v>1</v>
      </c>
      <c r="AM31">
        <v>4</v>
      </c>
      <c r="AN31">
        <v>5</v>
      </c>
      <c r="AO31">
        <v>0.8</v>
      </c>
      <c r="AP31" t="s">
        <v>526</v>
      </c>
      <c r="AQ31" t="s">
        <v>63</v>
      </c>
    </row>
    <row r="32" spans="1:43" x14ac:dyDescent="0.2">
      <c r="A32">
        <v>413884</v>
      </c>
      <c r="B32" t="s">
        <v>527</v>
      </c>
      <c r="C32">
        <v>6.2720000000000002</v>
      </c>
      <c r="D32">
        <v>79</v>
      </c>
      <c r="E32" t="s">
        <v>44</v>
      </c>
      <c r="F32" s="1">
        <v>42873</v>
      </c>
      <c r="G32">
        <v>12805400</v>
      </c>
      <c r="H32">
        <v>135</v>
      </c>
      <c r="I32">
        <v>7445000</v>
      </c>
      <c r="J32" t="s">
        <v>528</v>
      </c>
      <c r="K32" t="s">
        <v>529</v>
      </c>
      <c r="L32" t="s">
        <v>527</v>
      </c>
      <c r="M32" t="s">
        <v>530</v>
      </c>
      <c r="N32">
        <v>1.3129</v>
      </c>
      <c r="O32" t="s">
        <v>531</v>
      </c>
      <c r="P32" t="s">
        <v>532</v>
      </c>
      <c r="Q32" t="s">
        <v>533</v>
      </c>
      <c r="R32" t="s">
        <v>358</v>
      </c>
      <c r="S32" t="s">
        <v>534</v>
      </c>
      <c r="T32" t="s">
        <v>535</v>
      </c>
      <c r="U32" t="s">
        <v>536</v>
      </c>
      <c r="V32" t="s">
        <v>537</v>
      </c>
      <c r="W32" t="s">
        <v>538</v>
      </c>
      <c r="X32" t="s">
        <v>539</v>
      </c>
      <c r="Y32" t="s">
        <v>540</v>
      </c>
      <c r="Z32">
        <v>4.7</v>
      </c>
      <c r="AA32">
        <v>8514</v>
      </c>
      <c r="AB32" t="s">
        <v>541</v>
      </c>
      <c r="AC32">
        <v>5</v>
      </c>
      <c r="AD32">
        <v>2017</v>
      </c>
      <c r="AE32">
        <v>20</v>
      </c>
      <c r="AF32" t="s">
        <v>542</v>
      </c>
      <c r="AG32">
        <v>29</v>
      </c>
      <c r="AH32">
        <v>16.365377593017602</v>
      </c>
      <c r="AI32">
        <v>0.54551258643392198</v>
      </c>
      <c r="AJ32" t="s">
        <v>61</v>
      </c>
      <c r="AK32" t="s">
        <v>543</v>
      </c>
      <c r="AL32">
        <v>9</v>
      </c>
      <c r="AM32">
        <v>1</v>
      </c>
      <c r="AN32">
        <v>10</v>
      </c>
      <c r="AO32">
        <v>0.1</v>
      </c>
      <c r="AP32" t="s">
        <v>63</v>
      </c>
      <c r="AQ32" t="s">
        <v>63</v>
      </c>
    </row>
    <row r="33" spans="1:43" x14ac:dyDescent="0.2">
      <c r="A33">
        <v>417678</v>
      </c>
      <c r="B33" t="s">
        <v>544</v>
      </c>
      <c r="C33">
        <v>7.2</v>
      </c>
      <c r="D33">
        <v>3713</v>
      </c>
      <c r="E33" t="s">
        <v>44</v>
      </c>
      <c r="F33" s="1">
        <v>42873</v>
      </c>
      <c r="G33">
        <v>61621140</v>
      </c>
      <c r="H33">
        <v>96</v>
      </c>
      <c r="I33">
        <v>10000000</v>
      </c>
      <c r="J33" t="s">
        <v>545</v>
      </c>
      <c r="K33" t="s">
        <v>46</v>
      </c>
      <c r="L33" t="s">
        <v>544</v>
      </c>
      <c r="M33" t="s">
        <v>546</v>
      </c>
      <c r="N33">
        <v>4.0812999999999997</v>
      </c>
      <c r="O33" t="s">
        <v>547</v>
      </c>
      <c r="P33" t="s">
        <v>548</v>
      </c>
      <c r="Q33" t="s">
        <v>549</v>
      </c>
      <c r="R33" t="s">
        <v>51</v>
      </c>
      <c r="S33" t="s">
        <v>52</v>
      </c>
      <c r="T33" t="s">
        <v>550</v>
      </c>
      <c r="U33" t="s">
        <v>551</v>
      </c>
      <c r="V33" t="s">
        <v>552</v>
      </c>
      <c r="W33" t="s">
        <v>553</v>
      </c>
      <c r="X33" t="s">
        <v>554</v>
      </c>
      <c r="Y33" t="s">
        <v>555</v>
      </c>
      <c r="Z33">
        <v>6.3</v>
      </c>
      <c r="AA33">
        <v>44162</v>
      </c>
      <c r="AB33" t="s">
        <v>556</v>
      </c>
      <c r="AC33">
        <v>5</v>
      </c>
      <c r="AD33">
        <v>2017</v>
      </c>
      <c r="AE33">
        <v>20</v>
      </c>
      <c r="AF33" t="s">
        <v>557</v>
      </c>
      <c r="AG33">
        <v>29</v>
      </c>
      <c r="AH33">
        <v>17.9365155676767</v>
      </c>
      <c r="AI33">
        <v>0.59788385225589002</v>
      </c>
      <c r="AJ33" t="s">
        <v>61</v>
      </c>
      <c r="AK33" t="s">
        <v>558</v>
      </c>
      <c r="AL33">
        <v>38</v>
      </c>
      <c r="AM33">
        <v>1</v>
      </c>
      <c r="AN33">
        <v>41</v>
      </c>
      <c r="AO33">
        <v>0.02</v>
      </c>
      <c r="AP33" t="s">
        <v>63</v>
      </c>
      <c r="AQ33" t="s">
        <v>63</v>
      </c>
    </row>
    <row r="34" spans="1:43" x14ac:dyDescent="0.2">
      <c r="A34">
        <v>417830</v>
      </c>
      <c r="B34" t="s">
        <v>559</v>
      </c>
      <c r="C34">
        <v>5.3</v>
      </c>
      <c r="D34">
        <v>498</v>
      </c>
      <c r="E34" t="s">
        <v>44</v>
      </c>
      <c r="F34" s="1">
        <v>42874</v>
      </c>
      <c r="G34">
        <v>40120144</v>
      </c>
      <c r="H34">
        <v>91</v>
      </c>
      <c r="I34">
        <v>22000000</v>
      </c>
      <c r="J34" t="s">
        <v>560</v>
      </c>
      <c r="K34" t="s">
        <v>46</v>
      </c>
      <c r="L34" t="s">
        <v>559</v>
      </c>
      <c r="M34" t="s">
        <v>561</v>
      </c>
      <c r="N34">
        <v>3.8155999999999999</v>
      </c>
      <c r="O34" t="s">
        <v>562</v>
      </c>
      <c r="P34" t="s">
        <v>563</v>
      </c>
      <c r="Q34" t="s">
        <v>564</v>
      </c>
      <c r="R34" t="s">
        <v>51</v>
      </c>
      <c r="S34" t="s">
        <v>52</v>
      </c>
      <c r="T34" t="s">
        <v>565</v>
      </c>
      <c r="U34" t="s">
        <v>566</v>
      </c>
      <c r="V34" t="s">
        <v>567</v>
      </c>
      <c r="W34" t="s">
        <v>568</v>
      </c>
      <c r="X34" t="s">
        <v>569</v>
      </c>
      <c r="Y34" t="s">
        <v>570</v>
      </c>
      <c r="Z34">
        <v>4.3</v>
      </c>
      <c r="AA34">
        <v>12316</v>
      </c>
      <c r="AB34" t="s">
        <v>571</v>
      </c>
      <c r="AC34">
        <v>5</v>
      </c>
      <c r="AD34">
        <v>2017</v>
      </c>
      <c r="AE34">
        <v>20</v>
      </c>
      <c r="AF34" t="s">
        <v>572</v>
      </c>
      <c r="AG34">
        <v>30</v>
      </c>
      <c r="AH34">
        <v>17.507389135208999</v>
      </c>
      <c r="AI34">
        <v>0.56475448823254804</v>
      </c>
      <c r="AJ34" t="s">
        <v>61</v>
      </c>
      <c r="AK34" t="s">
        <v>573</v>
      </c>
      <c r="AL34">
        <v>24</v>
      </c>
      <c r="AM34">
        <v>1</v>
      </c>
      <c r="AN34">
        <v>31</v>
      </c>
      <c r="AO34">
        <v>0.03</v>
      </c>
      <c r="AP34" t="s">
        <v>63</v>
      </c>
      <c r="AQ34" t="s">
        <v>63</v>
      </c>
    </row>
    <row r="35" spans="1:43" x14ac:dyDescent="0.2">
      <c r="A35">
        <v>166426</v>
      </c>
      <c r="B35" t="s">
        <v>574</v>
      </c>
      <c r="C35">
        <v>6.6520000000000001</v>
      </c>
      <c r="D35">
        <v>12467</v>
      </c>
      <c r="E35" t="s">
        <v>44</v>
      </c>
      <c r="F35" s="1">
        <v>42878</v>
      </c>
      <c r="G35">
        <v>795922298</v>
      </c>
      <c r="H35">
        <v>129</v>
      </c>
      <c r="I35">
        <v>230000000</v>
      </c>
      <c r="J35" t="s">
        <v>575</v>
      </c>
      <c r="K35" t="s">
        <v>46</v>
      </c>
      <c r="L35" t="s">
        <v>574</v>
      </c>
      <c r="M35" t="s">
        <v>576</v>
      </c>
      <c r="N35">
        <v>12.0715</v>
      </c>
      <c r="O35" t="s">
        <v>577</v>
      </c>
      <c r="P35" t="s">
        <v>578</v>
      </c>
      <c r="Q35" t="s">
        <v>579</v>
      </c>
      <c r="R35" t="s">
        <v>51</v>
      </c>
      <c r="S35" t="s">
        <v>52</v>
      </c>
      <c r="T35" t="s">
        <v>580</v>
      </c>
      <c r="U35" t="s">
        <v>581</v>
      </c>
      <c r="V35" t="s">
        <v>582</v>
      </c>
      <c r="W35" t="s">
        <v>583</v>
      </c>
      <c r="X35" t="s">
        <v>584</v>
      </c>
      <c r="Y35" t="s">
        <v>233</v>
      </c>
      <c r="Z35">
        <v>6.5</v>
      </c>
      <c r="AA35">
        <v>375678</v>
      </c>
      <c r="AB35" t="s">
        <v>585</v>
      </c>
      <c r="AC35">
        <v>5</v>
      </c>
      <c r="AD35">
        <v>2017</v>
      </c>
      <c r="AE35">
        <v>21</v>
      </c>
      <c r="AF35" t="s">
        <v>586</v>
      </c>
      <c r="AG35">
        <v>34</v>
      </c>
      <c r="AH35">
        <v>20.4950121247224</v>
      </c>
      <c r="AI35">
        <v>0.58557177499207003</v>
      </c>
      <c r="AJ35" t="s">
        <v>61</v>
      </c>
      <c r="AK35" t="s">
        <v>587</v>
      </c>
      <c r="AL35">
        <v>63</v>
      </c>
      <c r="AM35">
        <v>0</v>
      </c>
      <c r="AN35">
        <v>68</v>
      </c>
      <c r="AO35">
        <v>0</v>
      </c>
      <c r="AP35" t="s">
        <v>63</v>
      </c>
      <c r="AQ35" t="s">
        <v>63</v>
      </c>
    </row>
    <row r="36" spans="1:43" x14ac:dyDescent="0.2">
      <c r="A36">
        <v>339846</v>
      </c>
      <c r="B36" t="s">
        <v>588</v>
      </c>
      <c r="C36">
        <v>6.0919999999999996</v>
      </c>
      <c r="D36">
        <v>8318</v>
      </c>
      <c r="E36" t="s">
        <v>44</v>
      </c>
      <c r="F36" s="1">
        <v>42880</v>
      </c>
      <c r="G36">
        <v>177900000</v>
      </c>
      <c r="H36">
        <v>116</v>
      </c>
      <c r="I36">
        <v>69000000</v>
      </c>
      <c r="J36" t="s">
        <v>589</v>
      </c>
      <c r="K36" t="s">
        <v>46</v>
      </c>
      <c r="L36" t="s">
        <v>588</v>
      </c>
      <c r="M36" t="s">
        <v>590</v>
      </c>
      <c r="N36">
        <v>6.7211999999999996</v>
      </c>
      <c r="O36" t="s">
        <v>591</v>
      </c>
      <c r="P36" t="s">
        <v>592</v>
      </c>
      <c r="Q36" t="s">
        <v>593</v>
      </c>
      <c r="R36" t="s">
        <v>51</v>
      </c>
      <c r="S36" t="s">
        <v>52</v>
      </c>
      <c r="T36" t="s">
        <v>594</v>
      </c>
      <c r="U36" t="s">
        <v>595</v>
      </c>
      <c r="V36" t="s">
        <v>596</v>
      </c>
      <c r="W36" t="s">
        <v>597</v>
      </c>
      <c r="X36" t="s">
        <v>598</v>
      </c>
      <c r="Y36" t="s">
        <v>154</v>
      </c>
      <c r="Z36">
        <v>5.5</v>
      </c>
      <c r="AA36">
        <v>214990</v>
      </c>
      <c r="AB36" t="s">
        <v>599</v>
      </c>
      <c r="AC36">
        <v>5</v>
      </c>
      <c r="AD36">
        <v>2017</v>
      </c>
      <c r="AE36">
        <v>21</v>
      </c>
      <c r="AF36" t="s">
        <v>600</v>
      </c>
      <c r="AG36">
        <v>36</v>
      </c>
      <c r="AH36">
        <v>18.996732158257199</v>
      </c>
      <c r="AI36">
        <v>0.51342519346641002</v>
      </c>
      <c r="AJ36" t="s">
        <v>61</v>
      </c>
      <c r="AK36" t="s">
        <v>601</v>
      </c>
      <c r="AL36">
        <v>54</v>
      </c>
      <c r="AM36">
        <v>2</v>
      </c>
      <c r="AN36">
        <v>58</v>
      </c>
      <c r="AO36">
        <v>0.03</v>
      </c>
      <c r="AP36" t="s">
        <v>63</v>
      </c>
      <c r="AQ36" t="s">
        <v>63</v>
      </c>
    </row>
    <row r="37" spans="1:43" x14ac:dyDescent="0.2">
      <c r="A37">
        <v>403119</v>
      </c>
      <c r="B37" t="s">
        <v>602</v>
      </c>
      <c r="C37">
        <v>5.8070000000000004</v>
      </c>
      <c r="D37">
        <v>2785</v>
      </c>
      <c r="E37" t="s">
        <v>44</v>
      </c>
      <c r="F37" s="1">
        <v>42880</v>
      </c>
      <c r="G37">
        <v>62198461</v>
      </c>
      <c r="H37">
        <v>89</v>
      </c>
      <c r="I37">
        <v>5500000</v>
      </c>
      <c r="J37" t="s">
        <v>603</v>
      </c>
      <c r="K37" t="s">
        <v>46</v>
      </c>
      <c r="L37" t="s">
        <v>602</v>
      </c>
      <c r="M37" t="s">
        <v>604</v>
      </c>
      <c r="N37">
        <v>4.0940000000000003</v>
      </c>
      <c r="O37" t="s">
        <v>605</v>
      </c>
      <c r="P37" t="s">
        <v>606</v>
      </c>
      <c r="Q37" t="s">
        <v>607</v>
      </c>
      <c r="R37" t="s">
        <v>608</v>
      </c>
      <c r="S37" t="s">
        <v>342</v>
      </c>
      <c r="T37" t="s">
        <v>609</v>
      </c>
      <c r="U37" t="s">
        <v>610</v>
      </c>
      <c r="V37" t="s">
        <v>611</v>
      </c>
      <c r="W37" t="s">
        <v>612</v>
      </c>
      <c r="X37" t="s">
        <v>613</v>
      </c>
      <c r="Y37" t="s">
        <v>614</v>
      </c>
      <c r="Z37">
        <v>5.6</v>
      </c>
      <c r="AA37">
        <v>64487</v>
      </c>
      <c r="AB37" t="s">
        <v>615</v>
      </c>
      <c r="AC37">
        <v>5</v>
      </c>
      <c r="AD37">
        <v>2017</v>
      </c>
      <c r="AE37">
        <v>21</v>
      </c>
      <c r="AF37" t="s">
        <v>616</v>
      </c>
      <c r="AG37">
        <v>36</v>
      </c>
      <c r="AH37">
        <v>17.9458408307155</v>
      </c>
      <c r="AI37">
        <v>0.48502272515447498</v>
      </c>
      <c r="AJ37" t="s">
        <v>61</v>
      </c>
      <c r="AK37" t="s">
        <v>617</v>
      </c>
      <c r="AL37">
        <v>37</v>
      </c>
      <c r="AM37">
        <v>4</v>
      </c>
      <c r="AN37">
        <v>52</v>
      </c>
      <c r="AO37">
        <v>0.08</v>
      </c>
      <c r="AP37" t="s">
        <v>63</v>
      </c>
      <c r="AQ37" t="s">
        <v>63</v>
      </c>
    </row>
    <row r="38" spans="1:43" x14ac:dyDescent="0.2">
      <c r="A38">
        <v>451955</v>
      </c>
      <c r="B38" t="s">
        <v>618</v>
      </c>
      <c r="C38">
        <v>6.1</v>
      </c>
      <c r="D38">
        <v>554</v>
      </c>
      <c r="E38" t="s">
        <v>44</v>
      </c>
      <c r="F38" s="1">
        <v>42881</v>
      </c>
      <c r="G38">
        <v>4248574</v>
      </c>
      <c r="H38">
        <v>108</v>
      </c>
      <c r="I38">
        <v>7110000</v>
      </c>
      <c r="J38" t="s">
        <v>619</v>
      </c>
      <c r="K38" t="s">
        <v>511</v>
      </c>
      <c r="L38" t="s">
        <v>620</v>
      </c>
      <c r="M38" t="s">
        <v>621</v>
      </c>
      <c r="N38">
        <v>1.2113</v>
      </c>
      <c r="O38" t="s">
        <v>622</v>
      </c>
      <c r="P38" t="s">
        <v>623</v>
      </c>
      <c r="Q38" t="s">
        <v>624</v>
      </c>
      <c r="R38" t="s">
        <v>625</v>
      </c>
      <c r="S38" t="s">
        <v>626</v>
      </c>
      <c r="T38" t="s">
        <v>627</v>
      </c>
      <c r="U38" t="s">
        <v>628</v>
      </c>
      <c r="V38" t="s">
        <v>629</v>
      </c>
      <c r="W38" t="s">
        <v>630</v>
      </c>
      <c r="X38" t="s">
        <v>631</v>
      </c>
      <c r="Y38" t="s">
        <v>632</v>
      </c>
      <c r="Z38">
        <v>6.2</v>
      </c>
      <c r="AA38">
        <v>14577</v>
      </c>
      <c r="AB38" t="s">
        <v>633</v>
      </c>
      <c r="AC38">
        <v>5</v>
      </c>
      <c r="AD38">
        <v>2017</v>
      </c>
      <c r="AE38">
        <v>21</v>
      </c>
      <c r="AF38" t="s">
        <v>634</v>
      </c>
      <c r="AG38">
        <v>37</v>
      </c>
      <c r="AH38">
        <v>15.262094190559299</v>
      </c>
      <c r="AI38">
        <v>0.401634057646297</v>
      </c>
      <c r="AJ38" t="s">
        <v>61</v>
      </c>
      <c r="AK38" t="s">
        <v>635</v>
      </c>
      <c r="AL38">
        <v>35</v>
      </c>
      <c r="AM38">
        <v>1</v>
      </c>
      <c r="AN38">
        <v>61</v>
      </c>
      <c r="AO38">
        <v>0.02</v>
      </c>
      <c r="AP38" t="s">
        <v>63</v>
      </c>
      <c r="AQ38" t="s">
        <v>63</v>
      </c>
    </row>
    <row r="39" spans="1:43" x14ac:dyDescent="0.2">
      <c r="A39">
        <v>297762</v>
      </c>
      <c r="B39" t="s">
        <v>636</v>
      </c>
      <c r="C39">
        <v>7.2140000000000004</v>
      </c>
      <c r="D39">
        <v>20516</v>
      </c>
      <c r="E39" t="s">
        <v>44</v>
      </c>
      <c r="F39" s="1">
        <v>42885</v>
      </c>
      <c r="G39">
        <v>823970682</v>
      </c>
      <c r="H39">
        <v>141</v>
      </c>
      <c r="I39">
        <v>149000000</v>
      </c>
      <c r="J39" t="s">
        <v>637</v>
      </c>
      <c r="K39" t="s">
        <v>46</v>
      </c>
      <c r="L39" t="s">
        <v>636</v>
      </c>
      <c r="M39" t="s">
        <v>638</v>
      </c>
      <c r="N39">
        <v>12.1012</v>
      </c>
      <c r="O39" t="s">
        <v>639</v>
      </c>
      <c r="P39" t="s">
        <v>640</v>
      </c>
      <c r="Q39" t="s">
        <v>641</v>
      </c>
      <c r="R39" t="s">
        <v>51</v>
      </c>
      <c r="S39" t="s">
        <v>642</v>
      </c>
      <c r="T39" t="s">
        <v>643</v>
      </c>
      <c r="U39" t="s">
        <v>644</v>
      </c>
      <c r="V39" t="s">
        <v>645</v>
      </c>
      <c r="W39" t="s">
        <v>646</v>
      </c>
      <c r="X39" t="s">
        <v>647</v>
      </c>
      <c r="Y39" t="s">
        <v>648</v>
      </c>
      <c r="Z39">
        <v>7.3</v>
      </c>
      <c r="AA39">
        <v>728391</v>
      </c>
      <c r="AB39" t="s">
        <v>649</v>
      </c>
      <c r="AC39">
        <v>5</v>
      </c>
      <c r="AD39">
        <v>2017</v>
      </c>
      <c r="AE39">
        <v>22</v>
      </c>
      <c r="AF39" t="s">
        <v>650</v>
      </c>
      <c r="AG39">
        <v>41</v>
      </c>
      <c r="AH39">
        <v>20.529645508357302</v>
      </c>
      <c r="AI39">
        <v>0.48880108353231599</v>
      </c>
      <c r="AJ39" t="s">
        <v>61</v>
      </c>
      <c r="AK39" t="s">
        <v>651</v>
      </c>
      <c r="AL39">
        <v>65</v>
      </c>
      <c r="AM39">
        <v>0</v>
      </c>
      <c r="AN39">
        <v>76</v>
      </c>
      <c r="AO39">
        <v>0</v>
      </c>
      <c r="AP39" t="s">
        <v>63</v>
      </c>
      <c r="AQ39" t="s">
        <v>63</v>
      </c>
    </row>
    <row r="40" spans="1:43" x14ac:dyDescent="0.2">
      <c r="A40">
        <v>268531</v>
      </c>
      <c r="B40" t="s">
        <v>652</v>
      </c>
      <c r="C40">
        <v>6.258</v>
      </c>
      <c r="D40">
        <v>1294</v>
      </c>
      <c r="E40" t="s">
        <v>44</v>
      </c>
      <c r="F40" s="1">
        <v>42887</v>
      </c>
      <c r="G40">
        <v>125427681</v>
      </c>
      <c r="H40">
        <v>88</v>
      </c>
      <c r="I40">
        <v>38000000</v>
      </c>
      <c r="J40" t="s">
        <v>653</v>
      </c>
      <c r="K40" t="s">
        <v>46</v>
      </c>
      <c r="L40" t="s">
        <v>652</v>
      </c>
      <c r="M40" t="s">
        <v>654</v>
      </c>
      <c r="N40">
        <v>3.8064</v>
      </c>
      <c r="O40" t="s">
        <v>655</v>
      </c>
      <c r="P40" t="s">
        <v>147</v>
      </c>
      <c r="Q40" t="s">
        <v>656</v>
      </c>
      <c r="R40" t="s">
        <v>51</v>
      </c>
      <c r="S40" t="s">
        <v>52</v>
      </c>
      <c r="T40" t="s">
        <v>657</v>
      </c>
      <c r="U40" t="s">
        <v>658</v>
      </c>
      <c r="W40" t="s">
        <v>659</v>
      </c>
      <c r="X40" t="s">
        <v>660</v>
      </c>
      <c r="Y40" t="s">
        <v>661</v>
      </c>
      <c r="Z40">
        <v>6.2</v>
      </c>
      <c r="AA40">
        <v>35674</v>
      </c>
      <c r="AB40" t="s">
        <v>662</v>
      </c>
      <c r="AC40">
        <v>6</v>
      </c>
      <c r="AD40">
        <v>2017</v>
      </c>
      <c r="AE40">
        <v>22</v>
      </c>
      <c r="AF40" t="s">
        <v>663</v>
      </c>
      <c r="AG40">
        <v>43</v>
      </c>
      <c r="AH40">
        <v>18.6472399114027</v>
      </c>
      <c r="AI40">
        <v>0.42380090707733498</v>
      </c>
      <c r="AJ40" t="s">
        <v>61</v>
      </c>
      <c r="AK40" t="s">
        <v>664</v>
      </c>
      <c r="AL40">
        <v>35</v>
      </c>
      <c r="AM40">
        <v>1</v>
      </c>
      <c r="AN40">
        <v>47</v>
      </c>
      <c r="AO40">
        <v>0.02</v>
      </c>
      <c r="AP40" t="s">
        <v>63</v>
      </c>
      <c r="AQ40" t="s">
        <v>63</v>
      </c>
    </row>
    <row r="41" spans="1:43" hidden="1" x14ac:dyDescent="0.2">
      <c r="A41">
        <v>426230</v>
      </c>
      <c r="B41" t="s">
        <v>665</v>
      </c>
      <c r="C41">
        <v>6.4</v>
      </c>
      <c r="D41">
        <v>165</v>
      </c>
      <c r="E41" t="s">
        <v>44</v>
      </c>
      <c r="F41" s="1">
        <v>42888</v>
      </c>
      <c r="G41">
        <v>248370</v>
      </c>
      <c r="H41">
        <v>91</v>
      </c>
      <c r="I41">
        <v>10000000</v>
      </c>
      <c r="J41" t="s">
        <v>666</v>
      </c>
      <c r="K41" t="s">
        <v>46</v>
      </c>
      <c r="L41" t="s">
        <v>665</v>
      </c>
      <c r="M41" t="s">
        <v>667</v>
      </c>
      <c r="N41">
        <v>0.91890000000000005</v>
      </c>
      <c r="O41" t="s">
        <v>668</v>
      </c>
      <c r="P41" t="s">
        <v>669</v>
      </c>
      <c r="Q41" t="s">
        <v>670</v>
      </c>
      <c r="R41" t="s">
        <v>51</v>
      </c>
      <c r="S41" t="s">
        <v>52</v>
      </c>
      <c r="T41" t="s">
        <v>671</v>
      </c>
      <c r="U41" t="s">
        <v>672</v>
      </c>
      <c r="V41" t="s">
        <v>673</v>
      </c>
      <c r="W41" t="s">
        <v>672</v>
      </c>
      <c r="X41" t="s">
        <v>674</v>
      </c>
      <c r="Y41" t="s">
        <v>675</v>
      </c>
      <c r="Z41">
        <v>6.6</v>
      </c>
      <c r="AA41">
        <v>6142</v>
      </c>
      <c r="AB41" t="s">
        <v>676</v>
      </c>
      <c r="AC41">
        <v>6</v>
      </c>
      <c r="AD41">
        <v>2017</v>
      </c>
      <c r="AE41">
        <v>22</v>
      </c>
      <c r="AF41" t="s">
        <v>677</v>
      </c>
      <c r="AG41">
        <v>44</v>
      </c>
      <c r="AH41">
        <v>12.422678875043999</v>
      </c>
      <c r="AI41">
        <v>0.27605953055653298</v>
      </c>
      <c r="AJ41" t="s">
        <v>61</v>
      </c>
      <c r="AK41" t="s">
        <v>678</v>
      </c>
      <c r="AL41">
        <v>0</v>
      </c>
      <c r="AM41">
        <v>3</v>
      </c>
      <c r="AN41">
        <v>14</v>
      </c>
      <c r="AO41">
        <v>0.21</v>
      </c>
      <c r="AP41" t="s">
        <v>526</v>
      </c>
      <c r="AQ41" t="s">
        <v>63</v>
      </c>
    </row>
    <row r="42" spans="1:43" x14ac:dyDescent="0.2">
      <c r="A42">
        <v>455551</v>
      </c>
      <c r="B42" t="s">
        <v>679</v>
      </c>
      <c r="C42">
        <v>4.5999999999999996</v>
      </c>
      <c r="D42">
        <v>355</v>
      </c>
      <c r="E42" t="s">
        <v>44</v>
      </c>
      <c r="F42" s="1">
        <v>42888</v>
      </c>
      <c r="G42">
        <v>1319566</v>
      </c>
      <c r="H42">
        <v>91</v>
      </c>
      <c r="I42">
        <v>5000000</v>
      </c>
      <c r="J42" t="s">
        <v>680</v>
      </c>
      <c r="K42" t="s">
        <v>46</v>
      </c>
      <c r="L42" t="s">
        <v>679</v>
      </c>
      <c r="M42" t="s">
        <v>681</v>
      </c>
      <c r="N42">
        <v>12.4094</v>
      </c>
      <c r="O42" t="s">
        <v>682</v>
      </c>
      <c r="P42" t="s">
        <v>683</v>
      </c>
      <c r="Q42" t="s">
        <v>684</v>
      </c>
      <c r="R42" t="s">
        <v>516</v>
      </c>
      <c r="S42" t="s">
        <v>52</v>
      </c>
      <c r="T42" t="s">
        <v>685</v>
      </c>
      <c r="U42" t="s">
        <v>686</v>
      </c>
      <c r="V42" t="s">
        <v>687</v>
      </c>
      <c r="W42" t="s">
        <v>688</v>
      </c>
      <c r="X42" t="s">
        <v>689</v>
      </c>
      <c r="Y42" t="s">
        <v>690</v>
      </c>
      <c r="Z42">
        <v>4.2</v>
      </c>
      <c r="AA42">
        <v>9839</v>
      </c>
      <c r="AB42" t="s">
        <v>691</v>
      </c>
      <c r="AC42">
        <v>6</v>
      </c>
      <c r="AD42">
        <v>2017</v>
      </c>
      <c r="AE42">
        <v>22</v>
      </c>
      <c r="AF42" t="s">
        <v>692</v>
      </c>
      <c r="AG42">
        <v>44</v>
      </c>
      <c r="AH42">
        <v>14.0928142104458</v>
      </c>
      <c r="AI42">
        <v>0.31317364912101803</v>
      </c>
      <c r="AJ42" t="s">
        <v>61</v>
      </c>
      <c r="AK42" t="s">
        <v>693</v>
      </c>
      <c r="AL42">
        <v>7</v>
      </c>
      <c r="AM42">
        <v>1</v>
      </c>
      <c r="AN42">
        <v>16</v>
      </c>
      <c r="AO42">
        <v>0.06</v>
      </c>
      <c r="AP42" t="s">
        <v>63</v>
      </c>
      <c r="AQ42" t="s">
        <v>63</v>
      </c>
    </row>
    <row r="43" spans="1:43" x14ac:dyDescent="0.2">
      <c r="A43" t="s">
        <v>694</v>
      </c>
      <c r="AI43">
        <f>SUBTOTAL(109,Table1[score])</f>
        <v>37.25963501679702</v>
      </c>
      <c r="AQ43">
        <f>SUBTOTAL(103,Table1[error])</f>
        <v>39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Guardians_of_the_Galaxy_Vol._2_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2026-02-17T17:13:06Z</dcterms:created>
  <dcterms:modified xsi:type="dcterms:W3CDTF">2026-02-17T18:01:02Z</dcterms:modified>
</cp:coreProperties>
</file>