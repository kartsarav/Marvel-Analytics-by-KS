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kitkat/github projects/Marvel-Analytics-by-KS/movie-release-optimization/data/processing/filter 3/xlsx/attributed/"/>
    </mc:Choice>
  </mc:AlternateContent>
  <xr:revisionPtr revIDLastSave="0" documentId="13_ncr:1_{62F972E8-9F17-9748-9ED6-BC47D10051C4}" xr6:coauthVersionLast="47" xr6:coauthVersionMax="47" xr10:uidLastSave="{00000000-0000-0000-0000-000000000000}"/>
  <bookViews>
    <workbookView xWindow="380" yWindow="80" windowWidth="28040" windowHeight="17180" xr2:uid="{50CF08D1-D7E3-7346-8FAC-6D8E47142C87}"/>
  </bookViews>
  <sheets>
    <sheet name="Captain_Marvel_attribut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41" i="1" l="1"/>
  <c r="AQ41" i="1"/>
</calcChain>
</file>

<file path=xl/sharedStrings.xml><?xml version="1.0" encoding="utf-8"?>
<sst xmlns="http://schemas.openxmlformats.org/spreadsheetml/2006/main" count="936" uniqueCount="658">
  <si>
    <t>id</t>
  </si>
  <si>
    <t>title</t>
  </si>
  <si>
    <t>vote_average</t>
  </si>
  <si>
    <t>vote_count</t>
  </si>
  <si>
    <t>status</t>
  </si>
  <si>
    <t>release_date</t>
  </si>
  <si>
    <t>revenue</t>
  </si>
  <si>
    <t>runtime</t>
  </si>
  <si>
    <t>budget</t>
  </si>
  <si>
    <t>imdb_id</t>
  </si>
  <si>
    <t>original_language</t>
  </si>
  <si>
    <t>original_title</t>
  </si>
  <si>
    <t>overview</t>
  </si>
  <si>
    <t>popularity</t>
  </si>
  <si>
    <t>tagline</t>
  </si>
  <si>
    <t>genres</t>
  </si>
  <si>
    <t>production_companies</t>
  </si>
  <si>
    <t>production_countries</t>
  </si>
  <si>
    <t>spoken_languages</t>
  </si>
  <si>
    <t>cast</t>
  </si>
  <si>
    <t>director</t>
  </si>
  <si>
    <t>director_of_photography</t>
  </si>
  <si>
    <t>writers</t>
  </si>
  <si>
    <t>producers</t>
  </si>
  <si>
    <t>music_composer</t>
  </si>
  <si>
    <t>imdb_rating</t>
  </si>
  <si>
    <t>imdb_votes</t>
  </si>
  <si>
    <t>poster_path</t>
  </si>
  <si>
    <t>release_month</t>
  </si>
  <si>
    <t>release_year</t>
  </si>
  <si>
    <t>iso_week</t>
  </si>
  <si>
    <t>title_clean</t>
  </si>
  <si>
    <t>distance</t>
  </si>
  <si>
    <t>strength</t>
  </si>
  <si>
    <t>score</t>
  </si>
  <si>
    <t>marvel_movie</t>
  </si>
  <si>
    <t>attributes</t>
  </si>
  <si>
    <t>blank</t>
  </si>
  <si>
    <t>internet</t>
  </si>
  <si>
    <t>total</t>
  </si>
  <si>
    <t>internet_ratio</t>
  </si>
  <si>
    <t>internet_dominance</t>
  </si>
  <si>
    <t>error</t>
  </si>
  <si>
    <t>Extreme Job</t>
  </si>
  <si>
    <t>Released</t>
  </si>
  <si>
    <t>tt9541602</t>
  </si>
  <si>
    <t>ko</t>
  </si>
  <si>
    <t>√ç‚àëœÄ√å√Ø√∫√è√ü√Ö√è√≥√ñ</t>
  </si>
  <si>
    <t>A drug squad attempts to take down a criminal organization and they must go undercover to do so, so they begin working at a chicken restaurant, that becomes famous for its delicious chicken. Due to the unexpected popularity, the detectives find themselves in a situation they never expected.</t>
  </si>
  <si>
    <t>Part-time frying chicken, full-time undercover.</t>
  </si>
  <si>
    <t>Action, Comedy, Crime</t>
  </si>
  <si>
    <t>cj entertainment, about film, haegrimm pictures</t>
  </si>
  <si>
    <t>South Korea</t>
  </si>
  <si>
    <t>√ä√¥√Ü√à√Ñ√∂√ã√ò√π, √å√Ø√∫√ç¬µ‚â†√è√±¬•/√è¬∞‚àû√è√ë‚Ä†√é√ü√™, √ä√≥‚Ä¢√ä√∫¬®√ã‚Ñ¢√ª</t>
  </si>
  <si>
    <t>Shin Ha-kyun, Kim Ji-young, Jang Jin-hee, Gong Myoung, Jeong Jae-kwang, Choi Yun-seol, Ryu Seung-ryong, Yang Hyun-min, Jung Won-chang, Lee Hanee, Lee Jung-ok, Choi Jeongeun, Jang Ji-woong, Lee Dong-hwi, Na Chul, Ji Chan, Jin Sun-kyu, Oh Jung-se, Han Jun-woo, Heo Joon-seok, Kim Eui-sung, Yoo Je-yoon, Kim Jong-soo, Shin Shin-ae, Kim Kang-hyun, Kim Nam-woo, Song Young-gyu, Tae Won-seok</t>
  </si>
  <si>
    <t>Lee Byeong-heon</t>
  </si>
  <si>
    <t>Noh Seung-bo</t>
  </si>
  <si>
    <t>Lee Yoon-ho, Lee Byeong-heon, Bae Se-young, Moon Chung-il, Heo Da-jung</t>
  </si>
  <si>
    <t>Lee Jong-seok, Kim Seong-hwan, Choi Yun-ho, Ko Dae-seok, Kim Mi-hye, Heo Min-heoi</t>
  </si>
  <si>
    <t>Choi Jung-in, Kim Tae-seong</t>
  </si>
  <si>
    <t>/52oLgq2gEiZyDjpJ7tgkGruoQI0.jpg</t>
  </si>
  <si>
    <t>extreme job</t>
  </si>
  <si>
    <t>captain marvel</t>
  </si>
  <si>
    <t>blank (13), los angeles, california (1), nationwide (1), udine far east film festival (1), shanghai international film festival (1), internet (3), edinburgh international film festival (1), paris korean film festival (1), dvd and blu-ray and premiere (1)</t>
  </si>
  <si>
    <t>no</t>
  </si>
  <si>
    <t>Serenity</t>
  </si>
  <si>
    <t>tt6476140</t>
  </si>
  <si>
    <t>en</t>
  </si>
  <si>
    <t>The quiet life of Baker Dill, a fishing boat captain who lives on the isolated Plymouth Island, where he spends his days obsessed with capturing an elusive tuna while fighting his personal demons, is interrupted when someone from his past comes to him searching for help.</t>
  </si>
  <si>
    <t>On Plymouth Island, no one ever dies‚Äö√Ñ¬∂ unless you break the rules</t>
  </si>
  <si>
    <t>Thriller, Mystery, Drama</t>
  </si>
  <si>
    <t>nebulastar, shoebox films</t>
  </si>
  <si>
    <t>United Kingdom</t>
  </si>
  <si>
    <t>English, Fran‚àö√üais</t>
  </si>
  <si>
    <t>David Butler, Redd Pepper, Rafael Sayegh, Gunnar Sizemore, Michael Richard, Anne Hathaway, Charlotte Butler, Kenneth Fok, Djimon Hounsou, Robert Hobbs, Jason Clarke, Garion Dowds, Edeen Bhugeloo, Diane Lane, Matthew McConaughey, Jeremy Strong, John Whiteley</t>
  </si>
  <si>
    <t>Steven Knight</t>
  </si>
  <si>
    <t>Jess Hall</t>
  </si>
  <si>
    <t>Carsten H.W. Lorenz, Greg Shapiro, David Lipman, Deborah Zipser, Stuart Ford, Steven Knight, Guy Heeley, Jeffrey Stentz, Paul Webster, Karine Martin</t>
  </si>
  <si>
    <t>Benjamin Wallfisch</t>
  </si>
  <si>
    <t>/hgWAcic93phg4DOuQ8NrsgQWiqu.jpg</t>
  </si>
  <si>
    <t>serenity</t>
  </si>
  <si>
    <t>blank (42), g√∂teborg film festival (1), internet (1), dvd and blu-ray premiere (1), dvd premiere (1)</t>
  </si>
  <si>
    <t>Iron Sky: The Coming Race</t>
  </si>
  <si>
    <t>tt3038708</t>
  </si>
  <si>
    <t>29 years after the events of Iron Sky, the former Nazi Moonbase has become the last refuge of mankind. Earth was devastated by a nuclear war, but buried deep under the wasteland lies a power that could save the last of humanity - or destroy it once and for all. An old enemy leads our heroes on an adventure into the Hollow Earth. To save humanity, they must battle the Vril, an ancient shapeshifting reptilian race, and their army of dinosaurs.</t>
  </si>
  <si>
    <t>Let's make Earth great again</t>
  </si>
  <si>
    <t>Action, Comedy, Fantasy, Science Fiction</t>
  </si>
  <si>
    <t>potemkino, iron sky universe, 27 films production</t>
  </si>
  <si>
    <t>Finland, Germany</t>
  </si>
  <si>
    <t>English, Deutsch</t>
  </si>
  <si>
    <t>Vasco De Beukelaer, Lloyd Kaufman, Alexander Moens, Lara Rossi, Kit Dale, Emily Atack, Francesco Italiano, Duta Skhirtladze, Muya Lubambu Tshinioka, Hon Ping Tang, John Flanders, Vladimir Burlakov, Kari Berg, Martin Swabey, Dalan Musson, Pierce Nathan-Calvin Baechler, Udo Kier, Anabel Lopez, Ga‚àö¬¥tan Wenders, Abbas Shirafkan, Julia Dietze, Zana Salobir, Jukka Hild‚àö¬©n, Victor Au, Amanda Wolzak, Kari Ketonen, Tero Kaukomaa, Jan Debski, Stephanie Paul, James Quinn, Vincent Eaton, Lloyd Li, Antoine Plaisant, Edward Judge, Tom Green, Christoph Drobig</t>
  </si>
  <si>
    <t>Timo Vuorensola</t>
  </si>
  <si>
    <t>Mika Orasmaa</t>
  </si>
  <si>
    <t>Timo Vuorensola, Tero Kaukomaa, Samuli Torssonen, Dalan Musson, Jarmo Puskala, Johanna Sinisalo</t>
  </si>
  <si>
    <t>Guido Baechler, Timo Vuorensola, Josef Brandmaier, Peter De Maegd, Anastasia Norenko, Tero Kaukomaa, Peter Graham, Stephen Hays, Tom Hameeuw, Oliver Damian, Michel Vandewalle, Glenn Kendrick Ackermann, Denis Norenko</t>
  </si>
  <si>
    <t>Tuomas Kantelinen, Laibach</t>
  </si>
  <si>
    <t>/l5t2Nf1F7iQUKTrODg93xmQzZLj.jpg</t>
  </si>
  <si>
    <t>iron sky: the coming race</t>
  </si>
  <si>
    <t>blank (10), g√∂teborg film festival (1), berlin (1), brussels international fantastic film festival (1), imagine film festival (1), limited (1), l'absurde s√©ance - nantes (1), dvd premiere (2), dvd &amp; blu-ray (1), paris (1), screening (1), brooklyn, new york (1), internet (2), trieste science+fiction festival (1), blu-ray release (1)</t>
  </si>
  <si>
    <t>Miss Bala</t>
  </si>
  <si>
    <t>tt5941692</t>
  </si>
  <si>
    <t>Gloria finds a power she never knew she had when she is drawn into a dangerous world of cross-border crime. Surviving will require all of her cunning, inventiveness, and strength.</t>
  </si>
  <si>
    <t>Who would you become to save your family?</t>
  </si>
  <si>
    <t>Action</t>
  </si>
  <si>
    <t>columbia pictures, canana, misher films</t>
  </si>
  <si>
    <t>Mexico, United States of America</t>
  </si>
  <si>
    <t>English</t>
  </si>
  <si>
    <t>Gina Rodriguez, Anthony Mackie, Thomas Dekker, Sebasti‚àö¬∞n Cano, Joe LoCicero, Aldo Quintero Torres, Cristina Rodlo, Jos‚àö¬© Sefami, Lidia Isabel Quiroz Dorantes, Carlos Eves, Eliel Morales, Henry Torres Blanco, Ismael Cruz Cordova, Irving Lemus, Jorge Humberto Millan Mardue‚àö¬±o, Melina Oronia, Jimmy Gonz‚àö¬∞les, Job Sarmiento, Rosalio Ruiz, Ricardo Abarca, Mikhail Plata, Joel Navarro Ponce, Matt Lauria, Omar Ayala, Topsy Ruiz, Barbarella Pardo, Andr‚àö¬©s Garc‚àö‚â†a, Oscar Estrada, Dami‚àö¬∞n Alc‚àö¬∞zar, Abram Serratos, Tornado Ruiz, Roberto Colin, Aislinn Derbez, Erick Delgadillo, Alan Alzalde, Roberto Sosa, Lilian Guadalupe Tapia Robles</t>
  </si>
  <si>
    <t>Catherine Hardwicke</t>
  </si>
  <si>
    <t>Patrick Murguia</t>
  </si>
  <si>
    <t>Gareth Dunnet-Alcocer, Gerardo Naranjo</t>
  </si>
  <si>
    <t>Gerardo Naranjo, Samson Mucke, Mauricio Katz, Gareth Dunnet-Alcocer, Pablo Cruz, Arturo Sampson, Kevin Misher, Andy Berman, Jamie Marshall, Catherine Hardwicke</t>
  </si>
  <si>
    <t>Alex Heffes</t>
  </si>
  <si>
    <t>/ae9yrSAS7nLZPbbkOm61pSuIqeo.jpg</t>
  </si>
  <si>
    <t>miss bala</t>
  </si>
  <si>
    <t>blank (14), blu-ray release (1), dvd premiere (4), digital platforms (1), internet (8), blu ray release (1), tv release (1), rtp 1 (1), tv premiere (2)</t>
  </si>
  <si>
    <t>Late Night</t>
  </si>
  <si>
    <t>tt6107548</t>
  </si>
  <si>
    <t>A legendary late-night talk show host's world is turned upside down when she hires her only female staff writer. Originally intended to smooth over diversity concerns, her decision has unexpectedly hilarious consequences as the two women separated by culture and generation are united by their love of a biting punchline.</t>
  </si>
  <si>
    <t>They're giving comedy a rewrite.</t>
  </si>
  <si>
    <t>Comedy, Drama</t>
  </si>
  <si>
    <t>filmnation entertainment, 30west, mk international, 3 arts entertainment, imperative entertainment</t>
  </si>
  <si>
    <t>United States of America</t>
  </si>
  <si>
    <t>Paul Walter Hauser, Luke Slattery, Annaleigh Ashford, David Neal Levin, Paige Gilbert, John Early, Mindy Kaling, Amy Ryan, Bill Maher, Megalyn Echikunwoke, Max Casella, Seth Meyers, John Lithgow, Kerry Flanagan, Jake Tapper, Denis O'Hare, Lucas Caleb Rooney, Halston Sage, Reid Scott, Maria Dizzia, Hugh Dancy, Emma Thompson, Jia Patel, Blake DeLong, Rupak Ginn, Marc Kudisch, Sakina Jaffrey, Ike Barinholtz, Glo Tavarez</t>
  </si>
  <si>
    <t>Nisha Ganatra</t>
  </si>
  <si>
    <t>Matthew Clark</t>
  </si>
  <si>
    <t>Mindy Kaling</t>
  </si>
  <si>
    <t>Daniel Steinman, Micah Green, Milan Popelka, Mindy Kaling, Jillian Apfelbaum, Howard Klein, Ben Browning, Alison Cohen</t>
  </si>
  <si>
    <t>Lesley Barber</t>
  </si>
  <si>
    <t>/xxwb5KBqS0SHsUcyLgWMk3vuVxY.jpg</t>
  </si>
  <si>
    <t>late night</t>
  </si>
  <si>
    <t>sundance film festival (1), montclair film festival (1), sundance london film festival (1), inside out (1), blank (20), los angeles, california (1), new york city, new york (1), karlovy vary international film festival (1), international film festival cinematik (1), dvd premiere (1), leiden international film festival (1), rio film festival (1), internet (4), tv release (1), rtp 1 (1), tv premiere (1)</t>
  </si>
  <si>
    <t>Alita: Battle Angel</t>
  </si>
  <si>
    <t>tt0437086</t>
  </si>
  <si>
    <t>When Alita awakens with no memory of who she is in a future world she does not recognize, she is taken in by Ido, a compassionate doctor who realizes that somewhere in this abandoned cyborg shell is the heart and soul of a young woman with an extraordinary past.</t>
  </si>
  <si>
    <t>An angel falls. A warrior rises.</t>
  </si>
  <si>
    <t>Action, Science Fiction, Adventure</t>
  </si>
  <si>
    <t>troublemaker studios, lightstorm entertainment, 20th century fox, tsg entertainment</t>
  </si>
  <si>
    <t>English, Espa‚àö¬±ol</t>
  </si>
  <si>
    <t>Jorge Lendeborg Jr., Christoph Waltz, Idara Victor, Jamie Landau, Rosa Salazar, Alex Livinalli, Tony LaThanh, Jeff Fahey, Jeff Bottoms, Keean Johnson, Emma Lindsey, Jorge A. Jimenez, Rick Yune, Anthony Bandmann, Vincent Fuentes, Dimitrius Pulido, Jennifer Connelly, Edward Norton, Jackie Earle Haley, Neal Kodinsky, Derek Mears, Hugo Perez, Garrett Warren, Jai Courtney, Elle LaMont, Michelle Rodriguez, Ed Skrein, Mahershala Ali, Ibrahima Thiam, Lana Condor, Evan King, Tod Junker, Marcus J. Parker, David Sobolov, Alan Trong, John Wirt, Marko Zaror, Racer Rodriguez, Patrick Gathron, Gregg Berger, Casper Van Dien, Billy Blair, Sam Medina, Michael Love Toliver, Eiza Gonz‚àö¬∞lez, Leonard Wu, Paul de Sousa, Darcel Danielle</t>
  </si>
  <si>
    <t>Robert Rodriguez</t>
  </si>
  <si>
    <t>Bill Pope</t>
  </si>
  <si>
    <t>James Cameron, Yukito Kishiro, Laeta Kalogridis</t>
  </si>
  <si>
    <t>James Cameron, Robert Rodriguez, David Valdes, Jon Landau</t>
  </si>
  <si>
    <t>Tom Holkenborg</t>
  </si>
  <si>
    <t>/xRWht48C2V8XNfzvPehyClOvDni.jpg</t>
  </si>
  <si>
    <t>alita: battle angel</t>
  </si>
  <si>
    <t>odeon leicester square (1), premiere (4), spain (1), blank (69), limited (2), brussels (1), paris (1), belgrade, serbia (1), re-release (1)</t>
  </si>
  <si>
    <t>The First King</t>
  </si>
  <si>
    <t>tt7278824</t>
  </si>
  <si>
    <t>la</t>
  </si>
  <si>
    <t>Il primo re</t>
  </si>
  <si>
    <t>Romulus and Remus, two shepherds and loyal brothers, end up taking part to a journey that will lead one of them to be the founder of the greatest nation ever seen. However, the fate of the chosen one will pass from killing his own brother.</t>
  </si>
  <si>
    <t>A timeless story of love, blood, and conflict.</t>
  </si>
  <si>
    <t>History, Drama</t>
  </si>
  <si>
    <t>groenlandia, gapbusters, roman citizen entertainment, rai cinema, voo, casa kafka pictures, belfius</t>
  </si>
  <si>
    <t>Belgium, Italy</t>
  </si>
  <si>
    <t>Italiano, Latin</t>
  </si>
  <si>
    <t>Alessio Lapice, Alessandro Borghi, Marina Occhionero, Antonio Orlando, Riccardo Mioni, Antonia Fotaras, Vincenzo Crea, Massimiliano Rossi, Emilio De Marchi, Ludovico Succio, Michael Schermi, Tania Garribba, Lorenzo Gleijeses, Max Malatesta, Danilo Sarappa, Federico Diust, Gabriel Montesi, Martinus Tocchi, Fabrizio Rongione, Marzia Pellegrino, Luca Elmi, Fiorenzo Mattu, Ludovico Micara, Vincenzo Pirrotta</t>
  </si>
  <si>
    <t>Matteo Rovere</t>
  </si>
  <si>
    <t>Daniele Cipr‚àö¬®, Giuseppe Maio</t>
  </si>
  <si>
    <t>Francesca Manieri, Matteo Rovere, Filippo Gravino</t>
  </si>
  <si>
    <t>Matteo Rovere, Andrea Paris</t>
  </si>
  <si>
    <t>Andrea Farri</t>
  </si>
  <si>
    <t>/dqBU63M3cKy7pfVsmhrbgY5X8iv.jpg</t>
  </si>
  <si>
    <t>the first king</t>
  </si>
  <si>
    <t>blank (1), los angeles italia film festival (1), festa do cinema italiano (1), buenos aires international film festival (1), bifest - bari international film festival (1), transatlantyk film festival (1), fantasy filmfest (1), tv premiere (3), internet (1)</t>
  </si>
  <si>
    <t>The Lego Movie 2: The Second Part</t>
  </si>
  <si>
    <t>tt3513498</t>
  </si>
  <si>
    <t>It's been five years since everything was awesome and the citizens are facing a huge new threat: LEGO DUPLO¬¨√Ü invaders from outer space, wrecking everything faster than they can rebuild.</t>
  </si>
  <si>
    <t>They come in pieces.</t>
  </si>
  <si>
    <t>Action, Adventure, Animation, Comedy, Family</t>
  </si>
  <si>
    <t>vertigo entertainment, warner animation group, lord miller, rideback, the lego group, animal logic</t>
  </si>
  <si>
    <t>Canada, Denmark, United States of America</t>
  </si>
  <si>
    <t>Richard Ayoade, Cobie Smulders, Todd Hansen, Nick Offerman, Christopher Miller, Lauren White, Brooklynn Prince, Jimmy O. Yang, Cora Miller, Maya Rudolph, Trisha Gum, Stephanie Beatriz, Doug Nicholas, Emmett Mitchell, Chris McKay, Ryan Halprin, Mike Mitchell, Bruce Willis, Jason Momoa, Margot Rubin, Gary Payton, Will Arnett, Liam Knight, Graham Miller, Ralph Fiennes, Chris Pratt, Noel Fielding, Jadon Sand, Ollie Mitchell, Jorma Taccone, Jonah Hill, Ike Barinholtz, Tiffany Haddish, Sawyer D. Jones, Alison Brie, Will Ferrell, Charlie Day, Ben Schwartz, Emily Nordwind, Elizabeth Banks, Sheryl Swoopes, Will Forte, Channing Tatum</t>
  </si>
  <si>
    <t>Mike Mitchell</t>
  </si>
  <si>
    <t>Christopher Miller, William Moulton Marston, Phil Lord, Joe Shuster, Bob Kane, Jerry Siegel, Matthew Fogel, Bill Finger, Craig Berry</t>
  </si>
  <si>
    <t>Christopher Miller, Phil Lord, Keith Malone, Michael Uslan, Jinko Gotoh, Matthew Ashton, Dan Lin, Chris McKay, Zareh Nalbandian, Chris Leahy, Will Allegra, Roy Lee, Ryan Halprin, Jill Wilfert</t>
  </si>
  <si>
    <t>Mark Mothersbaugh</t>
  </si>
  <si>
    <t>/QTESAsBVZwjtGJNDP7utiGV37z.jpg</t>
  </si>
  <si>
    <t>the lego movie 2: the second part</t>
  </si>
  <si>
    <t>westwood, california (1), premiere (1), blank (62), internet (1)</t>
  </si>
  <si>
    <t>The Prodigy</t>
  </si>
  <si>
    <t>tt4504044</t>
  </si>
  <si>
    <t>A mother concerned about her young son's disturbing behavior thinks something supernatural may be affecting him.</t>
  </si>
  <si>
    <t>What's wrong with Miles?</t>
  </si>
  <si>
    <t>Horror, Thriller</t>
  </si>
  <si>
    <t>vinson films, xyz films, orion pictures</t>
  </si>
  <si>
    <t>Jim Annan, Paula Boudreau, Martin Roach, Michael Dyson, Brock Johnson, Tristan Vasquez, Chris Scian, Martha Girvin, Ashley Black, Taylor Schilling, Jackson Robert Scott, Olunik‚àö¬© Adeliyi, Grace Armas, Milton Barnes, Elisa Moolecherry, Nicholas McCarthy, David Kohlsmith, Andrew MacDonald, Peter Mooney, Colm Feore, Ava Augustin, Alexander Campos, Brittany Allen, Paul Fauteux, Byron Abalos, Olivia Croft, Mark Sparks, Janet Land</t>
  </si>
  <si>
    <t>Nicholas McCarthy</t>
  </si>
  <si>
    <t>Bridger Nielson</t>
  </si>
  <si>
    <t>Jeff Buhler</t>
  </si>
  <si>
    <t>Lisa Zambri, Tripp Vinson, Nick Spicer, Jeff Buhler, Daniel Bekerman</t>
  </si>
  <si>
    <t>Joseph Bishara</t>
  </si>
  <si>
    <t>/yyejodyk3lWncVjVhhrEkPctY9o.jpg</t>
  </si>
  <si>
    <t>the prodigy</t>
  </si>
  <si>
    <t>blank (51), barcelona (1), premiere (2), madrid (1), dvd/blu-ray release (1), digital hd platforms (1), dvd premiere (1)</t>
  </si>
  <si>
    <t>What Men Want</t>
  </si>
  <si>
    <t>tt7634968</t>
  </si>
  <si>
    <t>Magically able to hear what men are thinking, a sports agent uses her newfound ability to turn the tables on her overbearing male colleagues.</t>
  </si>
  <si>
    <t>She can hear men's thoughts. Let the games begin.</t>
  </si>
  <si>
    <t>Comedy, Romance</t>
  </si>
  <si>
    <t>bet films, paramount players, paramount pictures, will packer productions</t>
  </si>
  <si>
    <t>Richard Roundtree, Jay DeVon Johnson, Charmin Lee, Kausar Mohammed, Jason Jones, Erykah Badu, Ashani Roberts, Roshawn Franklin, Shane Paul McGhie, D‚àö¬©j‚àö¬∞ Dee, Pete Davidson, Desi-Ray Morris, Cristian Gonzalez, Taraja Ramsess, Wendi McLendon-Covey, Kyra Claxton, Shaquille O'Neal, Tamala Jones, Lisa Leslie, Kristen Ledlow, JoAnna Lorene, Timothy Carr, Ben Aycrigg, Mark Cuban, Taraji P. Henson, Damita Jane Howard, Christopher Alvarez, Jim France, Antjuan Rhames, Chris Witaske, Shonda Morgan, Taj-Naranja Jenkines, Max Greenfield, Dawn Halfkenny, Karl-Anthony Towns, Paul Brian Johnson, Grant Hill, Justin Alvarez, Charles Green, Adam Silver, Josh Brener, Aldis Hodge, Phoebe Robinson, John Collins, Denitra Isler, Brian Bosworth, Tracy Morgan, Devonta Freeman, Marc Inniss, Kellan Lutz, Auston Jon Moore</t>
  </si>
  <si>
    <t>Adam Shankman</t>
  </si>
  <si>
    <t>Jim Denault</t>
  </si>
  <si>
    <t>Tina Gordon, Alex Gregory, Peter Huyck, Jas Waters</t>
  </si>
  <si>
    <t>Amy Sayres, Taraji P. Henson, Dete Meserve, James Lopez, Will Packer, David McFadzean, Adam Shankman, Matt Williams</t>
  </si>
  <si>
    <t>Brian Tyler</t>
  </si>
  <si>
    <t>/30IiwvIRqPGjUV0bxJkZfnSiCL.jpg</t>
  </si>
  <si>
    <t>what men want</t>
  </si>
  <si>
    <t>blank (21), westwood, california (1), premiere (1), internet (7), dvd premiere (3), tv premiere (1), blu-ray release (1), tv release (1)</t>
  </si>
  <si>
    <t>Isn't It Romantic</t>
  </si>
  <si>
    <t>tt2452244</t>
  </si>
  <si>
    <t>For a long time, Natalie, an Australian architect living in New York City, had always believed that what she had seen in rom-coms is all fantasy. But after thwarting a mugger at a subway station only to be knocked out while fleeing, Natalie wakes up and discovers that her life has suddenly become her worst nightmare‚Äö√Ñ√Æa romantic comedy‚Äö√Ñ√Æand she is the leading lady.</t>
  </si>
  <si>
    <t>None of the Feels</t>
  </si>
  <si>
    <t>Comedy, Fantasy, Romance</t>
  </si>
  <si>
    <t>new line cinema, bron studios, broken road productions, little engine, camp sugar</t>
  </si>
  <si>
    <t>Canada, United States of America</t>
  </si>
  <si>
    <t>Tom Ellis, Rebel Wilson, Liam Hemsworth, Alex Kis, Luciano Acuna Jr., Doris McCarthy, Thomas Canestraro, Brandon Block, Joe Towne, Rao Rampilla, Bowen Yang, Betty Gilpin, Shyrley Rodriguez, Stacey Alyse Cohen, Seth Barrish, Joseph R. Sicari, Esteban Benito, Ron Nakahara, Dean Neistat, Sandy Honig, Hunter Clowdus, Jennifer Saunders, Trevor Kuhn, Michelle Buteau, Sawandi Wilson, Eugenia Kuzmina, Jay Oakerson, Brandon Scott Jones, Marcus Choi, Alana Da Fonseca, Jacqueline Honulik, Lorrie Odom, Marmee Regine Cosico, Shonali Bhowmik, Hugh Sheridan, Adam Devine, Marija Abney, Raymond Anthony Thomas, Zach Cherry, Leonard Zimmerman, Rosemary Howard, Priyanka Chopra Jonas</t>
  </si>
  <si>
    <t>Todd Strauss-Schulson</t>
  </si>
  <si>
    <t>Simon Duggan</t>
  </si>
  <si>
    <t>Erin Cardillo, Katie Silberman, Dana Fox</t>
  </si>
  <si>
    <t>Jason Cloth, Rebel Wilson, Marty P. Ewing, Gina Matthews, Dave Neustadter, Grant Scharbo, Richard Brener, Todd Garner, Aaron L. Gilbert</t>
  </si>
  <si>
    <t>John Debney</t>
  </si>
  <si>
    <t>/5xNBYXuv8wqiLVDhsfqCOr75DL7.jpg</t>
  </si>
  <si>
    <t>isn't it romantic</t>
  </si>
  <si>
    <t>los angeles (1), premiere (1), blank (7), internet (21), dvd premiere (1)</t>
  </si>
  <si>
    <t>yes</t>
  </si>
  <si>
    <t>Happy Death Day 2U</t>
  </si>
  <si>
    <t>tt8155288</t>
  </si>
  <si>
    <t>Collegian Tree Gelbman wakes up in horror to learn that she's stuck in a parallel universe. Her boyfriend Carter is now with someone else, and her friends and fellow students seem to be completely different versions of themselves. When Tree discovers that Carter's roommate has been altering time, she finds herself once again the target of a masked killer. When the psychopath starts to go after her inner circle, Tree soon realizes that she must die over and over again to save everyone.</t>
  </si>
  <si>
    <t>Death makes a killer comeback.</t>
  </si>
  <si>
    <t>Comedy, Horror, Science Fiction</t>
  </si>
  <si>
    <t>digital riot media, blumhouse productions</t>
  </si>
  <si>
    <t>Jimmy Gonz‚àö¬∞les, Blaine Kern III, Steve Zissis, Peter Jaymes Jr., Wendy Miklovic, Tran Tran, Ruby Modine, Jessica Rothe, Rachel Matthews, Israel Broussard, Caleb Spillyards, Kenneth Israel, Johnny Ballance, Missy Yager, James W. Evermore, Lindsey G. Smith, Sarah Yarkin, Suraj Sharma, Tenea Intriago, Phi Vu, Jason Bayle, Charles Aitken, Rob Mello, Laura Clifton</t>
  </si>
  <si>
    <t>Christopher Landon</t>
  </si>
  <si>
    <t>Toby Oliver</t>
  </si>
  <si>
    <t>Christopher Landon, Scott Lobdell</t>
  </si>
  <si>
    <t>John Baldecchi, Angela Mancuso, Jason Blum, Jeanette Volturno, Couper Samuelson, Samson Mucke</t>
  </si>
  <si>
    <t>Bear McCreary</t>
  </si>
  <si>
    <t>/4tdnePOkOOzwuGPEOAHp8UA4vqx.jpg</t>
  </si>
  <si>
    <t>happy death day 2u</t>
  </si>
  <si>
    <t>blank (50), dvd premiere (2)</t>
  </si>
  <si>
    <t>Fighting with My Family</t>
  </si>
  <si>
    <t>tt6513120</t>
  </si>
  <si>
    <t>Born into a tight-knit wrestling family, Paige and her brother Zak are ecstatic when they get the once-in-a-lifetime opportunity to try out for the WWE. But when only Paige earns a spot in the competitive training program, she must leave her loved ones behind and face this new cutthroat world alone. Paige's journey pushes her to dig deep and ultimately prove to the world that what makes her different is the very thing that can make her a star.</t>
  </si>
  <si>
    <t>A comedy about a family that fights a little differently.</t>
  </si>
  <si>
    <t>Comedy</t>
  </si>
  <si>
    <t>wwe studios, misher films, seven bucks productions, film4 productions, the ink factory, metro-goldwyn-mayer</t>
  </si>
  <si>
    <t>United Kingdom, United States of America</t>
  </si>
  <si>
    <t>Simon Kippen, Jerry Lawler, Leah Harvey, Sofia Abbasi, Nathan Cruz, Ellie Gonsalves, Stephen Farrelly, Vince Vaughn, James O'Hagan, Hannah Dodd, Julia Davis, John Cena, Toby Clements, Christine Ozanne, Robert McLanachan, Scott Gibson, Rishpal Singh Landa, Hannah Rae, Barry McGiven, Erin Marshall, Justin Sysum, James Mason, Thea Trinidad, Ashley Darkwood, Ian O'Keefe, Dwayne Johnson, Jon Kocel, Robin Lekime, Adam Maxted, Lucy Garland, Samantha Allen, Thomas Whilley, Jerome Fleisch, Constantinos Panayi, Paul Wight, Lena Headey, Ildar Safin, Chelsea Labadini, Florence Pugh, Rishi Ghosh, James Kiddie, Michael Coulthard, Ciaran Dowd, Joseph Carolan, Matt Lanes, Simon Musk, Alexander Holland, Darrell Allen, Julia Hamer-Bevis, Harry Lynch-Bowers, Nick Frost, Nickolaus Barnes, Kim Matula, Matt Newton-Walters, Brendon Burns, Aqueela Zoll, Gareth Harris, Sonny Branson, Jack Gouldbourne, Patrick Bevis, Roy Bevis, Chuey Okoye, Lee Balls, Mohammad Amiri, Andrew Kybett, Bellevedere Ballantyne, Martin Kelly, Olivia Bernstone, Josh Myers, Stephen Merchant, Tori Ellen Ross, Saraya Bevis, Folakemi Lawal, Cassius Cupid, Joshua Faulkner, Jordan Rolfe, Samantha Alleyne, Feizal Mowlabocus, Zak Frary, Rod Zapata, James 'JD Knight' Dunn, Chris Albright, James Burrows, Paul Robinson, Charlie Sterling, Mike Mizanin, Grace Link, Elroy Powell, Jonathan Jules, Jack Lowden, Aaron Sharp, Alex Decunha, David Minton, Janine Schnaars, John Layfield, Chloe Csengery</t>
  </si>
  <si>
    <t>Stephen Merchant</t>
  </si>
  <si>
    <t>Remi Adefarasin</t>
  </si>
  <si>
    <t>Rhodri Thomas, Kevin Misher, Dany Garcia, Dwayne Johnson, Stephen Merchant, Tracey Josephs, Michael J. Luisi, Daniel Battsek, Hiram Garcia, David Kosse, Andy Berman</t>
  </si>
  <si>
    <t>Ellie Goulding, Vik Sharma</t>
  </si>
  <si>
    <t>/fU4UrY5tTAYAXIzFs7oR9BK5Cqx.jpg</t>
  </si>
  <si>
    <t>fighting with my family</t>
  </si>
  <si>
    <t>sundance film festival (1), limited (1), blank (35), dvd premiere (3), internet (1), tv premiere (3), rtp 1 (1)</t>
  </si>
  <si>
    <t>Gully Boy</t>
  </si>
  <si>
    <t>tt2395469</t>
  </si>
  <si>
    <t>hi</t>
  </si>
  <si>
    <t>‚Ä°¬ß√≥‚Ä°¬ß‚â§‚Ä°‚Ä¢√ß‚Ä°¬ß‚â§‚Ä°‚Ä¢√Ñ ‚Ä°¬ß¬®‚Ä°‚Ä¢√¢‚Ä°¬ß√ò</t>
  </si>
  <si>
    <t>A coming-of-age story based on the lives of street rappers in Mumbai.</t>
  </si>
  <si>
    <t>Apna Time Aayega!</t>
  </si>
  <si>
    <t>Drama, Music</t>
  </si>
  <si>
    <t>excel entertainment, tiger baby</t>
  </si>
  <si>
    <t>India</t>
  </si>
  <si>
    <t>‚Ä°¬ßœÄ‚Ä°¬ß√∏‚Ä°¬ß¬Æ‚Ä°‚Ä¢√ß‚Ä°¬ß¬∂‚Ä°‚Ä¢√Ñ, English</t>
  </si>
  <si>
    <t>Sambhav Jain, Svar Kamble, Siddhant Chaturvedi, Vijay Raaz, Ranveer Singh, Jyoti Subhash, Vijay Maurya, Vijay Varma, Amruta Subhash, Ikhlaque Khan, Srishti Shrivastava, Jasleen Kaur Royal, Kubbra Sait, Sheeba Chaddha, Kalki Koechlin, Alia Bhatt</t>
  </si>
  <si>
    <t>Zoya Akhtar</t>
  </si>
  <si>
    <t>Jay Oza</t>
  </si>
  <si>
    <t>Zoya Akhtar, Vijay Maurya, Reema Kagti</t>
  </si>
  <si>
    <t>Zoya Akhtar, Farhan Akhtar, Ritesh Sidhwani, Stuti Ramachandra</t>
  </si>
  <si>
    <t>Ankur Tewari</t>
  </si>
  <si>
    <t>/4RE7TD5TqEXbPKyUHcn7CSeMlrJ.jpg</t>
  </si>
  <si>
    <t>gully boy</t>
  </si>
  <si>
    <t>berlin international film festival (1), blank (17), limited (3), english subtitled version (2), event release (1), asian film archive (1), hong kong asian film festival (1), palm springs international film festival (1), five flavours asian film festival (1), dvd premiere (1), marrakech international film festival (1)</t>
  </si>
  <si>
    <t>Dragged Across Concrete</t>
  </si>
  <si>
    <t>tt6491178</t>
  </si>
  <si>
    <t>Two policemen, one an old-timer, the other his volatile younger partner, find themselves suspended when a video of their strong-arm tactics becomes the media's cause du jour. Low on cash and with no other options, these two embittered soldiers descend into the criminal underworld to gain their just due, but instead find far more than they wanted awaiting them in the shadows.</t>
  </si>
  <si>
    <t>Those who can't earn a living must find another way to provide</t>
  </si>
  <si>
    <t>Crime, Action, Thriller</t>
  </si>
  <si>
    <t>cinestate, look to the sky films, unified pictures, realmbuilders productions, the fyzz, endeavor content, summit entertainment</t>
  </si>
  <si>
    <t>Canada, United Kingdom, United States of America</t>
  </si>
  <si>
    <t>Andres Soto, Thomas Kretschmann, Vince Vaughn, Tristan Jensen, Myles Truitt, Don Johnson, Harry Han, Eric Bempong, David Quinlan, Jenn Griffin, Jordyn Ashley Olson, Laurie Holden, Emilio Merritt, Paul Rogic, Simon Chin, Veronika London, Udo Kier, Jennifer Carpenter, Adam Tsekhman, Primo Allon, Dalias Blake, Giacomo Baessato, Matt Kennedy, Tattiawna Jones, Jay Hindle, Jasmine Lukuku, Andrea Pizarro, Mel Gibson, Clare Filipow, Vivian Ng, Richard Newman, Noel Gugliemi, Mekhi Fester, Trezzo Mahoro, Vanessa Bell Calloway, Andrew Dunbar, Michael Jai White, Fred Melamed, Liannet Borrego, Bzhaun Rhoden, Matthew MacCaull, Justine Warrington, Patrick Dodd, Cardi Wong, Cameron Grierson, Tory Kittles</t>
  </si>
  <si>
    <t>S. Craig Zahler</t>
  </si>
  <si>
    <t>Benji Bakshi</t>
  </si>
  <si>
    <t>Ben Ruffman, C. Steve Goldstein, Larry Olmstead, Keith Kjarval, Justin Jacobson, Dallas Sonnier, Sefton Fincham, Mike Rowe, Dean Buchanan, Robert Jones, Wayne Marc Godfrey, Tyler Jackson, Levi Sheck, Shafin Diamond</t>
  </si>
  <si>
    <t>Jeff Herriott, S. Craig Zahler</t>
  </si>
  <si>
    <t>/dQ9EkVyPYJNVCfP5jWXRe4faUFA.jpg</t>
  </si>
  <si>
    <t>dragged across concrete</t>
  </si>
  <si>
    <t>venice film festival (1), beyond fest (1), bfi london film festival (1), monster fest (1), blank (22), glasgow film festival (1), brussels international fantastic film festival (1), dvd premiere (4), internet (5), dvd and blu-ray and premiere (1), dvd and blu-ray premiere (1), cinema australia (1), tv premiere (3)</t>
  </si>
  <si>
    <t>The Boat</t>
  </si>
  <si>
    <t>tt7468616</t>
  </si>
  <si>
    <t>A lone fisherman on his daily run finds himself lost in a thick fog which proves impossible to navigate. The worst is yet to come when his encounter with a seemingly abandoned sailboat becomes a fight for survival against an enemy unknown.</t>
  </si>
  <si>
    <t>Abandoned. Adrift. Not alone.</t>
  </si>
  <si>
    <t>Thriller, Mystery, Horror</t>
  </si>
  <si>
    <t>latina pictures, hurricane films</t>
  </si>
  <si>
    <t>Malta, United Kingdom</t>
  </si>
  <si>
    <t>Joe Azzopardi</t>
  </si>
  <si>
    <t>Winston Azzopardi</t>
  </si>
  <si>
    <t>Marek Traskowski</t>
  </si>
  <si>
    <t>Winston Azzopardi, Joe Azzopardi</t>
  </si>
  <si>
    <t>Rita Galea, Winston Azzopardi, Galea Yolanda, Roy Boulter, Sol Papadopoulos, Joe Azzopardi</t>
  </si>
  <si>
    <t>Lachlan Anderson</t>
  </si>
  <si>
    <t>/ccDmzCsv5JWSkl0qygYPIIMcc8d.jpg</t>
  </si>
  <si>
    <t>the boat</t>
  </si>
  <si>
    <t>fantastic fest (1), beyond fest film festival (1), malta india film festival (1), blank (5), tv release (1), l'√©trange festival (1), internet (2), dvd and blu-ray and premiere (2), blu-ray release (1), tv premiere (1)</t>
  </si>
  <si>
    <t>A Madea Family Funeral</t>
  </si>
  <si>
    <t>tt7054636</t>
  </si>
  <si>
    <t>A joyous family reunion becomes a hilarious nightmare as Madea and the crew travel to backwoods Georgia, where they find themselves unexpectedly planning a funeral that might unveil unpleasant family secrets.</t>
  </si>
  <si>
    <t>She puts the fun in funeral.</t>
  </si>
  <si>
    <t>tyler perry studios</t>
  </si>
  <si>
    <t>Kelvin D. Armstrong, Patricia Rochelle Allen, KJ Smith, Christianee Porter, Lanita C. Brinson, Aeri‚àö¬©l Miranda, Odin Gomez, Zaviel Janae, Erik W. Coleman, Victoria Hardway, Courtney Burrell, Quin Walters, Tiffany Boone, Derek Morgan, Jada Howard, Raechelle Lauren Garner, Patrice Lovely, Marissa Patrice Rouse, Ayana Maceida McDonald, Mike Tyson, Ciera Payton, Latrice Pace, Tiffany Black, Donald E. Grissom Jr., Branden Miller, Monique C Baisden, Alisha 'A.J.' Blanding, Charles Adams, Sheena Alexandria Evans, Alexa Medina, Selena Anduze, David Otunga, Rome Flynn, Cassi Davis, Ary Katz, Nick Smoot, Tyler Perry, Calvin Bernard Brown, Freshun Wilson, Glennie Y. Williams, Chandra Currelley-Young, Derek Lamont, Darryl W. Handy, Joel Rush, David Dunston, Ericka Smith, Karlton Humes, Andrea Pelican-Ray, Jen Harper</t>
  </si>
  <si>
    <t>Tyler Perry</t>
  </si>
  <si>
    <t>Richard J. Vialet</t>
  </si>
  <si>
    <t>Tyler Perry, Mark E. Swinton, Will Areu, Ozzie Areu</t>
  </si>
  <si>
    <t>Philip White</t>
  </si>
  <si>
    <t>/sFvOTUlZrIxCLdmz1fC16wK0lme.jpg</t>
  </si>
  <si>
    <t>a madea family funeral</t>
  </si>
  <si>
    <t>blank (5), limited (1), blu-ray premiere (1), internet (3)</t>
  </si>
  <si>
    <t>The Professor and the Madman</t>
  </si>
  <si>
    <t>tt5932728</t>
  </si>
  <si>
    <t>Professor James Murray begins work compiling words for the first edition of the Oxford English Dictionary in the mid 19th century, and receives over 10,000 entries from a patient at Broadmoor Criminal Lunatic Asylum, Dr. William Minor.</t>
  </si>
  <si>
    <t>The incredible true story that defined our world.</t>
  </si>
  <si>
    <t>History, Drama, Mystery, Thriller</t>
  </si>
  <si>
    <t>fastnet films, 22h22, caviar antwerp nv, definition films, zik zak filmworks, voltage pictures, f‚àö¬∞brica de cine, icon productions</t>
  </si>
  <si>
    <t>France, Ireland, Mexico, United States of America, Iceland, Belgium</t>
  </si>
  <si>
    <t>Lars Brygmann, Eddie Marsan, Mel Gibson, Natalie Dormer, Steve Coogan, Kieran O'Reilly, Aidan McArdle, Anthony Andrews, John Morton, Olivia McKevitt, Robert McCormack, Brian Fortune, David O'Hara, Sean Duggan, Jennifer Ehle, Bryan Murray, Ioan Gruffudd, Laurence Fox, David Crowley, Steve Gunn, Sean Penn, Lucas Browne, Malcolm Freeman, Joe McKinney, Abigail Coburn, Jeremy Irvine, Shane Noone, Brendan Patricks, Adam Fergus, Paul Gough, Bryan Quinn, Ronan O'Connor, Stephen Dillane, Christopher Maleki, Oengus MacNamara</t>
  </si>
  <si>
    <t>Farhad Safinia</t>
  </si>
  <si>
    <t>Kasper Tuxen</t>
  </si>
  <si>
    <t>John Boorman, Todd Komarnicki, Simon Winchester, Farhad Safinia</t>
  </si>
  <si>
    <t>Mel Gibson, Bruce Davey, Gast‚àö‚â•n Pavlovich</t>
  </si>
  <si>
    <t>/gtGCDLhfjW96qVarwctnuTpGOtD.jpg</t>
  </si>
  <si>
    <t>the professor and the madman</t>
  </si>
  <si>
    <t>blank (36), semana de cine europeo (1), internet (6), limited (1), fantasy filmfest (1), dvd premiere (2), dvd and blu-ray premiere (1), deauville american film festival (1), rtp 1 (1), tv premiere (1), tv release (1)</t>
  </si>
  <si>
    <t>The Kid</t>
  </si>
  <si>
    <t>tt4975920</t>
  </si>
  <si>
    <t>New Mexico Territory, 1880. Rio Cutler and his older sister Sara must abandon their home after an unfortunate event happens. In their desperate flee to Santa Fe, they cross paths with the infamous outlaw Billy the Kid and his gang, who are ruthlessly pursued by a posse led by Sheriff Pat Garret.</t>
  </si>
  <si>
    <t>It only matters the story they tell when you're gone</t>
  </si>
  <si>
    <t>Western, Drama, Action</t>
  </si>
  <si>
    <t>suretone pictures, mimran schur pictures</t>
  </si>
  <si>
    <t>Christian Dalton, Jake Schur, Charlie Chappell, Carlos Amorin, Merritt C. Glover, Chad Dashnaw, Vincent D'Onofrio, Joe Berryman, Chris Pratt, Tait Fletcher, Jacob Browne, Danielle Haynes, Adam Baldwin, Jenny Gabrielle, Yvette Fazio-Delaney, Clint Obenchain, Shannon Henderson Herrera, MorningStar Angeline, Sarah Murrey, Dillon D. Jordan, Rachel de la Torre, Leslie Fleming-Mitchell, David Hight, J. Nathan Simmons, Keith Jardine, Howard Ferguson Jr., Cameron Thurlow, Rose Cordova, Diana Navarrete, Santo Militello, Efrain Villa, Douglas Bennett, David Christian Welborn, David Devereaux, Joseph Santos, Thomas Wingate, Ethan Hawke, Ben Dickey, Hawk D'Onofrio, Leila George, Samantha Zajarias, Georgia Kirshenbaum, Chris Bylsma, Dane DeHaan, Stafford Douglas, Rip Lowe, Rachel Singer</t>
  </si>
  <si>
    <t>Vincent D'Onofrio</t>
  </si>
  <si>
    <t>Matthew J. Lloyd</t>
  </si>
  <si>
    <t>Andrew Lanham, Vincent D'Onofrio</t>
  </si>
  <si>
    <t>Carl Stubner, Sejal M. Patel, Richard Brickell, Ali Jazayeri, Jonah Loop, David Mimran, Sam Maydew, JoJo Chehebar, Jonathan Bross, Christian Mercuri, Dillon D. Jordan, Jordan Schur, Nick Thurlow, David Gendron, Samir M. Patel</t>
  </si>
  <si>
    <t>Latham Gaines, Shelby Gaines</t>
  </si>
  <si>
    <t>/62kTr2OP9itiyboPCpbhdvty9eV.jpg</t>
  </si>
  <si>
    <t>the kid</t>
  </si>
  <si>
    <t>blank (12), dvd and blu-ray premiere (1), dvd, blu- ray &amp; digital release (1), dvd and blu-ray and premiere (2), blu-ray premiere (1), tv premiere (2), limited (1), internet (2), dvd premiere (1), rtp 1 (1)</t>
  </si>
  <si>
    <t>Wonder Park</t>
  </si>
  <si>
    <t>tt6428676</t>
  </si>
  <si>
    <t>A young girl named June with a big imagination makes an incredible discovery -- the amusement park of her dreams has come to life. Filled with the world's wildest rides operated by fun-loving animals, the excitement never ends. But when trouble hits, June and her misfit team of furry friends begin an unforgettable journey to save the park.</t>
  </si>
  <si>
    <t>Dream Bigger</t>
  </si>
  <si>
    <t>Comedy, Animation, Adventure, Family, Fantasy</t>
  </si>
  <si>
    <t>nickelodeon movies, paramount animation, ilion animation studios, paramount pictures</t>
  </si>
  <si>
    <t>Spain, United States of America</t>
  </si>
  <si>
    <t>Ken Hudson Campbell, Oev Michael Urbas, Fr‚àö¬©d‚àö¬©ric Longbois, Sofia Mali, Ken Jeong, Norbert Leo Butz, Jennifer Garner, Kenan Thompson, Odah Sama, Kath Soucie, Brianna Denski, Lisa Foiles, Marc Lavoine, Samir Dako, Matthew Broderick, Mila Kunis, Kevin Chamberlin, John Oliver, Kate McGregor-Stewart</t>
  </si>
  <si>
    <t>Dylan Brown</t>
  </si>
  <si>
    <t>Andr‚àö¬© Nemec, Josh Appelbaum, Robert Gordon, J‚àö‚àèrgen Klubien, Russ Edmonds, Mark Dindal</t>
  </si>
  <si>
    <t>Ignacio P‚àö¬©rez Dolset, Andr‚àö¬© Nemec, Josh Appelbaum, Don Hahn, Karen Rosenfelt, Kendra Haaland</t>
  </si>
  <si>
    <t>Steven Price</t>
  </si>
  <si>
    <t>/8KomINZhIuJeB4oB7k7tkq8tmE.jpg</t>
  </si>
  <si>
    <t>wonder park</t>
  </si>
  <si>
    <t>blank (57), dvd premiere (2), internet (1)</t>
  </si>
  <si>
    <t>Hotel Mumbai</t>
  </si>
  <si>
    <t>tt5461944</t>
  </si>
  <si>
    <t>Mumbai, India, November 26, 2008. While several terrorists spread hatred and death through the city, others attack the Taj Mahal Palace Hotel. Both hotel staff and guests risk their lives, making unthinkable sacrifices to protect themselves and keep everyone safe while help arrives.</t>
  </si>
  <si>
    <t>November 26, 2008‚Äö√Ñ¬∂ Terror struck the heart of India.</t>
  </si>
  <si>
    <t>Thriller, History, Drama, Action</t>
  </si>
  <si>
    <t>xeitgeist entertainment group, screen australia, south australian film corporation, arclight films, double guess productions, screenwest, lotterywest, hamilton films, thunder road, electric pictures</t>
  </si>
  <si>
    <t>Australia, Singapore, United States of America, United Kingdom</t>
  </si>
  <si>
    <t>English, √ø√ü≈∏√ë√øœÄ√ø¬±√ø¬Æ≈∏√§√ø¬©, ≈í¬µ≈í¬™≈í¬™≈í‚àë≈íŒ©≈íœÄ≈í‚à´≈í¬®, ‚Ä°¬ßœÄ‚Ä°¬ß√∏‚Ä°¬ß¬Æ‚Ä°‚Ä¢√ß‚Ä°¬ß¬∂‚Ä°‚Ä¢√Ñ, P‚Äî√â‚Äî√Ö‚Äî√Ö‚Äì‚à´‚Äì‚àè‚ÄìœÄ, , ‚Ä°¬Æ‚Ñ¢‚Ä°¬©‚àû‚Ä°¬Æ√∫‚Ä°¬Æ√¶‚Ä°¬Æ¬®‚Ä°¬©√Ñ, ≈∏√Ö√ø√ü√ø¬±√ø‚â•‚Ç¨√•, √ø√ü√ø¬±√ø√ò≈∏√†</t>
  </si>
  <si>
    <t>Kapil Kumar Netra, Zenia Starr, Vitthal Kale, Nitin Dhiman, Harjeet Singh, Angus McLaren, Dinesh Kumar, Pawan Singh, Manoj Mehra, Carmel Johnson, Nagesh Bhonsle, Naina Sareen, Ansuya Nathan, Amriptal Singh, Mona Mathews, Jason Isaacs, Marc Iserlis, Devyani Mandavgane, Dev Patel, Natasha Liu Bordizzo, Armie Hammer, Akhilesh Harsh, Rohan Mirchandaney, Alex Pinder, Mariette Valsan, Shiv Dev Singh, Carmen Duncan, Raunak Bhinder, Vipin Sharma, Abhiroy Singh, Mohammad Arafat Sarguroh, Rodney Afif, Adithi Kalkunte, Ishan Khanna, Rory Walker, Amandeep Singh, Anupam Kher, Aradhana Dhawan, Gaurav Paswala, Takila Wood, Bhidhisha Ghosh, Tilda Cobham-Hervey, Sachin Joab, Divya Unny, Nazanin Boniadi, Jude Henshaw, Trishaan Sarkar, Suhail Nayyar, Chantal Contouri, Lee Perry</t>
  </si>
  <si>
    <t>Anthony Maras</t>
  </si>
  <si>
    <t>Nick Matthews</t>
  </si>
  <si>
    <t>Anthony Maras, John Collee</t>
  </si>
  <si>
    <t>Catherine Prosser, Manraj S. Sekhon, Bryce Menzies, Joseph Newton Cohen, Richard Toussaint, Anthony Maras, Andrew Ogilvie, Dev Patel, Joan Peters, Min-Li Tan, Mike Gabrawy, Natalya Pavchinskaya, Ryan Hamilton, Gary Hamilton, Andrea Quesnelle, Jonathan Fuhrman, Jomon Thomas, John Collee, Ying Ye, Basil Iwanyk, Kent Kubena, Anand Tharmaratnam, Masaaki Tanaka, Gary Ellis, Julie Ryan, Mark Montgomery</t>
  </si>
  <si>
    <t>Volker Bertelmann</t>
  </si>
  <si>
    <t>/v32SC4HFZtlDRWXMaR2V2dWqAXJ.jpg</t>
  </si>
  <si>
    <t>hotel mumbai</t>
  </si>
  <si>
    <t>toronto international film festival (1), premiere (2), adelaide film festival (1), palm springs international film festival (1), dublin film festival (1), glasgow film festival (1), arizona (2), phoenix film festival (1), manchester film festival (1), sedona international film festival (1), omaha film festival (1), cinequest film festival (1), blank (45), internet (4), los angeles, ca (1), new york, ny (1), beijing international film festival (1), bcn film fest (1), fantasy filmfest (1), dvd and blu-ray premiere (2), blu-ray release (1), vod/digital platforms (1), tv release (1)</t>
  </si>
  <si>
    <t>Us</t>
  </si>
  <si>
    <t>tt6857112</t>
  </si>
  <si>
    <t>Husband and wife Gabe and Adelaide Wilson take their kids to their beach house expecting to unplug and unwind with friends. But as night descends, their serenity turns to tension and chaos when some shocking visitors arrive uninvited.</t>
  </si>
  <si>
    <t>Watch yourself.</t>
  </si>
  <si>
    <t>Horror, Mystery</t>
  </si>
  <si>
    <t>monkeypaw productions, universal pictures, perfect world pictures, blumhouse productions, qc entertainment</t>
  </si>
  <si>
    <t>Madison Curry, Ashley McKoy, Anna Diop, Lupita Nyong'o, Lon Gowan, Alessandro Garcia, Elisabeth Moss, Darrel Cherney, James Cobb, Cali Sheldon, Napiera Groves, Winston Duke, Nathan Harrington, Yahya Abdul-Mateen II, Alan Frazier, Evan Alex, Jordan Peele, Shahadi Wright Joseph, Dustin Ybarra, Duke Nicholson, Kara Hayward, Noelle Sheldon, David M Sandoval Jr., Tim Heidecker</t>
  </si>
  <si>
    <t>Jordan Peele</t>
  </si>
  <si>
    <t>Mike Gioulakis</t>
  </si>
  <si>
    <t>Sean McKittrick, Beatriz Sequeira, Jordan Peele, Ian Cooper, Daniel Lupi, Jason Blum</t>
  </si>
  <si>
    <t>Michael Abels</t>
  </si>
  <si>
    <t>/ux2dU1jQ2ACIMShzB3yP93Udpzc.jpg</t>
  </si>
  <si>
    <t>us</t>
  </si>
  <si>
    <t>south by southwest film festival (1), blank (60), internet (1)</t>
  </si>
  <si>
    <t>Five Feet Apart</t>
  </si>
  <si>
    <t>tt6472976</t>
  </si>
  <si>
    <t>Seventeen-year-old Stella spends most of her time in the hospital as a cystic fibrosis patient. Her life is full of routines, boundaries and self-control ‚Äö√Ñ√Æ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</si>
  <si>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When life keeps you apart, fight for every inch.</t>
  </si>
  <si>
    <t>Romance, Drama</t>
  </si>
  <si>
    <t>wayfarer entertainment, cbs films</t>
  </si>
  <si>
    <t>English, Fran‚àö√üais, Espa‚àö¬±ol</t>
  </si>
  <si>
    <t>Trina LaFargue, Mois‚àö¬©s Arias, Demi Castro, Jim Gleason, Cole Sprouse, Maxwell Baldoni, Rebecca Chulew, Cynthia Evans, Evangeline Hill, Ariana Guerra, Sophia Bernard, Claire Forlani, Todd Terry, Sue-Lynn Ansari, Kristopher Perez, Brett Austin Johnson, Haley Lu Richardson, Cecilia Leal, Ivy Dubreuil, Parminder Nagra, Gary Weeks, Armando Leduc, Kimberly H‚àö¬©bert Gregory, Phillip Mullings Jr., Johnny Otto, Emily Baldoni, Keianna Nutley</t>
  </si>
  <si>
    <t>Justin Baldoni</t>
  </si>
  <si>
    <t>Frankie DeMarco</t>
  </si>
  <si>
    <t>Mikki Daughtry, Tobias Iaconis</t>
  </si>
  <si>
    <t>Christopher H. Warner, Cathy Schulman, Justin Baldoni</t>
  </si>
  <si>
    <t>Brian Tyler, Breton Vivian</t>
  </si>
  <si>
    <t>/kreTuJBkUjVWePRfhHZuYfhNE1T.jpg</t>
  </si>
  <si>
    <t>five feet apart</t>
  </si>
  <si>
    <t>blank (87), dvd premiere (2), internet (2), tv release (1)</t>
  </si>
  <si>
    <t>Captive State</t>
  </si>
  <si>
    <t>tt5968394</t>
  </si>
  <si>
    <t>Nearly a decade after occupation by an extraterrestrial force, the lives of a Chicago neighborhood on both sides of the conflict are explored. In a working-class Chicago neighborhood occupied by an alien force for nine years, increased surveillance and the restriction of civil rights have given rise to an authoritarian system -- and dissent among the populace.</t>
  </si>
  <si>
    <t>10 years ago, they took our planet. Today, we take it back!</t>
  </si>
  <si>
    <t>Science Fiction, Action, Thriller</t>
  </si>
  <si>
    <t>participant, lightfuse &amp; gettaway</t>
  </si>
  <si>
    <t>Michael Christopher Collins, Meghan Murphy, Mickey O'Sullivan, Elena Marisa Flores, Ashton Sanders, Wendi Weber, David J. Height, Kevin J. O'Connor, Madeline Brewer, John Goodman, Shannon Cochran, Ronald L. Conner, Marc Grapey, Kevin Dunn, Chronicle Ganawah, John Brady, D. B. Sweeney, Jane Baxter Miller, Jason Bradley, Jackie Saland, Bries Vannon, Chike Johnson, Laura Fisher, Lawrence Grimm, Yasen Peyankov, Ben Daniels, Otis Winston, Patrese McClain, James Ransone, Greg Nicotero, Brian 'Wolfman Black' Bowman, Rene L. Moreno, Guy Van Swearingen, Marcos Barnes, mgk, Alan Ruck, James Hatten, Linsey Page Morton, Mino Mackic, Carey Jones, Eric C. Lynch, KiKi Layne, Vera Farmiga, Julius Mercer, Zach Thomas, Giota Trakas, Steve Herson, Megan Brooke Long, Lucien Cambric, Jonathan Majors, Jos‚àö¬© Antonio Garc‚àö‚â†a, Matthew Lucki, Collin Woldt, Robert Forte Shannon III, Lizzy Leigh, Danny Goldring, Alex Henderson, Ta'Rhonda Jones, Cyrus Alexander, Ilyssa Fradin, Avery Lee, Kelly Cole, Christian Isely, Caitlin Ewald</t>
  </si>
  <si>
    <t>Rupert Wyatt</t>
  </si>
  <si>
    <t>Alex Disenhof</t>
  </si>
  <si>
    <t>Erica Beeney, Rupert Wyatt</t>
  </si>
  <si>
    <t>Jonathan King, Rupert Wyatt, Jeff Skoll, Ron Schmidt, David Crockett, Adam Simon</t>
  </si>
  <si>
    <t>Rob Simonsen</t>
  </si>
  <si>
    <t>/cVo7lylXAUDGuvDZBUYaP8Zjbku.jpg</t>
  </si>
  <si>
    <t>captive state</t>
  </si>
  <si>
    <t>blank (30), dvd premiere (4), internet (2), tv premiere (2), rtp 1 (1)</t>
  </si>
  <si>
    <t>The Beach Bum</t>
  </si>
  <si>
    <t>tt6511932</t>
  </si>
  <si>
    <t>An irreverent comedy about the misadventures of Moondog, a rebellious stoner and lovable rogue who lives large.</t>
  </si>
  <si>
    <t>You gotta go low to get high.</t>
  </si>
  <si>
    <t>riverstone pictures, vice studios, spk pictures, rocketscience, iconoclast, anonymous content, le grisbi productions</t>
  </si>
  <si>
    <t>France, Switzerland, United Kingdom, United States of America</t>
  </si>
  <si>
    <t>Alan Frankel, Todd Mitchell, Devon James, Karla Goodwin, Jenny Ariza, Andrea Bennetti, Barry Mizerski, Sandro Paes, A. Ali Flores, Hunter Rearden, Martin Lawrence, Bertie Higgins, Lefty Korine, Debra Cohen, Jonah Hill, Jo Marie Payton, Jimmy Buffett, Matthew McConaughey, Joshua Rosen, Ricardo Matallana, Arthur Bivens, Zac Efron, Stefania LaVie Owen, David Bennett, Leah Van Dale, Clinton Archambault, Dvorah Marie, Tonya Oliver, Dustin Greer, Joshua Ritter, John Morris, Ricky Diaz, London Seabreeze, Francis Allen, Chela Arias, Sharon Pfeiffer, Daniele Cecere, Donovan St V. Williams, Snoop Dogg, Isla Fisher</t>
  </si>
  <si>
    <t>Harmony Korine</t>
  </si>
  <si>
    <t>Beno‚àö√Üt Debie</t>
  </si>
  <si>
    <t>Nik Bower, Charles-Marie Anthonioz, Chiara Gelardin, Will Weiske, John Lesher, Mourad Belkeddar, Nicolas Lhermitte, Karl Spoerri, Shane Smith, Thorsten Schumacher, Danny Gabai, Emmeline Yang, Eddy Moretti, Deepak Nayar, Steve Golin, Marc Schmidheiny</t>
  </si>
  <si>
    <t>/iXMxdC7T0t3dxislnUNybcvJmAH.jpg</t>
  </si>
  <si>
    <t>the beach bum</t>
  </si>
  <si>
    <t>south by southwest film festival (1), luxembourg city film festival (1), vilnius international film festival (1), blank (25), hollywood, california (1), premiere (1), brussels international fantastic film festival (1), indielisboa (1), new horizons film festival (1), internet (2), milano film festival (1), taipei golden horse film festival (1), moma - the contenders (1), tv premiere (1), tabakalera international centre for contemporary culture (1), athens avant garde film festival (1), dvd premiere (1)</t>
  </si>
  <si>
    <t>Balkan Line</t>
  </si>
  <si>
    <t>tt5951188</t>
  </si>
  <si>
    <t>ru</t>
  </si>
  <si>
    <t>‚Äì√´‚Äì‚àû‚Äì¬™‚Äì‚à´‚Äì‚àû‚ÄìŒ©‚Äî√Ö‚Äì‚à´‚Äì‚àè‚ÄìœÄ ‚Äî√Ñ‚Äî√â‚Äì¬±‚Äì¬µ‚Äì‚àÇ</t>
  </si>
  <si>
    <t>After the NATO bombing of Yugoslavia in 1999, the Yugoslav army pulls out of Kosovo region, leaving Serbian people at the mercy of the Albanian UCK. A small band of soldiers must take over the Slatina airport, and hold it until the Russian peacekeepers arrive.</t>
  </si>
  <si>
    <t>No choice</t>
  </si>
  <si>
    <t>Drama, Action, War</t>
  </si>
  <si>
    <t>archangel studios, upgrade vision, bless film</t>
  </si>
  <si>
    <t>Russia, Serbia</t>
  </si>
  <si>
    <t>English, P‚Äî√â‚Äî√Ö‚Äî√Ö‚Äì‚à´‚Äì‚àè‚ÄìœÄ, Srpski</t>
  </si>
  <si>
    <t>Ekaterina Popova, Konstantin Samoukov, Nikola Ran∆í√´elovi∆í√°, Sergey Marin, Vadim Byrkin, Miodrag Radonji∆í√°, Milena Radulovi∆í√°, Aleksandar Lazi∆í√°, Aleksandar Sre∆í√°kovi∆í√° 'Kubura', Dmitry Frid, Dobrila Stojni∆í√°, Valentina Muravskaya, Emir Kusturica, Svetlana Chuikina, ∆í√™or∆í√´e Markovi∆í√°, Danila Dedovets, Vsevolod Yashkin, Lada Imamovich, Sr∆í√´an '‚âàŒ©ika' Todorovi∆í√°, Aleksandar Radoji∆í√ßi∆í√°, Michael Khmurov, Kirill Byrkin, Veronika Volokha, Nodari Dzhanelidze, Kirill Poluhin, Anya Alach, Branka Puji∆í√°, Gosha Kutsenko, Vasilisa Nemtsova, Roman Kurtsyn, Anton Pampushnyy, Ravshana Kurkova, Anna Gallyamova, Roman Vorontsov, Anvar Khalilulaev, Ivan Mihailovi∆í√°, Milo‚âà¬∞ Bikovi∆í√°, Efim Petrunin, Daniel Kova∆í√ßevi∆í√°, Oleg Morozov, Dmitry Vyatkin, Yelena Charkviani, Nikita Kologrivyy, Gojko Miti∆í√°</t>
  </si>
  <si>
    <t>Andrey Volgin</t>
  </si>
  <si>
    <t>Vyacheslav Lisnevsky</t>
  </si>
  <si>
    <t>Andrey Anaykin, Natalya Nazarova, Ivan Naumov</t>
  </si>
  <si>
    <t>Anastasiya Pelevina, Tatyana Kuranova, Vasil Shevts, Vadim Byrkin, Gosha Kutsenko, Dmitry Rubezhin</t>
  </si>
  <si>
    <t>Mikhail Afanasyev</t>
  </si>
  <si>
    <t>/okiB4NUriKKbGjAtVSzveicPTtu.jpg</t>
  </si>
  <si>
    <t>balkan line</t>
  </si>
  <si>
    <t>blank (8), internet (3), dvd and blu-ray and premiere (1), tv premiere (1), dvd and blu-ray premiere (1), dvd premiere (1), re-release (1)</t>
  </si>
  <si>
    <t>Dumbo</t>
  </si>
  <si>
    <t>tt3861390</t>
  </si>
  <si>
    <t>A young elephant, whose oversized ears enable him to fly, helps save a struggling circus, but when the circus plans a new venture, Dumbo and his friends discover dark secrets beneath its shiny veneer.</t>
  </si>
  <si>
    <t>Soar to new heights.</t>
  </si>
  <si>
    <t>Family, Fantasy, Adventure</t>
  </si>
  <si>
    <t>tim burton productions, walt disney pictures, infinite detective, secret machine entertainment</t>
  </si>
  <si>
    <t>Joan Southgate, Michael "Mikey" Lewis, Stuart Whelan, Roshan Seth, Chirame Shapra, Julian Kershaw, Deobia Oparei, Linda Gray, Hugh O'Brien, Richard James-Clarke, Clive Brunt, Andres Austin Bennett, Lucy DeVito, Matt Truman, Venla Shalin, Joplin, Heather Rome, Eva Green, Colin Farrell, Rob Heanley, Rashid Shadat, Jason Shillingford, Paul Riddell, Victor Pietraru, Richard Garaghty, Jonathan Clifford, Lillia Langley, Michael Barron, Zee Asha, Lars Eidinger, Matthew Castle, Harry Taylor, Tim Southgate, Benjamin French, Trevor Bennett, Anthony Rhodes, Finley Hobbins, Bret Jones, Angela Ashton, Victoria Coburn, Peter Brookes, Michael Buffer, Obie Matthew, Jorge Espadas, Charlotte Worwood, Zak Holland, Douglas Reith, Nigel Eaton, Richard Price, Callum Forman, Marc Esse, Greg Canestrari, Ian Porter, Zolzaya Batmunkh, Sharon Rooney, Georgie-May Tearle, Stuart Daly, Steve Healey, Frank Bourke, Matthew Cox, Ryan Hannaford, George Gjiggy Francis, Ken Byrd, Max Gill, Chris Rogers, Alan Arkin, Virginia Coronado, Ian Harrod, Sarah Sayuri Leung, Pierre Bergman, Arabella Neale, Sandy Martin, Joseph Macnab, Ariunchimeg Enkhsaikhan, Philip Rosch, Philips Nortey, Ragevan Vasan, Vincent Andriano, Nigel Lowe, Beth Willetts, Bernardo Santos, Tom Seekings, Phil Zimmerman, Matthew David McCarthy, Mehari Tesfamarian, Jo Osmond, Craig Thomas Lambert, Richard Leeming, Ethan Keaton, Daniel Gon‚àö√üalves, Eleanor Ham, Emily Tebbutt, Nina Mangold, Scott Haney, Edd Osmond, Jewels Good, Desmond Frey, Will Rowlands, Rita McDonald Damper, Jessica Barker-Wren, Iran Singh, Christian Wolf-La'Moy, Chris Ecob, Bern Colla‚àö√üo, Josef Davies, Otgonchimeg Chuluunzorig, Kamil Lemieszewski, Nataliia Shadrina, Serhii Shadrin, Anthony Fraser, Ben Crowe, Amerjit Deu, Manj Gill, Jackson Kai, Simon Connolly, Carol Been, Michael Keaton, Tom Dab, Mark Reader, Danny DeVito, Zenaida Alcalde, Stephen Samson, Liam Bewley, Nico Parker, Jaymes Sygrove, Alice Bonifacio, Mark Shrimpton, Ndongo Faye, Leah Powell, Keith Lomas, David Thomas Coulter, Marjo Nantel, Binyam Tesfamarian, Nick Bartlett, Jessie Vinning, Zelda Rosset Colon, Peter Trevor, Jana Posna, Anatoli Akerman, Lampros Kalfuntzos, Joseph Gatt, Rosie Akerman, Jemma Ellison, Charlie McGonagle, Erick Hayden, Melanie Gibson, Tom Gaskin, Paddy Waters, Oldokh Ganbold, Miguel Mu‚àö¬±oz Segura</t>
  </si>
  <si>
    <t>Tim Burton</t>
  </si>
  <si>
    <t>Ben Davis</t>
  </si>
  <si>
    <t>Ehren Kruger, Harold Pearl, Helen Aberson</t>
  </si>
  <si>
    <t>Tim Burton, Ehren Kruger, Katterli Frauenfelder, Justin Springer, Derek Frey, Nigel Gostelow</t>
  </si>
  <si>
    <t>Danny Elfman</t>
  </si>
  <si>
    <t>/qgibOIN9RDHiPdimw7Gc7YcY960.jpg</t>
  </si>
  <si>
    <t>dumbo</t>
  </si>
  <si>
    <t>los angeles (1), premiere (4), tokyo (1), paris (1), london (1), blank (59)</t>
  </si>
  <si>
    <t>Shazam!</t>
  </si>
  <si>
    <t>tt0448115</t>
  </si>
  <si>
    <t>A boy is given the ability to become an adult superhero in times of need with a single magic word.</t>
  </si>
  <si>
    <t>Just say the word.</t>
  </si>
  <si>
    <t>Action, Comedy, Fantasy</t>
  </si>
  <si>
    <t>new line cinema, the safran company, seven bucks productions, dc films</t>
  </si>
  <si>
    <t>David Kohlsmith, Craig Henry, Ken Mohabir, Meagan Good, Damir Andrei, Faithe Herman, Angelica Lisk-Hann, Ali Badshah, Neil Morrill, Pearl Sun, Pamela Matthews, David F. Sandberg, Zachary Levi, Eli Martyr, Aria Anthony, Manuel Rodriguez-Saenz, Jeff Sanca, Emily Nixon, Deborah Tennant, Seth Green, Tosh Robertson, Lisa Truong, Ian Chen, Paul Braunstein, Ryan Handley, John Stead, Jesse Bond, Lisa Codrington, Ava Preston, Marta Milans, Harper Gunn, Luke Gallo, Cassandra Ebner, Michael Xavier, D.J. Cotrona, Adam Rodness, Mitra Suri, Natalia Safran, Ethan Pugiotto, Nneka Elliott, Rachel Boyd, Ilan O'Driscoll, Caroline Palmer, Stephannie Hawkins, Dan Skene, Anthony Gritsyuk, Steve Newburn, Shawn Stewart, Jim Pagiamtzis, Asher Angel, Andi Osho, Keisha T. Fraser, Landon Doak, Martin Roach, Lotta Losten, Jhaleil Swaby, Jack Dylan Grazer, Misha Rasaiah, Steve Blum, Violetta Pioro, Lovina Yavari, John Glover, Brian Kaulback, Matthew Binkley, Ross Butler, Michelle Borth, Simon Northwood, Chemika Bennett-Heath, Wayne Ward, Paloma Nu‚àö¬±ez, Stephen Alexander, Allen Keng, Djimon Hounsou, Grace Caroline Currey, Joseph Pierre, Fred Tatasciore, Adam Brody, Cliff Saunders, Bryce Arden Poe, Bill R. Dean, Callie Presniak, Darin De Paul, Craig Warnock, Carson MacCormac, Evan Marsh, Mark Strong, Kerri Kamara, Jovan Armand, Hazel Gorin, Tabitha Tao, Allison Brennan, Jackson Reid, Nadine Whiteman, Cooper Andrews</t>
  </si>
  <si>
    <t>David F. Sandberg</t>
  </si>
  <si>
    <t>Maxime Alexandre</t>
  </si>
  <si>
    <t>Henry Gayden, Bill Parker, Darren Lemke, C.C. Beck</t>
  </si>
  <si>
    <t>Richard Brener, Dany Garcia, Dwayne Johnson, Dave Neustadter, Christopher Godsick, Hiram Garcia, Adam Schlagman, Toby Emmerich, Jeffrey Chernov, Walter Hamada, Peter Safran, Geoff Johns</t>
  </si>
  <si>
    <t>/xnopI5Xtky18MPhK40cZAGAOVeV.jpg</t>
  </si>
  <si>
    <t>shazam!</t>
  </si>
  <si>
    <t>path√© unlimited night (1), blank (58), blu-ray release (1), dvd premiere (1), internet (1)</t>
  </si>
  <si>
    <t>Astro Kid</t>
  </si>
  <si>
    <t>tt8329148</t>
  </si>
  <si>
    <t>fr</t>
  </si>
  <si>
    <t>Terra Willy, plan‚àö¬Æte inconnue</t>
  </si>
  <si>
    <t>Terra Willy: Unexplored Planet ‚Äö√Ñ√Æ Upon the destruction of their ship, Willy is separated from his parents. He lands on a wild and unexplored planet and with the help of Buck, a survival robot, he will have to hold until the arrival of a rescue mission.</t>
  </si>
  <si>
    <t>An out-of-this-world adventure</t>
  </si>
  <si>
    <t>Animation, Comedy, Adventure, Family</t>
  </si>
  <si>
    <t>logical pictures, tat productions, bac films, france 3 cin‚àö¬©ma, master films, cnc, france t‚àö¬©l‚àö¬©visions, ocs, procirep, sdi media, eclair, cin‚àö¬©+, cofiloisirs film france solutions, yellow cab studios, sacem, r‚àö¬©gion occitanie, signature entertainment</t>
  </si>
  <si>
    <t>France</t>
  </si>
  <si>
    <t>Fran‚àö√üais</t>
  </si>
  <si>
    <t>Guillaume Lebon, Barbara Tissier, ‚àö√¢douard Baer, Marie-Eug‚àö¬©nie Mar‚àö¬©chal, Timoth‚àö¬© Vom Dorp</t>
  </si>
  <si>
    <t>Eric Tosti</t>
  </si>
  <si>
    <t>David Alaux, Eric Tosti, Jean-Fran‚àö√üois Tosti</t>
  </si>
  <si>
    <t>Jean-Fran‚àö√üois Tosti</t>
  </si>
  <si>
    <t>Olivier Cussac</t>
  </si>
  <si>
    <t>/vwqEIL5SrsZFVvileNe9LuHbJy7.jpg</t>
  </si>
  <si>
    <t>astro kid</t>
  </si>
  <si>
    <t>beijing international film festival (1), premiere (1), blank (22), internet (4), dvd premiere (1), cinekid film festival (1), dvd and blu-ray and premiere (1), unknown (1)</t>
  </si>
  <si>
    <t>Pet Sematary</t>
  </si>
  <si>
    <t>tt0837563</t>
  </si>
  <si>
    <t>Dr. Louis Creed and his wife, Rachel, move from Boston to Ludlow, in rural Maine, with their two young children. Hidden in the woods near the new family home, Ellie, their eldest daughter, discovers a mysterious cemetery where the pets of community members are buried.</t>
  </si>
  <si>
    <t>Sometimes dead is better.</t>
  </si>
  <si>
    <t>Horror</t>
  </si>
  <si>
    <t>di bonaventura pictures, paramount pictures</t>
  </si>
  <si>
    <t>Ambre Dioh-Dikongu‚àö¬©, Jacob Lemieux, Emma Hill, Lou Ferrando, Obssa Ahmed, Naomi Frenette, Maverick Fortin, Sonia Maria Chirila, Kelly Lee, Linda E. Smith, Nina Lauren, Constance St-Denis-Veilleux, Alison O'Donnell, John Lithgow, Bailey Thain, Jet‚àö¬© Laurence, Suzi Stingl, Najya Muipatayi, Amy Seimetz, Hugo Lavoie, Maria Herrera, Tonic, Simon Pelletier-Gilbert, Alyssa Brooke Levine, Ines Feghouli Bozon, Lucas Lavoie, Frank Schorpion, Rapha‚àö¬¥l Laporte, Jason Clarke</t>
  </si>
  <si>
    <t>Kevin K‚àö‚àÇlsch, Dennis Widmyer</t>
  </si>
  <si>
    <t>Laurie Rose</t>
  </si>
  <si>
    <t>Matt Greenberg, Jeff Buhler, Stephen King</t>
  </si>
  <si>
    <t>Lorenzo di Bonaventura, Mark Moran, Steven Schneider, Mark Vahradian</t>
  </si>
  <si>
    <t>Christopher Young</t>
  </si>
  <si>
    <t>/7SPhr7Qj39vbnfF9O2qHRYaKHAL.jpg</t>
  </si>
  <si>
    <t>pet sematary</t>
  </si>
  <si>
    <t>south by southwest film festival (1), blank (55), barcelona - phenomena (1), subtitled version (1), premiere (1), brussels international fantastic film festival (1), dvd premiere (2)</t>
  </si>
  <si>
    <t>Missing Link</t>
  </si>
  <si>
    <t>tt6348138</t>
  </si>
  <si>
    <t>The charismatic Sir Lionel Frost considers himself to be the world's foremost investigator of myths and monsters. Trouble is, none of his small-minded, high-society peers seems to recognize this. Hoping to finally gain acceptance from these fellow adventurers, Sir Lionel travels to the Pacific Northwest to prove the existence of a legendary creature known as the missing link.</t>
  </si>
  <si>
    <t>Discover a comedy of epic proportions.</t>
  </si>
  <si>
    <t>Family, Animation, Comedy, Adventure</t>
  </si>
  <si>
    <t>laika, annapurna pictures</t>
  </si>
  <si>
    <t>Matt Lucas, Jack Blessing, Yangchen Dolkar Gakyil, Amrita Acharia, Alexander Rodriguez, Tharlam Dolma Wolfe, Jean Gilpin, David Holt, Hugh Jackman, Richard Miro, Scott Whyte, Erin Myles, Leila Birch, Jimmy Hibbert, David Ber‚àö‚â•n, Adam Godley, Zoe Salda‚àö¬±a, Julian Stone, Alan Shearman, Paul Pape, Peter Lavin, Kirk Baily, Tom Muggeridge, Timothy Olyphant, Christopher Neame, Scott Menville, Neil Dickson, William Calvert, Stephen Fry, Humphrey Ker, Zach Galifianakis, Phal Tong Lama, Emma Thompson, Andr‚àö¬© Sogliuzzo, Juan Pacheco, Maebel Rayner, Kerry Gutierrez, David Cowgill, Bridget Hoffman, Ching Valdes-Aran, Matthew Wolf, Darren Richardson, Ian Ruskin, Moira Quirk, David Walliams, Nick Toren</t>
  </si>
  <si>
    <t>Chris Butler</t>
  </si>
  <si>
    <t>Travis Knight, Arianne Sutner</t>
  </si>
  <si>
    <t>Carter Burwell</t>
  </si>
  <si>
    <t>/bqQ38oKuROlAgyZcRII9tqtoPNi.jpg</t>
  </si>
  <si>
    <t>missing link</t>
  </si>
  <si>
    <t>blank (43), brussels international fantastic film festival (1), internationales trickfilm-festival stuttgart (1), moma - the contenders (1), tokyo international film festival (1)</t>
  </si>
  <si>
    <t>Little</t>
  </si>
  <si>
    <t>tt8085790</t>
  </si>
  <si>
    <t>Jordan Sanders, a take-no-prisoners tech mogul, wakes up one morning in the body of her 13-year-old self right before a do-or-die presentation. Her beleaguered assistant April is the only one in on the secret that her daily tormentor is now trapped in an awkward tween body, just as everything is on the line.</t>
  </si>
  <si>
    <t>She woke up like this</t>
  </si>
  <si>
    <t>will packer productions, universal pictures, legendary pictures, khalabo ink society, perfect world pictures</t>
  </si>
  <si>
    <t>Blair Jasin, Ella Madison, Kausar Mohammed, Kendra L. Franklin, Marsai Martin, Luke James, Tucker Meek, Desi Banks, Andre Robinson, Justin Hartley, Dakota James Alden Lane, Andrew Romano, Tone Bell, Chelsea Hayes, Amor Owens, Mikey Day, David A. Flannery, JD McCrary, Tracee Ellis Ross, Thalia Tran, Marc Hawes, Issa Rae, Noree Victoria, George Lott, Marley Taylor, Palmer Williams Jr., Milton Saul, Rachel Dratch, Eva Carlton, Regina Hall, Caleb Emery, Mylie Stone</t>
  </si>
  <si>
    <t>Tina Gordon</t>
  </si>
  <si>
    <t>Greg Gardiner</t>
  </si>
  <si>
    <t>Marsai Martin, Tracy Oliver, Tina Gordon</t>
  </si>
  <si>
    <t>Josh Martin, James Lopez, Preston L. Holmes, Will Packer, Marsai Martin, Regina Hall, Kenya Barris</t>
  </si>
  <si>
    <t>Germaine Franco</t>
  </si>
  <si>
    <t>/4MDB6jJl3U7xK1Gw64zIqt9pQA4.jpg</t>
  </si>
  <si>
    <t>little</t>
  </si>
  <si>
    <t>blank (21), dvd premiere (5), tv premiere (1), tv release (1), internet (1)</t>
  </si>
  <si>
    <t>4x4</t>
  </si>
  <si>
    <t>tt8561690</t>
  </si>
  <si>
    <t>es</t>
  </si>
  <si>
    <t>Buenos Aires, Argentina. A luxurious van is parked on the sidewalk. A man enters with the purpose of stealing whatever he can find, but when he wants to leave, he cannot. The doors do not open, the control panel does not respond: the van has become an armored box and he is trapped like a mouse.</t>
  </si>
  <si>
    <t>Welcome aboard</t>
  </si>
  <si>
    <t>Thriller</t>
  </si>
  <si>
    <t>mediapro, televisi‚àö‚â•n abierta</t>
  </si>
  <si>
    <t>Argentina, Spain</t>
  </si>
  <si>
    <t>Espa‚àö¬±ol</t>
  </si>
  <si>
    <t>Irina Matozza, Lucas Pose, Alejo Ram‚àö‚â†rez Borella, Ariel Chavarr‚àö‚â†a, Ail‚àö¬©n Mazioni, Luis Brandoni, Dady Brieva, Valeria Mitidieri, Noelia Casta‚àö¬±o, Peter Lanzani</t>
  </si>
  <si>
    <t>Mariano Cohn</t>
  </si>
  <si>
    <t>Kiko de la Rica</t>
  </si>
  <si>
    <t>Mariano Cohn, Gast‚àö‚â•n Duprat</t>
  </si>
  <si>
    <t>Laura Bruno, Axel Kuschevatzky, Javier M‚àö¬©ndez Zori, Jaume Roures, Gast‚àö‚â•n Duprat</t>
  </si>
  <si>
    <t>Dante Spinetta</t>
  </si>
  <si>
    <t>/4o3Wr0zrYot5Q3rVS7c3YlFOpYJ.jpg</t>
  </si>
  <si>
    <t>blank (4), bifan - bucheon international fantastic film festival (1), qualite fantastic cinema collection (1), fantastic fest (1), grimmfest international festival of fantastic film (1), night visions international film festival (1), internet (1), tv release (1), tv premiere (1)</t>
  </si>
  <si>
    <t>The Head Hunter</t>
  </si>
  <si>
    <t>tt6469548</t>
  </si>
  <si>
    <t>On the outskirts of a kingdom, a quiet but fierce medieval warrior protects the realm from monsters and the occult. His gruesome collection of heads is missing only one - the monster that killed his daughter years ago. Driven by a thirst for revenge, he travels wild expanses on horseback. When his second chance arrives, it‚Äö√Ñ√¥s in a way far more horrifying than he ever imagined.</t>
  </si>
  <si>
    <t>Grief. Anger. Vengeance.</t>
  </si>
  <si>
    <t>Horror, Fantasy</t>
  </si>
  <si>
    <t>brayne studios, detention films</t>
  </si>
  <si>
    <t>Christopher Rygh, Cora Kaufman, Aisha Ricketts</t>
  </si>
  <si>
    <t>Jordan Downey</t>
  </si>
  <si>
    <t>Kevin Stewart</t>
  </si>
  <si>
    <t>Kevin Stewart, Jordan Downey, Troy Smith</t>
  </si>
  <si>
    <t>Kevin Stewart, Ricky Fosheim, Jordan Downey</t>
  </si>
  <si>
    <t>Nick Soole</t>
  </si>
  <si>
    <t>/ol0DSLOIN8Rq1BcWDTsk6NNwas6.jpg</t>
  </si>
  <si>
    <t>the head hunter</t>
  </si>
  <si>
    <t>sitges film festival (1), ins√≥lito festival de cine de terror y fantas√≠a (1), fantasporto - 39.¬∫ festival internacional de cinema do porto (1), portland international film festival (1), blank (2), dvd and blu-ray and premiere (2), dvd premiere (3), internet (2)</t>
  </si>
  <si>
    <t>Hellboy</t>
  </si>
  <si>
    <t>tt2274648</t>
  </si>
  <si>
    <t>Hellboy comes to England, where he must defeat Nimue, Merlin's consort and the Blood Queen. But their battle will bring about the end of the world, a fate he desperately tries to turn away.</t>
  </si>
  <si>
    <t>Demons have demons too</t>
  </si>
  <si>
    <t>Fantasy, Horror, Action, Adventure</t>
  </si>
  <si>
    <t>campbell grobman films, dark horse entertainment, millennium media, boyana film studios, lawrence gordon productions, lloyd levin productions, davis films, summit entertainment</t>
  </si>
  <si>
    <t>Bulgaria, United States of America, France</t>
  </si>
  <si>
    <t>English, Deutsch, P‚Äî√â‚Äî√Ö‚Äî√Ö‚Äì‚à´‚Äì‚àè‚ÄìœÄ, T‚àö¬∫rk‚àö√üe</t>
  </si>
  <si>
    <t>Victor Rangelov, Charles Shannon, Dimiter Banenkin, Nikolay Stanoev, Rut Rafailova, Anna Bankina, Alistair Petrie, Josh Finan, Ana Tabakova, Christopher Mata, Ava Brennan, Emma Tate, Vasil Tsvetkov, Mario de la Rosa, Said Barry Abdulai, Joel Harlow, Douglas Tait, Sophie Okonedo, Elizabeth Mehari Kahsai, Daniel Dae Kim, Ian McShane, Brian Gleeson, Atanas Srebrev, Joshua Samuel Hector, Troy James, Milla Jovovich, Simon Feek, Jasmine Audoux-Prevot, Stephen Graham, Thomas Haden Church, Markos Rounthwaite, Jonathan Steele, Carl Hampe, Mark Stanley, Ilko Iliev, Valentin Stojanov, Meglena Karalambova, Manal El-Feitury, Nadya Keranova, Maria Tepavicharova, Kristina Klebe, Michael Heath, Sasha Lane, Nitin Ganatra, Katya Peneva, Vanessa Eichholz, Anthony Delaney, Dawn Sherrer, Tony van Silva, David Harbour, Penelope Mitchell, Terry Randal, Peter Oxley, Rick Warden, Natasha Kaplinsky, Laila Morse</t>
  </si>
  <si>
    <t>Neil Marshall</t>
  </si>
  <si>
    <t>Lorenzo Senatore</t>
  </si>
  <si>
    <t>Andrew Cosby, Mike Mignola</t>
  </si>
  <si>
    <t>Mike Richardson, John Thompson, Yariv Lerner, Mike Mignola, Les Weldon, Philip Westgren, Carl Hampe, Lawrence Gordon, Marc Helwig, Lati Grobman, Avi Lerner, Matthew O'Toole, Jeffrey Greenstein, Christa Campbell, Trevor Short, Lloyd Levin</t>
  </si>
  <si>
    <t>/bk8LyaMqUtaQ9hUShuvFznQYQKR.jpg</t>
  </si>
  <si>
    <t>hellboy</t>
  </si>
  <si>
    <t>blank (58), new york city, new york (1), premiere (1), brussels international fantastic film festival (1), limited (1)</t>
  </si>
  <si>
    <t>Breakthrough</t>
  </si>
  <si>
    <t>tt7083526</t>
  </si>
  <si>
    <t>Tragedy strikes when a woman named Joyce's son falls through the ice on a frozen lake and is trapped underwater for over 15 minutes. After being rushed to the hospital, the 14-year-old boy continues to fight for his life as Joyce, her husband and their pastor stay by his bedside and pray for a miracle.</t>
  </si>
  <si>
    <t>Based On The Impossible True Story</t>
  </si>
  <si>
    <t>Drama</t>
  </si>
  <si>
    <t>fox 2000 pictures, 20th century fox</t>
  </si>
  <si>
    <t>Ryan Ash, Veronica Ternopolski, Rena Semenko, Kristen Harris, Phil Wickham, Phil Hepner, Onalee Minuk, Lecrae, Elena Anciro, Lois Brothers, William Whyte, Scott Carnegie, Stephanie Czajkowski, Isla Gorton, Geoff Banjavich, Isaac Kragten, Marcel Ruiz, Nikolas Dukic, Lisa Durupt, Topher Grace, Connor Peterson, Derek James Trapp, Robert Morgan, Cory Wojcik, Ryan David Younes, Chuck Shamata, Sam Trammell, Will Woytowich, Annelise Pollmann, Lauren Cochrane, Alissa Skovbye, Chris Glenat, Kevin P. Gabel, Cindy Rose Myskiw, Tristan Mackid, Travis Bryant, Ernie Pitts, Sarah Constible, Saul Elias, Kerry Grace Tait, Jemma Griffith, Maddy Martin, Jordan Kronis, Erik Athavale, Danny Wattley, Maclean Fish, Rebekah Grenkow, Dennis Haysbert, Danielle Savage, Taylor Mosby, Sandy Fernandez, Alicia Johnston, Derrick Gottfried, Scott Johnson, Steve Pacaud, Beverly Ndukwu, Mel Marginet, Stephanie Sy, Rebecca Staab, Lorrie Papadopoulos, Jason Wishnowski, Chrissy Metz, Kate Yacula, Nancy Sorel, Jeff Strome, Josh Lucas, Logan Creran, Mike Colter, Connor Chennells, Jay Koensgen, Miriam Smith, Blair De Pape, Karl Thordarson, Craig Harrison, Robin Ruel, Callie Lane, Victor Zinck, Jr., Stella Pruse</t>
  </si>
  <si>
    <t>Roxann Dawson</t>
  </si>
  <si>
    <t>Zoran Popovi∆í√°</t>
  </si>
  <si>
    <t>Grant Nieporte, Joyce Smith</t>
  </si>
  <si>
    <t>DeVon Franklin, Samuel Rodriguez, Becki Cross Trujillo, Stephen Curry</t>
  </si>
  <si>
    <t>Marcelo Zarvos</t>
  </si>
  <si>
    <t>/lUd2FNC8cMCcHyRMNZtVC48p3xH.jpg</t>
  </si>
  <si>
    <t>breakthrough</t>
  </si>
  <si>
    <t>st. louis, missouri (1), premiere (1), blank (21), dvd premiere (1), seoul international agape film festival (1), internet (1)</t>
  </si>
  <si>
    <t>Spy Cat</t>
  </si>
  <si>
    <t>tt5746054</t>
  </si>
  <si>
    <t>de</t>
  </si>
  <si>
    <t>Die sagenhaften Vier</t>
  </si>
  <si>
    <t>Four crazy antiheroes on the run. Their leader is the unworldly innocent, naive Marnie, a house cat who is not allowed to leave the house and only knows about real life from television</t>
  </si>
  <si>
    <t>One gang of runaways. One secret mission. One pawsome adventure!</t>
  </si>
  <si>
    <t>Animation, Adventure, Comedy, Family</t>
  </si>
  <si>
    <t>scopas medien, philm cgi, seven pictures, schubert international filmproduktions, scope pictures, lauenstein &amp; lauenstein, ufa fiction, grid animation</t>
  </si>
  <si>
    <t>Germany, Belgium</t>
  </si>
  <si>
    <t>Sylvain Urban, Alison Paule-Rippier, Axel Prahl, Tony Clark, Obada Adnan, Susan Tackenberg, Erik Borner, Alexandra Neldel, Addison Rae, Andy Valvur, Mike McAlpine, Mark Rossman</t>
  </si>
  <si>
    <t>Christoph Lauenstein, Wolfgang Lauenstein</t>
  </si>
  <si>
    <t>Jesper M‚àö‚àèller, Christoph Lauenstein, Wolfgang Lauenstein</t>
  </si>
  <si>
    <t>Jan Bonath, Mark Mertens</t>
  </si>
  <si>
    <t>Andreas Radzuweit</t>
  </si>
  <si>
    <t>/lU2Cx5lbSNMxgeKQPDOhAUdw91y.jpg</t>
  </si>
  <si>
    <t>spy cat</t>
  </si>
  <si>
    <t>annecy international animation film festival (1), festival de cine europeo de sevilla (1), blank (28), dvd premiere (1)</t>
  </si>
  <si>
    <t>After</t>
  </si>
  <si>
    <t>tt4126476</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</si>
  <si>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</si>
  <si>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After your first, life is never the same.</t>
  </si>
  <si>
    <t>calmaple films, wattpad, offspring entertainment, diamond film productions, voltage pictures, frayed pages media</t>
  </si>
  <si>
    <t>Khadijha Red Thunder, Sarah Jorge Le‚àö‚â•n, Michael Hull, Selma Blair, Hero Fiennes Tiffin, Shane Paul McGhie, Rebecca Lee, Matthew Ezell, Swen Temmel, Shannon Mayers, Meadow Williams, Paul Fox, John Evanko, Inanna Sarkis, Chris Kontopidis, Jennifer Beals, Pia Mia, Byron Wigfall, Dylan Arnold, Samuel Larsen, Mark Axelowitz, Peter Gallagher, Josephine Langford</t>
  </si>
  <si>
    <t>Jenny Gage</t>
  </si>
  <si>
    <t>Adam Silver, Tom Betterton</t>
  </si>
  <si>
    <t>Tom Betterton, Tamara Chestna, Anna Todd, Susan McMartin, Jenny Gage</t>
  </si>
  <si>
    <t>Adam Shankman, David Dinerstein, Sarah Jorge Le‚àö‚â•n, Nicolas Chartier, Eric Lehrman, Mark Canton, Gary Raskin, Swen Temmel, Alastair Burlingham, Anna Todd, Brian Pitt, Meadow Williams, Jennifer Gibgot, Jonathan Deckter, Wen Wenchaun, Aron Levitz, Scott Karol, Jason Resnick, Zhang Haiyan, Dennis Pelino, Ian Brereton, Vassal Benford, William Sadleir, Courtney Solomon</t>
  </si>
  <si>
    <t>Justin Burnett</t>
  </si>
  <si>
    <t>/u3B2YKUjWABcxXZ6Nm9h10hLUbh.jpg</t>
  </si>
  <si>
    <t>after</t>
  </si>
  <si>
    <t>blank (44), internet (4), dvd premiere (1)</t>
  </si>
  <si>
    <t>The Curse of La Llorona</t>
  </si>
  <si>
    <t>tt4913966</t>
  </si>
  <si>
    <t>In 1970s Los Angeles, the legendary ghost La Llorona is stalking the night -- and the children. Ignoring the eerie warning of a troubled mother, a social worker and her own kids are drawn into a frightening supernatural realm. Their only hope of surviving La Llorona's deadly wrath is a disillusioned priest who practices mysticism to keep evil at bay.</t>
  </si>
  <si>
    <t>She wants your children.</t>
  </si>
  <si>
    <t>atomic monster, new line cinema, emile gladstone productions</t>
  </si>
  <si>
    <t>DeLaRosa Rivera, Sophia Santi, Patricia Vel‚àö¬∞squez, Oliver Alexander, Paul Rodr‚àö‚â†guez, Madeleine McGraw, Ricardo Mamood-Vega, Irene Keng, John Marshall Jones, Jethan Camarena, Sean Patrick Thomas, Roman Christou, Scarlett Black, Aiden Lewandowski, Linda Cardellini, Andrew Tinpo Lee, Don Roberson, Tony Amendola, Jaynee-Lynne Kinchen, Sierra Hawkins, Marisol Ramirez, Fontana Sim, Raymond Cruz</t>
  </si>
  <si>
    <t>Michael Chaves</t>
  </si>
  <si>
    <t>Michael Burgess</t>
  </si>
  <si>
    <t>Tobias Iaconis, Mikki Daughtry</t>
  </si>
  <si>
    <t>James Wan, Walter Hamada, Gary Dauberman, Dave Neustadter, Emile Gladstone, Richard Brener, Michelle Morrissey, Michael Clear</t>
  </si>
  <si>
    <t>/hETrPpoKs6BwoilK64YJ7Z5GcRT.jpg</t>
  </si>
  <si>
    <t>the curse of la llorona</t>
  </si>
  <si>
    <t>south by southwest film festival (1), night visions international film festival (1), blank (60), internet (1), dvd premiere (1)</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</si>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</sst>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A2F156-0669-114A-9247-2915B4F37A09}" name="Table1" displayName="Table1" ref="A1:AQ41" totalsRowCount="1">
  <autoFilter ref="A1:AQ40" xr:uid="{C8A2F156-0669-114A-9247-2915B4F37A09}">
    <filterColumn colId="41">
      <filters>
        <filter val="no"/>
      </filters>
    </filterColumn>
  </autoFilter>
  <tableColumns count="43">
    <tableColumn id="1" xr3:uid="{12FE6D5E-E5C5-554F-B228-D3B245F34C0A}" name="id" totalsRowLabel="Total"/>
    <tableColumn id="2" xr3:uid="{57F120B2-5382-1448-9F00-4FFBBF6AE067}" name="title"/>
    <tableColumn id="3" xr3:uid="{2001BECB-2D39-2D4D-B01D-F62EDF008705}" name="vote_average"/>
    <tableColumn id="4" xr3:uid="{0139577A-E748-8141-A27B-EB1D04872122}" name="vote_count"/>
    <tableColumn id="5" xr3:uid="{F4EE9BF4-D7D7-6C4B-9033-FD2A54E13B51}" name="status"/>
    <tableColumn id="6" xr3:uid="{805A5023-0403-124B-88F2-8C771C8CE21D}" name="release_date" dataDxfId="0"/>
    <tableColumn id="7" xr3:uid="{2D02328B-D57E-7C44-8168-80632B8BEB0F}" name="revenue"/>
    <tableColumn id="8" xr3:uid="{9124C597-DC50-7F44-8054-F60FCF810FD0}" name="runtime"/>
    <tableColumn id="9" xr3:uid="{B6B42D0B-3305-484C-9836-AD77B7C6212D}" name="budget"/>
    <tableColumn id="10" xr3:uid="{E11074EE-EB9E-8348-914C-28E1770172D5}" name="imdb_id"/>
    <tableColumn id="11" xr3:uid="{8CD3E721-DBBC-EE41-8EFE-927C8610FA45}" name="original_language"/>
    <tableColumn id="12" xr3:uid="{0854A55C-EC34-7C42-B389-260566A1C50B}" name="original_title"/>
    <tableColumn id="13" xr3:uid="{D7C12A99-A9C8-CE46-B826-3F45C3DBEEFE}" name="overview"/>
    <tableColumn id="14" xr3:uid="{617C8D59-92AA-9E4C-8249-59A2485794EE}" name="popularity"/>
    <tableColumn id="15" xr3:uid="{A8706804-C649-6A4C-B0CE-F547F6C59DE4}" name="tagline"/>
    <tableColumn id="16" xr3:uid="{A52C9A1E-E44A-9244-9874-5E2A81080345}" name="genres"/>
    <tableColumn id="17" xr3:uid="{5D054996-1A89-1B49-98A4-F570233A3FD7}" name="production_companies"/>
    <tableColumn id="18" xr3:uid="{A1149415-E6B5-7941-9D41-1C70329EC51D}" name="production_countries"/>
    <tableColumn id="19" xr3:uid="{A6F66B48-07C6-6847-A20B-E35B7849B9B8}" name="spoken_languages"/>
    <tableColumn id="20" xr3:uid="{C98F2116-6BD7-F746-94CC-ADE3BE45CE50}" name="cast"/>
    <tableColumn id="21" xr3:uid="{BE690812-1FF1-654F-A7EE-759485212E3C}" name="director"/>
    <tableColumn id="22" xr3:uid="{BBE10A9C-A484-5841-9E73-32AF2208ABC8}" name="director_of_photography"/>
    <tableColumn id="23" xr3:uid="{56F166A1-6686-6F4C-B33E-4CFE68D8568C}" name="writers"/>
    <tableColumn id="24" xr3:uid="{A82AD555-E69C-3140-BF89-E8493B0FB7BD}" name="producers"/>
    <tableColumn id="25" xr3:uid="{743E7CB8-801A-E84F-BFEE-8013D5D97411}" name="music_composer"/>
    <tableColumn id="26" xr3:uid="{4B133AFE-0E26-6A40-8B51-93A15892D0F0}" name="imdb_rating"/>
    <tableColumn id="27" xr3:uid="{DE987164-B662-BD45-9AD7-DC39E9BE53E8}" name="imdb_votes"/>
    <tableColumn id="28" xr3:uid="{89CE929D-8637-8840-86A7-BC7580ECB59B}" name="poster_path"/>
    <tableColumn id="29" xr3:uid="{C6D3DFA6-6A70-5540-AEDF-D2242345EA3B}" name="release_month"/>
    <tableColumn id="30" xr3:uid="{1AD3D9E8-0DA6-2448-8F1B-2E8EC6BE07B8}" name="release_year"/>
    <tableColumn id="31" xr3:uid="{73FEF646-3916-8947-B573-176BF1F42C61}" name="iso_week"/>
    <tableColumn id="32" xr3:uid="{9A9E37ED-F6A8-E64C-BA94-8CBDC6315BEE}" name="title_clean"/>
    <tableColumn id="33" xr3:uid="{1F71C1E8-CFCA-5C45-B393-412265C0F478}" name="distance"/>
    <tableColumn id="34" xr3:uid="{CEC1F39B-7D7F-9446-B637-F8C836F5932F}" name="strength"/>
    <tableColumn id="35" xr3:uid="{304FF6F6-30B8-864C-B9FD-5542603B25BD}" name="score" totalsRowFunction="sum"/>
    <tableColumn id="36" xr3:uid="{2A1532D8-E8B2-2F44-9604-52123C47A436}" name="marvel_movie"/>
    <tableColumn id="37" xr3:uid="{F9B6583D-D0CD-F14C-897A-A7830EA9BCDA}" name="attributes"/>
    <tableColumn id="38" xr3:uid="{6DC1DC61-286E-054C-9182-09AE666F9EB7}" name="blank"/>
    <tableColumn id="39" xr3:uid="{2DC8E8DB-D136-D04E-8B59-13C764691F52}" name="internet"/>
    <tableColumn id="40" xr3:uid="{14350229-9DEE-3342-9B08-560BEAC305CE}" name="total"/>
    <tableColumn id="41" xr3:uid="{FDB224DD-8089-7042-B6B2-897791A11D4B}" name="internet_ratio"/>
    <tableColumn id="42" xr3:uid="{DF9B0794-6C0C-CB4C-A0ED-187524FF7AC6}" name="internet_dominance"/>
    <tableColumn id="43" xr3:uid="{86EE5D52-5568-964C-BA96-CE494106B9A9}" name="error" totalsRowFunction="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CBF02-0740-3845-836D-561ACE1E467F}">
  <dimension ref="A1:AQ41"/>
  <sheetViews>
    <sheetView tabSelected="1" topLeftCell="Z8" workbookViewId="0">
      <selection activeCell="AI41" sqref="AI41"/>
    </sheetView>
  </sheetViews>
  <sheetFormatPr baseColWidth="10" defaultRowHeight="16" x14ac:dyDescent="0.2"/>
  <cols>
    <col min="3" max="3" width="14.33203125" customWidth="1"/>
    <col min="4" max="4" width="12.5" customWidth="1"/>
    <col min="6" max="6" width="14.1640625" customWidth="1"/>
    <col min="11" max="11" width="18" customWidth="1"/>
    <col min="12" max="12" width="13.83203125" customWidth="1"/>
    <col min="14" max="14" width="11.6640625" customWidth="1"/>
    <col min="17" max="17" width="22.33203125" customWidth="1"/>
    <col min="18" max="18" width="21" customWidth="1"/>
    <col min="19" max="19" width="18.83203125" customWidth="1"/>
    <col min="22" max="22" width="23.5" customWidth="1"/>
    <col min="24" max="24" width="11.83203125" customWidth="1"/>
    <col min="25" max="25" width="17.83203125" customWidth="1"/>
    <col min="26" max="26" width="13.33203125" customWidth="1"/>
    <col min="27" max="27" width="13" customWidth="1"/>
    <col min="28" max="28" width="13.33203125" customWidth="1"/>
    <col min="29" max="29" width="15.83203125" customWidth="1"/>
    <col min="30" max="30" width="14" customWidth="1"/>
    <col min="31" max="31" width="11.1640625" customWidth="1"/>
    <col min="32" max="32" width="12.1640625" customWidth="1"/>
    <col min="36" max="36" width="15" customWidth="1"/>
    <col min="37" max="37" width="11.6640625" customWidth="1"/>
    <col min="41" max="41" width="14.6640625" customWidth="1"/>
    <col min="42" max="42" width="20" customWidth="1"/>
  </cols>
  <sheetData>
    <row r="1" spans="1:4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
      <c r="A2">
        <v>567646</v>
      </c>
      <c r="B2" t="s">
        <v>43</v>
      </c>
      <c r="C2">
        <v>7.2</v>
      </c>
      <c r="D2">
        <v>322</v>
      </c>
      <c r="E2" t="s">
        <v>44</v>
      </c>
      <c r="F2" s="1">
        <v>43488</v>
      </c>
      <c r="G2">
        <v>124652206</v>
      </c>
      <c r="H2">
        <v>111</v>
      </c>
      <c r="I2">
        <v>8120000</v>
      </c>
      <c r="J2" t="s">
        <v>45</v>
      </c>
      <c r="K2" t="s">
        <v>46</v>
      </c>
      <c r="L2" t="s">
        <v>47</v>
      </c>
      <c r="M2" t="s">
        <v>48</v>
      </c>
      <c r="N2">
        <v>5.7435999999999998</v>
      </c>
      <c r="O2" t="s">
        <v>49</v>
      </c>
      <c r="P2" t="s">
        <v>50</v>
      </c>
      <c r="Q2" t="s">
        <v>51</v>
      </c>
      <c r="R2" t="s">
        <v>52</v>
      </c>
      <c r="S2" t="s">
        <v>53</v>
      </c>
      <c r="T2" t="s">
        <v>54</v>
      </c>
      <c r="U2" t="s">
        <v>55</v>
      </c>
      <c r="V2" t="s">
        <v>56</v>
      </c>
      <c r="W2" t="s">
        <v>57</v>
      </c>
      <c r="X2" t="s">
        <v>58</v>
      </c>
      <c r="Y2" t="s">
        <v>59</v>
      </c>
      <c r="Z2">
        <v>7.1</v>
      </c>
      <c r="AA2">
        <v>14982</v>
      </c>
      <c r="AB2" t="s">
        <v>60</v>
      </c>
      <c r="AC2">
        <v>1</v>
      </c>
      <c r="AD2">
        <v>2019</v>
      </c>
      <c r="AE2">
        <v>4</v>
      </c>
      <c r="AF2" t="s">
        <v>61</v>
      </c>
      <c r="AG2">
        <v>-42</v>
      </c>
      <c r="AH2">
        <v>18.6410380733527</v>
      </c>
      <c r="AI2">
        <v>0.43351251333378399</v>
      </c>
      <c r="AJ2" t="s">
        <v>62</v>
      </c>
      <c r="AK2" t="s">
        <v>63</v>
      </c>
      <c r="AL2">
        <v>13</v>
      </c>
      <c r="AM2">
        <v>3</v>
      </c>
      <c r="AN2">
        <v>23</v>
      </c>
      <c r="AO2">
        <v>0.13</v>
      </c>
      <c r="AP2" t="s">
        <v>64</v>
      </c>
      <c r="AQ2" t="s">
        <v>64</v>
      </c>
    </row>
    <row r="3" spans="1:43" x14ac:dyDescent="0.2">
      <c r="A3">
        <v>452832</v>
      </c>
      <c r="B3" t="s">
        <v>65</v>
      </c>
      <c r="C3">
        <v>5.4459999999999997</v>
      </c>
      <c r="D3">
        <v>1574</v>
      </c>
      <c r="E3" t="s">
        <v>44</v>
      </c>
      <c r="F3" s="1">
        <v>43489</v>
      </c>
      <c r="G3">
        <v>14500000</v>
      </c>
      <c r="H3">
        <v>102</v>
      </c>
      <c r="I3">
        <v>25000000</v>
      </c>
      <c r="J3" t="s">
        <v>66</v>
      </c>
      <c r="K3" t="s">
        <v>67</v>
      </c>
      <c r="L3" t="s">
        <v>65</v>
      </c>
      <c r="M3" t="s">
        <v>68</v>
      </c>
      <c r="N3">
        <v>2.9904000000000002</v>
      </c>
      <c r="O3" t="s">
        <v>69</v>
      </c>
      <c r="P3" t="s">
        <v>70</v>
      </c>
      <c r="Q3" t="s">
        <v>71</v>
      </c>
      <c r="R3" t="s">
        <v>72</v>
      </c>
      <c r="S3" t="s">
        <v>73</v>
      </c>
      <c r="T3" t="s">
        <v>74</v>
      </c>
      <c r="U3" t="s">
        <v>75</v>
      </c>
      <c r="V3" t="s">
        <v>76</v>
      </c>
      <c r="W3" t="s">
        <v>75</v>
      </c>
      <c r="X3" t="s">
        <v>77</v>
      </c>
      <c r="Y3" t="s">
        <v>78</v>
      </c>
      <c r="Z3">
        <v>5.4</v>
      </c>
      <c r="AA3">
        <v>48518</v>
      </c>
      <c r="AB3" t="s">
        <v>79</v>
      </c>
      <c r="AC3">
        <v>1</v>
      </c>
      <c r="AD3">
        <v>2019</v>
      </c>
      <c r="AE3">
        <v>4</v>
      </c>
      <c r="AF3" t="s">
        <v>80</v>
      </c>
      <c r="AG3">
        <v>-41</v>
      </c>
      <c r="AH3">
        <v>16.489659276356299</v>
      </c>
      <c r="AI3">
        <v>0.39261093515133999</v>
      </c>
      <c r="AJ3" t="s">
        <v>62</v>
      </c>
      <c r="AK3" t="s">
        <v>81</v>
      </c>
      <c r="AL3">
        <v>42</v>
      </c>
      <c r="AM3">
        <v>1</v>
      </c>
      <c r="AN3">
        <v>46</v>
      </c>
      <c r="AO3">
        <v>0.02</v>
      </c>
      <c r="AP3" t="s">
        <v>64</v>
      </c>
      <c r="AQ3" t="s">
        <v>64</v>
      </c>
    </row>
    <row r="4" spans="1:43" x14ac:dyDescent="0.2">
      <c r="A4">
        <v>302349</v>
      </c>
      <c r="B4" t="s">
        <v>82</v>
      </c>
      <c r="C4">
        <v>5.1310000000000002</v>
      </c>
      <c r="D4">
        <v>425</v>
      </c>
      <c r="E4" t="s">
        <v>44</v>
      </c>
      <c r="F4" s="1">
        <v>43490</v>
      </c>
      <c r="G4">
        <v>392166</v>
      </c>
      <c r="H4">
        <v>93</v>
      </c>
      <c r="I4">
        <v>17500000</v>
      </c>
      <c r="J4" t="s">
        <v>83</v>
      </c>
      <c r="K4" t="s">
        <v>67</v>
      </c>
      <c r="L4" t="s">
        <v>82</v>
      </c>
      <c r="M4" t="s">
        <v>84</v>
      </c>
      <c r="N4">
        <v>3.7119</v>
      </c>
      <c r="O4" t="s">
        <v>85</v>
      </c>
      <c r="P4" t="s">
        <v>86</v>
      </c>
      <c r="Q4" t="s">
        <v>87</v>
      </c>
      <c r="R4" t="s">
        <v>88</v>
      </c>
      <c r="S4" t="s">
        <v>89</v>
      </c>
      <c r="T4" t="s">
        <v>90</v>
      </c>
      <c r="U4" t="s">
        <v>91</v>
      </c>
      <c r="V4" t="s">
        <v>92</v>
      </c>
      <c r="W4" t="s">
        <v>93</v>
      </c>
      <c r="X4" t="s">
        <v>94</v>
      </c>
      <c r="Y4" t="s">
        <v>95</v>
      </c>
      <c r="Z4">
        <v>5</v>
      </c>
      <c r="AA4">
        <v>12515</v>
      </c>
      <c r="AB4" t="s">
        <v>96</v>
      </c>
      <c r="AC4">
        <v>1</v>
      </c>
      <c r="AD4">
        <v>2019</v>
      </c>
      <c r="AE4">
        <v>4</v>
      </c>
      <c r="AF4" t="s">
        <v>97</v>
      </c>
      <c r="AG4">
        <v>-40</v>
      </c>
      <c r="AH4">
        <v>12.8794430484598</v>
      </c>
      <c r="AI4">
        <v>0.31413275727950801</v>
      </c>
      <c r="AJ4" t="s">
        <v>62</v>
      </c>
      <c r="AK4" t="s">
        <v>98</v>
      </c>
      <c r="AL4">
        <v>10</v>
      </c>
      <c r="AM4">
        <v>2</v>
      </c>
      <c r="AN4">
        <v>26</v>
      </c>
      <c r="AO4">
        <v>0.08</v>
      </c>
      <c r="AP4" t="s">
        <v>64</v>
      </c>
      <c r="AQ4" t="s">
        <v>64</v>
      </c>
    </row>
    <row r="5" spans="1:43" x14ac:dyDescent="0.2">
      <c r="A5">
        <v>500852</v>
      </c>
      <c r="B5" t="s">
        <v>99</v>
      </c>
      <c r="C5">
        <v>6.3</v>
      </c>
      <c r="D5">
        <v>566</v>
      </c>
      <c r="E5" t="s">
        <v>44</v>
      </c>
      <c r="F5" s="1">
        <v>43490</v>
      </c>
      <c r="G5">
        <v>15200000</v>
      </c>
      <c r="H5">
        <v>104</v>
      </c>
      <c r="I5">
        <v>15000000</v>
      </c>
      <c r="J5" t="s">
        <v>100</v>
      </c>
      <c r="K5" t="s">
        <v>67</v>
      </c>
      <c r="L5" t="s">
        <v>99</v>
      </c>
      <c r="M5" t="s">
        <v>101</v>
      </c>
      <c r="N5">
        <v>2.6837</v>
      </c>
      <c r="O5" t="s">
        <v>102</v>
      </c>
      <c r="P5" t="s">
        <v>103</v>
      </c>
      <c r="Q5" t="s">
        <v>104</v>
      </c>
      <c r="R5" t="s">
        <v>105</v>
      </c>
      <c r="S5" t="s">
        <v>106</v>
      </c>
      <c r="T5" t="s">
        <v>107</v>
      </c>
      <c r="U5" t="s">
        <v>108</v>
      </c>
      <c r="V5" t="s">
        <v>109</v>
      </c>
      <c r="W5" t="s">
        <v>110</v>
      </c>
      <c r="X5" t="s">
        <v>111</v>
      </c>
      <c r="Y5" t="s">
        <v>112</v>
      </c>
      <c r="Z5">
        <v>5.8</v>
      </c>
      <c r="AA5">
        <v>14073</v>
      </c>
      <c r="AB5" t="s">
        <v>113</v>
      </c>
      <c r="AC5">
        <v>1</v>
      </c>
      <c r="AD5">
        <v>2019</v>
      </c>
      <c r="AE5">
        <v>4</v>
      </c>
      <c r="AF5" t="s">
        <v>114</v>
      </c>
      <c r="AG5">
        <v>-40</v>
      </c>
      <c r="AH5">
        <v>16.5368060516059</v>
      </c>
      <c r="AI5">
        <v>0.40333673296599898</v>
      </c>
      <c r="AJ5" t="s">
        <v>62</v>
      </c>
      <c r="AK5" t="s">
        <v>115</v>
      </c>
      <c r="AL5">
        <v>14</v>
      </c>
      <c r="AM5">
        <v>8</v>
      </c>
      <c r="AN5">
        <v>33</v>
      </c>
      <c r="AO5">
        <v>0.24</v>
      </c>
      <c r="AP5" t="s">
        <v>64</v>
      </c>
      <c r="AQ5" t="s">
        <v>64</v>
      </c>
    </row>
    <row r="6" spans="1:43" x14ac:dyDescent="0.2">
      <c r="A6">
        <v>523172</v>
      </c>
      <c r="B6" t="s">
        <v>116</v>
      </c>
      <c r="C6">
        <v>6.383</v>
      </c>
      <c r="D6">
        <v>844</v>
      </c>
      <c r="E6" t="s">
        <v>44</v>
      </c>
      <c r="F6" s="1">
        <v>43490</v>
      </c>
      <c r="G6">
        <v>22384741</v>
      </c>
      <c r="H6">
        <v>102</v>
      </c>
      <c r="I6">
        <v>4000000</v>
      </c>
      <c r="J6" t="s">
        <v>117</v>
      </c>
      <c r="K6" t="s">
        <v>67</v>
      </c>
      <c r="L6" t="s">
        <v>116</v>
      </c>
      <c r="M6" t="s">
        <v>118</v>
      </c>
      <c r="N6">
        <v>3.5861999999999998</v>
      </c>
      <c r="O6" t="s">
        <v>119</v>
      </c>
      <c r="P6" t="s">
        <v>120</v>
      </c>
      <c r="Q6" t="s">
        <v>121</v>
      </c>
      <c r="R6" t="s">
        <v>122</v>
      </c>
      <c r="S6" t="s">
        <v>106</v>
      </c>
      <c r="T6" t="s">
        <v>123</v>
      </c>
      <c r="U6" t="s">
        <v>124</v>
      </c>
      <c r="V6" t="s">
        <v>125</v>
      </c>
      <c r="W6" t="s">
        <v>126</v>
      </c>
      <c r="X6" t="s">
        <v>127</v>
      </c>
      <c r="Y6" t="s">
        <v>128</v>
      </c>
      <c r="Z6">
        <v>6.5</v>
      </c>
      <c r="AA6">
        <v>43064</v>
      </c>
      <c r="AB6" t="s">
        <v>129</v>
      </c>
      <c r="AC6">
        <v>1</v>
      </c>
      <c r="AD6">
        <v>2019</v>
      </c>
      <c r="AE6">
        <v>4</v>
      </c>
      <c r="AF6" t="s">
        <v>130</v>
      </c>
      <c r="AG6">
        <v>-40</v>
      </c>
      <c r="AH6">
        <v>16.9238901240156</v>
      </c>
      <c r="AI6">
        <v>0.41277780790281998</v>
      </c>
      <c r="AJ6" t="s">
        <v>62</v>
      </c>
      <c r="AK6" t="s">
        <v>131</v>
      </c>
      <c r="AL6">
        <v>20</v>
      </c>
      <c r="AM6">
        <v>4</v>
      </c>
      <c r="AN6">
        <v>38</v>
      </c>
      <c r="AO6">
        <v>0.11</v>
      </c>
      <c r="AP6" t="s">
        <v>64</v>
      </c>
      <c r="AQ6" t="s">
        <v>64</v>
      </c>
    </row>
    <row r="7" spans="1:43" x14ac:dyDescent="0.2">
      <c r="A7">
        <v>399579</v>
      </c>
      <c r="B7" t="s">
        <v>132</v>
      </c>
      <c r="C7">
        <v>7.2439999999999998</v>
      </c>
      <c r="D7">
        <v>9664</v>
      </c>
      <c r="E7" t="s">
        <v>44</v>
      </c>
      <c r="F7" s="1">
        <v>43496</v>
      </c>
      <c r="G7">
        <v>405000000</v>
      </c>
      <c r="H7">
        <v>122</v>
      </c>
      <c r="I7">
        <v>170000000</v>
      </c>
      <c r="J7" t="s">
        <v>133</v>
      </c>
      <c r="K7" t="s">
        <v>67</v>
      </c>
      <c r="L7" t="s">
        <v>132</v>
      </c>
      <c r="M7" t="s">
        <v>134</v>
      </c>
      <c r="N7">
        <v>7.8898000000000001</v>
      </c>
      <c r="O7" t="s">
        <v>135</v>
      </c>
      <c r="P7" t="s">
        <v>136</v>
      </c>
      <c r="Q7" t="s">
        <v>137</v>
      </c>
      <c r="R7" t="s">
        <v>122</v>
      </c>
      <c r="S7" t="s">
        <v>138</v>
      </c>
      <c r="T7" t="s">
        <v>139</v>
      </c>
      <c r="U7" t="s">
        <v>140</v>
      </c>
      <c r="V7" t="s">
        <v>141</v>
      </c>
      <c r="W7" t="s">
        <v>142</v>
      </c>
      <c r="X7" t="s">
        <v>143</v>
      </c>
      <c r="Y7" t="s">
        <v>144</v>
      </c>
      <c r="Z7">
        <v>7.3</v>
      </c>
      <c r="AA7">
        <v>318174</v>
      </c>
      <c r="AB7" t="s">
        <v>145</v>
      </c>
      <c r="AC7">
        <v>1</v>
      </c>
      <c r="AD7">
        <v>2019</v>
      </c>
      <c r="AE7">
        <v>5</v>
      </c>
      <c r="AF7" t="s">
        <v>146</v>
      </c>
      <c r="AG7">
        <v>-34</v>
      </c>
      <c r="AH7">
        <v>19.8193976275399</v>
      </c>
      <c r="AI7">
        <v>0.56626850364399794</v>
      </c>
      <c r="AJ7" t="s">
        <v>62</v>
      </c>
      <c r="AK7" t="s">
        <v>147</v>
      </c>
      <c r="AL7">
        <v>69</v>
      </c>
      <c r="AM7">
        <v>0</v>
      </c>
      <c r="AN7">
        <v>81</v>
      </c>
      <c r="AO7">
        <v>0</v>
      </c>
      <c r="AP7" t="s">
        <v>64</v>
      </c>
      <c r="AQ7" t="s">
        <v>64</v>
      </c>
    </row>
    <row r="8" spans="1:43" x14ac:dyDescent="0.2">
      <c r="A8">
        <v>565179</v>
      </c>
      <c r="B8" t="s">
        <v>148</v>
      </c>
      <c r="C8">
        <v>7.1</v>
      </c>
      <c r="D8">
        <v>1118</v>
      </c>
      <c r="E8" t="s">
        <v>44</v>
      </c>
      <c r="F8" s="1">
        <v>43496</v>
      </c>
      <c r="G8">
        <v>2440478</v>
      </c>
      <c r="H8">
        <v>123</v>
      </c>
      <c r="I8">
        <v>8000000</v>
      </c>
      <c r="J8" t="s">
        <v>149</v>
      </c>
      <c r="K8" t="s">
        <v>150</v>
      </c>
      <c r="L8" t="s">
        <v>151</v>
      </c>
      <c r="M8" t="s">
        <v>152</v>
      </c>
      <c r="N8">
        <v>1.6329</v>
      </c>
      <c r="O8" t="s">
        <v>153</v>
      </c>
      <c r="P8" t="s">
        <v>154</v>
      </c>
      <c r="Q8" t="s">
        <v>155</v>
      </c>
      <c r="R8" t="s">
        <v>156</v>
      </c>
      <c r="S8" t="s">
        <v>157</v>
      </c>
      <c r="T8" t="s">
        <v>158</v>
      </c>
      <c r="U8" t="s">
        <v>159</v>
      </c>
      <c r="V8" t="s">
        <v>160</v>
      </c>
      <c r="W8" t="s">
        <v>161</v>
      </c>
      <c r="X8" t="s">
        <v>162</v>
      </c>
      <c r="Y8" t="s">
        <v>163</v>
      </c>
      <c r="Z8">
        <v>6.5</v>
      </c>
      <c r="AA8">
        <v>6351</v>
      </c>
      <c r="AB8" t="s">
        <v>164</v>
      </c>
      <c r="AC8">
        <v>1</v>
      </c>
      <c r="AD8">
        <v>2019</v>
      </c>
      <c r="AE8">
        <v>5</v>
      </c>
      <c r="AF8" t="s">
        <v>165</v>
      </c>
      <c r="AG8">
        <v>-34</v>
      </c>
      <c r="AH8">
        <v>14.707704889478199</v>
      </c>
      <c r="AI8">
        <v>0.42022013969937699</v>
      </c>
      <c r="AJ8" t="s">
        <v>62</v>
      </c>
      <c r="AK8" t="s">
        <v>166</v>
      </c>
      <c r="AL8">
        <v>1</v>
      </c>
      <c r="AM8">
        <v>1</v>
      </c>
      <c r="AN8">
        <v>11</v>
      </c>
      <c r="AO8">
        <v>0.09</v>
      </c>
      <c r="AP8" t="s">
        <v>64</v>
      </c>
      <c r="AQ8" t="s">
        <v>64</v>
      </c>
    </row>
    <row r="9" spans="1:43" x14ac:dyDescent="0.2">
      <c r="A9">
        <v>280217</v>
      </c>
      <c r="B9" t="s">
        <v>167</v>
      </c>
      <c r="C9">
        <v>6.6619999999999999</v>
      </c>
      <c r="D9">
        <v>2329</v>
      </c>
      <c r="E9" t="s">
        <v>44</v>
      </c>
      <c r="F9" s="1">
        <v>43502</v>
      </c>
      <c r="G9">
        <v>199603202</v>
      </c>
      <c r="H9">
        <v>107</v>
      </c>
      <c r="I9">
        <v>99000000</v>
      </c>
      <c r="J9" t="s">
        <v>168</v>
      </c>
      <c r="K9" t="s">
        <v>67</v>
      </c>
      <c r="L9" t="s">
        <v>167</v>
      </c>
      <c r="M9" t="s">
        <v>169</v>
      </c>
      <c r="N9">
        <v>3.5261</v>
      </c>
      <c r="O9" t="s">
        <v>170</v>
      </c>
      <c r="P9" t="s">
        <v>171</v>
      </c>
      <c r="Q9" t="s">
        <v>172</v>
      </c>
      <c r="R9" t="s">
        <v>173</v>
      </c>
      <c r="S9" t="s">
        <v>106</v>
      </c>
      <c r="T9" t="s">
        <v>174</v>
      </c>
      <c r="U9" t="s">
        <v>175</v>
      </c>
      <c r="W9" t="s">
        <v>176</v>
      </c>
      <c r="X9" t="s">
        <v>177</v>
      </c>
      <c r="Y9" t="s">
        <v>178</v>
      </c>
      <c r="Z9">
        <v>6.5</v>
      </c>
      <c r="AA9">
        <v>83038</v>
      </c>
      <c r="AB9" t="s">
        <v>179</v>
      </c>
      <c r="AC9">
        <v>2</v>
      </c>
      <c r="AD9">
        <v>2019</v>
      </c>
      <c r="AE9">
        <v>6</v>
      </c>
      <c r="AF9" t="s">
        <v>180</v>
      </c>
      <c r="AG9">
        <v>-28</v>
      </c>
      <c r="AH9">
        <v>19.111841968806999</v>
      </c>
      <c r="AI9">
        <v>0.65902903340714003</v>
      </c>
      <c r="AJ9" t="s">
        <v>62</v>
      </c>
      <c r="AK9" t="s">
        <v>181</v>
      </c>
      <c r="AL9">
        <v>62</v>
      </c>
      <c r="AM9">
        <v>1</v>
      </c>
      <c r="AN9">
        <v>65</v>
      </c>
      <c r="AO9">
        <v>0.02</v>
      </c>
      <c r="AP9" t="s">
        <v>64</v>
      </c>
      <c r="AQ9" t="s">
        <v>64</v>
      </c>
    </row>
    <row r="10" spans="1:43" x14ac:dyDescent="0.2">
      <c r="A10">
        <v>532671</v>
      </c>
      <c r="B10" t="s">
        <v>182</v>
      </c>
      <c r="C10">
        <v>6.2</v>
      </c>
      <c r="D10">
        <v>1025</v>
      </c>
      <c r="E10" t="s">
        <v>44</v>
      </c>
      <c r="F10" s="1">
        <v>43502</v>
      </c>
      <c r="G10">
        <v>21200000</v>
      </c>
      <c r="H10">
        <v>92</v>
      </c>
      <c r="I10">
        <v>6000000</v>
      </c>
      <c r="J10" t="s">
        <v>183</v>
      </c>
      <c r="K10" t="s">
        <v>67</v>
      </c>
      <c r="L10" t="s">
        <v>182</v>
      </c>
      <c r="M10" t="s">
        <v>184</v>
      </c>
      <c r="N10">
        <v>4.1885000000000003</v>
      </c>
      <c r="O10" t="s">
        <v>185</v>
      </c>
      <c r="P10" t="s">
        <v>186</v>
      </c>
      <c r="Q10" t="s">
        <v>187</v>
      </c>
      <c r="R10" t="s">
        <v>122</v>
      </c>
      <c r="S10" t="s">
        <v>106</v>
      </c>
      <c r="T10" t="s">
        <v>188</v>
      </c>
      <c r="U10" t="s">
        <v>189</v>
      </c>
      <c r="V10" t="s">
        <v>190</v>
      </c>
      <c r="W10" t="s">
        <v>191</v>
      </c>
      <c r="X10" t="s">
        <v>192</v>
      </c>
      <c r="Y10" t="s">
        <v>193</v>
      </c>
      <c r="Z10">
        <v>5.9</v>
      </c>
      <c r="AA10">
        <v>30561</v>
      </c>
      <c r="AB10" t="s">
        <v>194</v>
      </c>
      <c r="AC10">
        <v>2</v>
      </c>
      <c r="AD10">
        <v>2019</v>
      </c>
      <c r="AE10">
        <v>6</v>
      </c>
      <c r="AF10" t="s">
        <v>195</v>
      </c>
      <c r="AG10">
        <v>-28</v>
      </c>
      <c r="AH10">
        <v>16.869511786812001</v>
      </c>
      <c r="AI10">
        <v>0.58170730299351903</v>
      </c>
      <c r="AJ10" t="s">
        <v>62</v>
      </c>
      <c r="AK10" t="s">
        <v>196</v>
      </c>
      <c r="AL10">
        <v>51</v>
      </c>
      <c r="AM10">
        <v>0</v>
      </c>
      <c r="AN10">
        <v>58</v>
      </c>
      <c r="AO10">
        <v>0</v>
      </c>
      <c r="AP10" t="s">
        <v>64</v>
      </c>
      <c r="AQ10" t="s">
        <v>64</v>
      </c>
    </row>
    <row r="11" spans="1:43" x14ac:dyDescent="0.2">
      <c r="A11">
        <v>487297</v>
      </c>
      <c r="B11" t="s">
        <v>197</v>
      </c>
      <c r="C11">
        <v>6.2</v>
      </c>
      <c r="D11">
        <v>1544</v>
      </c>
      <c r="E11" t="s">
        <v>44</v>
      </c>
      <c r="F11" s="1">
        <v>43504</v>
      </c>
      <c r="G11">
        <v>69766483</v>
      </c>
      <c r="H11">
        <v>117</v>
      </c>
      <c r="I11">
        <v>20000000</v>
      </c>
      <c r="J11" t="s">
        <v>198</v>
      </c>
      <c r="K11" t="s">
        <v>67</v>
      </c>
      <c r="L11" t="s">
        <v>197</v>
      </c>
      <c r="M11" t="s">
        <v>199</v>
      </c>
      <c r="N11">
        <v>5.452</v>
      </c>
      <c r="O11" t="s">
        <v>200</v>
      </c>
      <c r="P11" t="s">
        <v>201</v>
      </c>
      <c r="Q11" t="s">
        <v>202</v>
      </c>
      <c r="R11" t="s">
        <v>122</v>
      </c>
      <c r="S11" t="s">
        <v>106</v>
      </c>
      <c r="T11" t="s">
        <v>203</v>
      </c>
      <c r="U11" t="s">
        <v>204</v>
      </c>
      <c r="V11" t="s">
        <v>205</v>
      </c>
      <c r="W11" t="s">
        <v>206</v>
      </c>
      <c r="X11" t="s">
        <v>207</v>
      </c>
      <c r="Y11" t="s">
        <v>208</v>
      </c>
      <c r="Z11">
        <v>5.4</v>
      </c>
      <c r="AA11">
        <v>34169</v>
      </c>
      <c r="AB11" t="s">
        <v>209</v>
      </c>
      <c r="AC11">
        <v>2</v>
      </c>
      <c r="AD11">
        <v>2019</v>
      </c>
      <c r="AE11">
        <v>6</v>
      </c>
      <c r="AF11" t="s">
        <v>210</v>
      </c>
      <c r="AG11">
        <v>-26</v>
      </c>
      <c r="AH11">
        <v>18.060664280493299</v>
      </c>
      <c r="AI11">
        <v>0.66891349187012505</v>
      </c>
      <c r="AJ11" t="s">
        <v>62</v>
      </c>
      <c r="AK11" t="s">
        <v>211</v>
      </c>
      <c r="AL11">
        <v>21</v>
      </c>
      <c r="AM11">
        <v>7</v>
      </c>
      <c r="AN11">
        <v>36</v>
      </c>
      <c r="AO11">
        <v>0.19</v>
      </c>
      <c r="AP11" t="s">
        <v>64</v>
      </c>
      <c r="AQ11" t="s">
        <v>64</v>
      </c>
    </row>
    <row r="12" spans="1:43" hidden="1" x14ac:dyDescent="0.2">
      <c r="A12">
        <v>449563</v>
      </c>
      <c r="B12" t="s">
        <v>212</v>
      </c>
      <c r="C12">
        <v>6.2</v>
      </c>
      <c r="D12">
        <v>3536</v>
      </c>
      <c r="E12" t="s">
        <v>44</v>
      </c>
      <c r="F12" s="1">
        <v>43509</v>
      </c>
      <c r="G12">
        <v>48800000</v>
      </c>
      <c r="H12">
        <v>88</v>
      </c>
      <c r="I12">
        <v>31000000</v>
      </c>
      <c r="J12" t="s">
        <v>213</v>
      </c>
      <c r="K12" t="s">
        <v>67</v>
      </c>
      <c r="L12" t="s">
        <v>212</v>
      </c>
      <c r="M12" t="s">
        <v>214</v>
      </c>
      <c r="N12">
        <v>2.4300999999999999</v>
      </c>
      <c r="O12" t="s">
        <v>215</v>
      </c>
      <c r="P12" t="s">
        <v>216</v>
      </c>
      <c r="Q12" t="s">
        <v>217</v>
      </c>
      <c r="R12" t="s">
        <v>218</v>
      </c>
      <c r="S12" t="s">
        <v>106</v>
      </c>
      <c r="T12" t="s">
        <v>219</v>
      </c>
      <c r="U12" t="s">
        <v>220</v>
      </c>
      <c r="V12" t="s">
        <v>221</v>
      </c>
      <c r="W12" t="s">
        <v>222</v>
      </c>
      <c r="X12" t="s">
        <v>223</v>
      </c>
      <c r="Y12" t="s">
        <v>224</v>
      </c>
      <c r="Z12">
        <v>5.9</v>
      </c>
      <c r="AA12">
        <v>76232</v>
      </c>
      <c r="AB12" t="s">
        <v>225</v>
      </c>
      <c r="AC12">
        <v>2</v>
      </c>
      <c r="AD12">
        <v>2019</v>
      </c>
      <c r="AE12">
        <v>7</v>
      </c>
      <c r="AF12" t="s">
        <v>226</v>
      </c>
      <c r="AG12">
        <v>-21</v>
      </c>
      <c r="AH12">
        <v>17.703240891315101</v>
      </c>
      <c r="AI12">
        <v>0.80469276778705301</v>
      </c>
      <c r="AJ12" t="s">
        <v>62</v>
      </c>
      <c r="AK12" t="s">
        <v>227</v>
      </c>
      <c r="AL12">
        <v>7</v>
      </c>
      <c r="AM12">
        <v>21</v>
      </c>
      <c r="AN12">
        <v>31</v>
      </c>
      <c r="AO12">
        <v>0.68</v>
      </c>
      <c r="AP12" t="s">
        <v>228</v>
      </c>
      <c r="AQ12" t="s">
        <v>64</v>
      </c>
    </row>
    <row r="13" spans="1:43" x14ac:dyDescent="0.2">
      <c r="A13">
        <v>512196</v>
      </c>
      <c r="B13" t="s">
        <v>229</v>
      </c>
      <c r="C13">
        <v>6.3250000000000002</v>
      </c>
      <c r="D13">
        <v>3541</v>
      </c>
      <c r="E13" t="s">
        <v>44</v>
      </c>
      <c r="F13" s="1">
        <v>43509</v>
      </c>
      <c r="G13">
        <v>64600152</v>
      </c>
      <c r="H13">
        <v>100</v>
      </c>
      <c r="I13">
        <v>9000000</v>
      </c>
      <c r="J13" t="s">
        <v>230</v>
      </c>
      <c r="K13" t="s">
        <v>67</v>
      </c>
      <c r="L13" t="s">
        <v>229</v>
      </c>
      <c r="M13" t="s">
        <v>231</v>
      </c>
      <c r="N13">
        <v>3.2989999999999999</v>
      </c>
      <c r="O13" t="s">
        <v>232</v>
      </c>
      <c r="P13" t="s">
        <v>233</v>
      </c>
      <c r="Q13" t="s">
        <v>234</v>
      </c>
      <c r="R13" t="s">
        <v>122</v>
      </c>
      <c r="S13" t="s">
        <v>106</v>
      </c>
      <c r="T13" t="s">
        <v>235</v>
      </c>
      <c r="U13" t="s">
        <v>236</v>
      </c>
      <c r="V13" t="s">
        <v>237</v>
      </c>
      <c r="W13" t="s">
        <v>238</v>
      </c>
      <c r="X13" t="s">
        <v>239</v>
      </c>
      <c r="Y13" t="s">
        <v>240</v>
      </c>
      <c r="Z13">
        <v>6.2</v>
      </c>
      <c r="AA13">
        <v>93906</v>
      </c>
      <c r="AB13" t="s">
        <v>241</v>
      </c>
      <c r="AC13">
        <v>2</v>
      </c>
      <c r="AD13">
        <v>2019</v>
      </c>
      <c r="AE13">
        <v>7</v>
      </c>
      <c r="AF13" t="s">
        <v>242</v>
      </c>
      <c r="AG13">
        <v>-21</v>
      </c>
      <c r="AH13">
        <v>17.983727337171</v>
      </c>
      <c r="AI13">
        <v>0.817442151689594</v>
      </c>
      <c r="AJ13" t="s">
        <v>62</v>
      </c>
      <c r="AK13" t="s">
        <v>243</v>
      </c>
      <c r="AL13">
        <v>50</v>
      </c>
      <c r="AM13">
        <v>0</v>
      </c>
      <c r="AN13">
        <v>52</v>
      </c>
      <c r="AO13">
        <v>0</v>
      </c>
      <c r="AP13" t="s">
        <v>64</v>
      </c>
      <c r="AQ13" t="s">
        <v>64</v>
      </c>
    </row>
    <row r="14" spans="1:43" x14ac:dyDescent="0.2">
      <c r="A14">
        <v>445629</v>
      </c>
      <c r="B14" t="s">
        <v>244</v>
      </c>
      <c r="C14">
        <v>6.8470000000000004</v>
      </c>
      <c r="D14">
        <v>1802</v>
      </c>
      <c r="E14" t="s">
        <v>44</v>
      </c>
      <c r="F14" s="1">
        <v>43510</v>
      </c>
      <c r="G14">
        <v>39055536</v>
      </c>
      <c r="H14">
        <v>108</v>
      </c>
      <c r="I14">
        <v>11000000</v>
      </c>
      <c r="J14" t="s">
        <v>245</v>
      </c>
      <c r="K14" t="s">
        <v>67</v>
      </c>
      <c r="L14" t="s">
        <v>244</v>
      </c>
      <c r="M14" t="s">
        <v>246</v>
      </c>
      <c r="N14">
        <v>2.7193000000000001</v>
      </c>
      <c r="O14" t="s">
        <v>247</v>
      </c>
      <c r="P14" t="s">
        <v>248</v>
      </c>
      <c r="Q14" t="s">
        <v>249</v>
      </c>
      <c r="R14" t="s">
        <v>250</v>
      </c>
      <c r="S14" t="s">
        <v>106</v>
      </c>
      <c r="T14" t="s">
        <v>251</v>
      </c>
      <c r="U14" t="s">
        <v>252</v>
      </c>
      <c r="V14" t="s">
        <v>253</v>
      </c>
      <c r="W14" t="s">
        <v>252</v>
      </c>
      <c r="X14" t="s">
        <v>254</v>
      </c>
      <c r="Y14" t="s">
        <v>255</v>
      </c>
      <c r="Z14">
        <v>7</v>
      </c>
      <c r="AA14">
        <v>92178</v>
      </c>
      <c r="AB14" t="s">
        <v>256</v>
      </c>
      <c r="AC14">
        <v>2</v>
      </c>
      <c r="AD14">
        <v>2019</v>
      </c>
      <c r="AE14">
        <v>7</v>
      </c>
      <c r="AF14" t="s">
        <v>257</v>
      </c>
      <c r="AG14">
        <v>-20</v>
      </c>
      <c r="AH14">
        <v>17.480495216771899</v>
      </c>
      <c r="AI14">
        <v>0.832404534131998</v>
      </c>
      <c r="AJ14" t="s">
        <v>62</v>
      </c>
      <c r="AK14" t="s">
        <v>258</v>
      </c>
      <c r="AL14">
        <v>35</v>
      </c>
      <c r="AM14">
        <v>1</v>
      </c>
      <c r="AN14">
        <v>45</v>
      </c>
      <c r="AO14">
        <v>0.02</v>
      </c>
      <c r="AP14" t="s">
        <v>64</v>
      </c>
      <c r="AQ14" t="s">
        <v>64</v>
      </c>
    </row>
    <row r="15" spans="1:43" x14ac:dyDescent="0.2">
      <c r="A15">
        <v>491625</v>
      </c>
      <c r="B15" t="s">
        <v>259</v>
      </c>
      <c r="C15">
        <v>7.3</v>
      </c>
      <c r="D15">
        <v>185</v>
      </c>
      <c r="E15" t="s">
        <v>44</v>
      </c>
      <c r="F15" s="1">
        <v>43510</v>
      </c>
      <c r="G15">
        <v>28299498</v>
      </c>
      <c r="H15">
        <v>156</v>
      </c>
      <c r="I15">
        <v>5782853</v>
      </c>
      <c r="J15" t="s">
        <v>260</v>
      </c>
      <c r="K15" t="s">
        <v>261</v>
      </c>
      <c r="L15" t="s">
        <v>262</v>
      </c>
      <c r="M15" t="s">
        <v>263</v>
      </c>
      <c r="N15">
        <v>4.415</v>
      </c>
      <c r="O15" t="s">
        <v>264</v>
      </c>
      <c r="P15" t="s">
        <v>265</v>
      </c>
      <c r="Q15" t="s">
        <v>266</v>
      </c>
      <c r="R15" t="s">
        <v>267</v>
      </c>
      <c r="S15" t="s">
        <v>268</v>
      </c>
      <c r="T15" t="s">
        <v>269</v>
      </c>
      <c r="U15" t="s">
        <v>270</v>
      </c>
      <c r="V15" t="s">
        <v>271</v>
      </c>
      <c r="W15" t="s">
        <v>272</v>
      </c>
      <c r="X15" t="s">
        <v>273</v>
      </c>
      <c r="Y15" t="s">
        <v>274</v>
      </c>
      <c r="Z15">
        <v>7.9</v>
      </c>
      <c r="AA15">
        <v>46382</v>
      </c>
      <c r="AB15" t="s">
        <v>275</v>
      </c>
      <c r="AC15">
        <v>2</v>
      </c>
      <c r="AD15">
        <v>2019</v>
      </c>
      <c r="AE15">
        <v>7</v>
      </c>
      <c r="AF15" t="s">
        <v>276</v>
      </c>
      <c r="AG15">
        <v>-20</v>
      </c>
      <c r="AH15">
        <v>17.158354659276501</v>
      </c>
      <c r="AI15">
        <v>0.81706450758459703</v>
      </c>
      <c r="AJ15" t="s">
        <v>62</v>
      </c>
      <c r="AK15" t="s">
        <v>277</v>
      </c>
      <c r="AL15">
        <v>17</v>
      </c>
      <c r="AM15">
        <v>0</v>
      </c>
      <c r="AN15">
        <v>30</v>
      </c>
      <c r="AO15">
        <v>0</v>
      </c>
      <c r="AP15" t="s">
        <v>64</v>
      </c>
      <c r="AQ15" t="s">
        <v>64</v>
      </c>
    </row>
    <row r="16" spans="1:43" x14ac:dyDescent="0.2">
      <c r="A16">
        <v>438674</v>
      </c>
      <c r="B16" t="s">
        <v>278</v>
      </c>
      <c r="C16">
        <v>6.6</v>
      </c>
      <c r="D16">
        <v>1055</v>
      </c>
      <c r="E16" t="s">
        <v>44</v>
      </c>
      <c r="F16" s="1">
        <v>43517</v>
      </c>
      <c r="G16">
        <v>660132</v>
      </c>
      <c r="H16">
        <v>159</v>
      </c>
      <c r="I16">
        <v>15000000</v>
      </c>
      <c r="J16" t="s">
        <v>279</v>
      </c>
      <c r="K16" t="s">
        <v>67</v>
      </c>
      <c r="L16" t="s">
        <v>278</v>
      </c>
      <c r="M16" t="s">
        <v>280</v>
      </c>
      <c r="N16">
        <v>7.3147000000000002</v>
      </c>
      <c r="O16" t="s">
        <v>281</v>
      </c>
      <c r="P16" t="s">
        <v>282</v>
      </c>
      <c r="Q16" t="s">
        <v>283</v>
      </c>
      <c r="R16" t="s">
        <v>284</v>
      </c>
      <c r="S16" t="s">
        <v>138</v>
      </c>
      <c r="T16" t="s">
        <v>285</v>
      </c>
      <c r="U16" t="s">
        <v>286</v>
      </c>
      <c r="V16" t="s">
        <v>287</v>
      </c>
      <c r="W16" t="s">
        <v>286</v>
      </c>
      <c r="X16" t="s">
        <v>288</v>
      </c>
      <c r="Y16" t="s">
        <v>289</v>
      </c>
      <c r="Z16">
        <v>6.9</v>
      </c>
      <c r="AA16">
        <v>60647</v>
      </c>
      <c r="AB16" t="s">
        <v>290</v>
      </c>
      <c r="AC16">
        <v>2</v>
      </c>
      <c r="AD16">
        <v>2019</v>
      </c>
      <c r="AE16">
        <v>8</v>
      </c>
      <c r="AF16" t="s">
        <v>291</v>
      </c>
      <c r="AG16">
        <v>-13</v>
      </c>
      <c r="AH16">
        <v>13.4001966088526</v>
      </c>
      <c r="AI16">
        <v>0.95715690063233305</v>
      </c>
      <c r="AJ16" t="s">
        <v>62</v>
      </c>
      <c r="AK16" t="s">
        <v>292</v>
      </c>
      <c r="AL16">
        <v>22</v>
      </c>
      <c r="AM16">
        <v>5</v>
      </c>
      <c r="AN16">
        <v>43</v>
      </c>
      <c r="AO16">
        <v>0.12</v>
      </c>
      <c r="AP16" t="s">
        <v>64</v>
      </c>
      <c r="AQ16" t="s">
        <v>64</v>
      </c>
    </row>
    <row r="17" spans="1:43" x14ac:dyDescent="0.2">
      <c r="A17">
        <v>543915</v>
      </c>
      <c r="B17" t="s">
        <v>293</v>
      </c>
      <c r="C17">
        <v>5.4</v>
      </c>
      <c r="D17">
        <v>128</v>
      </c>
      <c r="E17" t="s">
        <v>44</v>
      </c>
      <c r="F17" s="1">
        <v>43518</v>
      </c>
      <c r="G17">
        <v>98559</v>
      </c>
      <c r="H17">
        <v>89</v>
      </c>
      <c r="I17">
        <v>5000000</v>
      </c>
      <c r="J17" t="s">
        <v>294</v>
      </c>
      <c r="K17" t="s">
        <v>67</v>
      </c>
      <c r="L17" t="s">
        <v>293</v>
      </c>
      <c r="M17" t="s">
        <v>295</v>
      </c>
      <c r="N17">
        <v>14.175000000000001</v>
      </c>
      <c r="O17" t="s">
        <v>296</v>
      </c>
      <c r="P17" t="s">
        <v>297</v>
      </c>
      <c r="Q17" t="s">
        <v>298</v>
      </c>
      <c r="R17" t="s">
        <v>299</v>
      </c>
      <c r="S17" t="s">
        <v>106</v>
      </c>
      <c r="T17" t="s">
        <v>300</v>
      </c>
      <c r="U17" t="s">
        <v>301</v>
      </c>
      <c r="V17" t="s">
        <v>302</v>
      </c>
      <c r="W17" t="s">
        <v>303</v>
      </c>
      <c r="X17" t="s">
        <v>304</v>
      </c>
      <c r="Y17" t="s">
        <v>305</v>
      </c>
      <c r="Z17">
        <v>5.7</v>
      </c>
      <c r="AA17">
        <v>5430</v>
      </c>
      <c r="AB17" t="s">
        <v>306</v>
      </c>
      <c r="AC17">
        <v>2</v>
      </c>
      <c r="AD17">
        <v>2019</v>
      </c>
      <c r="AE17">
        <v>8</v>
      </c>
      <c r="AF17" t="s">
        <v>307</v>
      </c>
      <c r="AG17">
        <v>-12</v>
      </c>
      <c r="AH17">
        <v>11.498420778767301</v>
      </c>
      <c r="AI17">
        <v>0.884493906059026</v>
      </c>
      <c r="AJ17" t="s">
        <v>62</v>
      </c>
      <c r="AK17" t="s">
        <v>308</v>
      </c>
      <c r="AL17">
        <v>5</v>
      </c>
      <c r="AM17">
        <v>2</v>
      </c>
      <c r="AN17">
        <v>16</v>
      </c>
      <c r="AO17">
        <v>0.12</v>
      </c>
      <c r="AP17" t="s">
        <v>64</v>
      </c>
      <c r="AQ17" t="s">
        <v>64</v>
      </c>
    </row>
    <row r="18" spans="1:43" x14ac:dyDescent="0.2">
      <c r="A18">
        <v>464504</v>
      </c>
      <c r="B18" t="s">
        <v>309</v>
      </c>
      <c r="C18">
        <v>5.9</v>
      </c>
      <c r="D18">
        <v>489</v>
      </c>
      <c r="E18" t="s">
        <v>44</v>
      </c>
      <c r="F18" s="1">
        <v>43525</v>
      </c>
      <c r="G18">
        <v>74747725</v>
      </c>
      <c r="H18">
        <v>109</v>
      </c>
      <c r="I18">
        <v>20000000</v>
      </c>
      <c r="J18" t="s">
        <v>310</v>
      </c>
      <c r="K18" t="s">
        <v>67</v>
      </c>
      <c r="L18" t="s">
        <v>309</v>
      </c>
      <c r="M18" t="s">
        <v>311</v>
      </c>
      <c r="N18">
        <v>3.7862</v>
      </c>
      <c r="O18" t="s">
        <v>312</v>
      </c>
      <c r="P18" t="s">
        <v>248</v>
      </c>
      <c r="Q18" t="s">
        <v>313</v>
      </c>
      <c r="R18" t="s">
        <v>122</v>
      </c>
      <c r="S18" t="s">
        <v>106</v>
      </c>
      <c r="T18" t="s">
        <v>314</v>
      </c>
      <c r="U18" t="s">
        <v>315</v>
      </c>
      <c r="V18" t="s">
        <v>316</v>
      </c>
      <c r="W18" t="s">
        <v>315</v>
      </c>
      <c r="X18" t="s">
        <v>317</v>
      </c>
      <c r="Y18" t="s">
        <v>318</v>
      </c>
      <c r="Z18">
        <v>4.7</v>
      </c>
      <c r="AA18">
        <v>5477</v>
      </c>
      <c r="AB18" t="s">
        <v>319</v>
      </c>
      <c r="AC18">
        <v>3</v>
      </c>
      <c r="AD18">
        <v>2019</v>
      </c>
      <c r="AE18">
        <v>9</v>
      </c>
      <c r="AF18" t="s">
        <v>320</v>
      </c>
      <c r="AG18">
        <v>-5</v>
      </c>
      <c r="AH18">
        <v>18.129629348367601</v>
      </c>
      <c r="AI18">
        <v>3.0216048913945999</v>
      </c>
      <c r="AJ18" t="s">
        <v>62</v>
      </c>
      <c r="AK18" t="s">
        <v>321</v>
      </c>
      <c r="AL18">
        <v>5</v>
      </c>
      <c r="AM18">
        <v>3</v>
      </c>
      <c r="AN18">
        <v>10</v>
      </c>
      <c r="AO18">
        <v>0.3</v>
      </c>
      <c r="AP18" t="s">
        <v>64</v>
      </c>
      <c r="AQ18" t="s">
        <v>64</v>
      </c>
    </row>
    <row r="19" spans="1:43" x14ac:dyDescent="0.2">
      <c r="A19">
        <v>411728</v>
      </c>
      <c r="B19" t="s">
        <v>322</v>
      </c>
      <c r="C19">
        <v>7.1429999999999998</v>
      </c>
      <c r="D19">
        <v>1230</v>
      </c>
      <c r="E19" t="s">
        <v>44</v>
      </c>
      <c r="F19" s="1">
        <v>43531</v>
      </c>
      <c r="G19">
        <v>4957273</v>
      </c>
      <c r="H19">
        <v>124</v>
      </c>
      <c r="I19">
        <v>25000000</v>
      </c>
      <c r="J19" t="s">
        <v>323</v>
      </c>
      <c r="K19" t="s">
        <v>67</v>
      </c>
      <c r="L19" t="s">
        <v>322</v>
      </c>
      <c r="M19" t="s">
        <v>324</v>
      </c>
      <c r="N19">
        <v>2.5461999999999998</v>
      </c>
      <c r="O19" t="s">
        <v>325</v>
      </c>
      <c r="P19" t="s">
        <v>326</v>
      </c>
      <c r="Q19" t="s">
        <v>327</v>
      </c>
      <c r="R19" t="s">
        <v>328</v>
      </c>
      <c r="S19" t="s">
        <v>106</v>
      </c>
      <c r="T19" t="s">
        <v>329</v>
      </c>
      <c r="U19" t="s">
        <v>330</v>
      </c>
      <c r="V19" t="s">
        <v>331</v>
      </c>
      <c r="W19" t="s">
        <v>332</v>
      </c>
      <c r="X19" t="s">
        <v>333</v>
      </c>
      <c r="Y19" t="s">
        <v>240</v>
      </c>
      <c r="Z19">
        <v>7.2</v>
      </c>
      <c r="AA19">
        <v>54084</v>
      </c>
      <c r="AB19" t="s">
        <v>334</v>
      </c>
      <c r="AC19">
        <v>3</v>
      </c>
      <c r="AD19">
        <v>2019</v>
      </c>
      <c r="AE19">
        <v>10</v>
      </c>
      <c r="AF19" t="s">
        <v>335</v>
      </c>
      <c r="AG19">
        <v>1</v>
      </c>
      <c r="AH19">
        <v>15.4163665508432</v>
      </c>
      <c r="AI19">
        <v>7.7081832754216197</v>
      </c>
      <c r="AJ19" t="s">
        <v>62</v>
      </c>
      <c r="AK19" t="s">
        <v>336</v>
      </c>
      <c r="AL19">
        <v>36</v>
      </c>
      <c r="AM19">
        <v>6</v>
      </c>
      <c r="AN19">
        <v>52</v>
      </c>
      <c r="AO19">
        <v>0.12</v>
      </c>
      <c r="AP19" t="s">
        <v>64</v>
      </c>
      <c r="AQ19" t="s">
        <v>64</v>
      </c>
    </row>
    <row r="20" spans="1:43" x14ac:dyDescent="0.2">
      <c r="A20">
        <v>492565</v>
      </c>
      <c r="B20" t="s">
        <v>337</v>
      </c>
      <c r="C20">
        <v>6</v>
      </c>
      <c r="D20">
        <v>310</v>
      </c>
      <c r="E20" t="s">
        <v>44</v>
      </c>
      <c r="F20" s="1">
        <v>43532</v>
      </c>
      <c r="G20">
        <v>1561698</v>
      </c>
      <c r="H20">
        <v>100</v>
      </c>
      <c r="I20">
        <v>8000000</v>
      </c>
      <c r="J20" t="s">
        <v>338</v>
      </c>
      <c r="K20" t="s">
        <v>67</v>
      </c>
      <c r="L20" t="s">
        <v>337</v>
      </c>
      <c r="M20" t="s">
        <v>339</v>
      </c>
      <c r="N20">
        <v>3.4523000000000001</v>
      </c>
      <c r="O20" t="s">
        <v>340</v>
      </c>
      <c r="P20" t="s">
        <v>341</v>
      </c>
      <c r="Q20" t="s">
        <v>342</v>
      </c>
      <c r="R20" t="s">
        <v>122</v>
      </c>
      <c r="S20" t="s">
        <v>106</v>
      </c>
      <c r="T20" t="s">
        <v>343</v>
      </c>
      <c r="U20" t="s">
        <v>344</v>
      </c>
      <c r="V20" t="s">
        <v>345</v>
      </c>
      <c r="W20" t="s">
        <v>346</v>
      </c>
      <c r="X20" t="s">
        <v>347</v>
      </c>
      <c r="Y20" t="s">
        <v>348</v>
      </c>
      <c r="Z20">
        <v>5.9</v>
      </c>
      <c r="AA20">
        <v>10266</v>
      </c>
      <c r="AB20" t="s">
        <v>349</v>
      </c>
      <c r="AC20">
        <v>3</v>
      </c>
      <c r="AD20">
        <v>2019</v>
      </c>
      <c r="AE20">
        <v>10</v>
      </c>
      <c r="AF20" t="s">
        <v>350</v>
      </c>
      <c r="AG20">
        <v>2</v>
      </c>
      <c r="AH20">
        <v>14.261284889147801</v>
      </c>
      <c r="AI20">
        <v>4.7537616297159602</v>
      </c>
      <c r="AJ20" t="s">
        <v>62</v>
      </c>
      <c r="AK20" t="s">
        <v>351</v>
      </c>
      <c r="AL20">
        <v>12</v>
      </c>
      <c r="AM20">
        <v>2</v>
      </c>
      <c r="AN20">
        <v>24</v>
      </c>
      <c r="AO20">
        <v>0.08</v>
      </c>
      <c r="AP20" t="s">
        <v>64</v>
      </c>
      <c r="AQ20" t="s">
        <v>64</v>
      </c>
    </row>
    <row r="21" spans="1:43" x14ac:dyDescent="0.2">
      <c r="A21">
        <v>400157</v>
      </c>
      <c r="B21" t="s">
        <v>352</v>
      </c>
      <c r="C21">
        <v>6.5</v>
      </c>
      <c r="D21">
        <v>727</v>
      </c>
      <c r="E21" t="s">
        <v>44</v>
      </c>
      <c r="F21" s="1">
        <v>43537</v>
      </c>
      <c r="G21">
        <v>119559110</v>
      </c>
      <c r="H21">
        <v>86</v>
      </c>
      <c r="I21">
        <v>100000000</v>
      </c>
      <c r="J21" t="s">
        <v>353</v>
      </c>
      <c r="K21" t="s">
        <v>67</v>
      </c>
      <c r="L21" t="s">
        <v>352</v>
      </c>
      <c r="M21" t="s">
        <v>354</v>
      </c>
      <c r="N21">
        <v>7.2969999999999997</v>
      </c>
      <c r="O21" t="s">
        <v>355</v>
      </c>
      <c r="P21" t="s">
        <v>356</v>
      </c>
      <c r="Q21" t="s">
        <v>357</v>
      </c>
      <c r="R21" t="s">
        <v>358</v>
      </c>
      <c r="S21" t="s">
        <v>106</v>
      </c>
      <c r="T21" t="s">
        <v>359</v>
      </c>
      <c r="U21" t="s">
        <v>360</v>
      </c>
      <c r="W21" t="s">
        <v>361</v>
      </c>
      <c r="X21" t="s">
        <v>362</v>
      </c>
      <c r="Y21" t="s">
        <v>363</v>
      </c>
      <c r="Z21">
        <v>5.9</v>
      </c>
      <c r="AA21">
        <v>13398</v>
      </c>
      <c r="AB21" t="s">
        <v>364</v>
      </c>
      <c r="AC21">
        <v>3</v>
      </c>
      <c r="AD21">
        <v>2019</v>
      </c>
      <c r="AE21">
        <v>11</v>
      </c>
      <c r="AF21" t="s">
        <v>365</v>
      </c>
      <c r="AG21">
        <v>7</v>
      </c>
      <c r="AH21">
        <v>18.5993214597551</v>
      </c>
      <c r="AI21">
        <v>2.3249151824693901</v>
      </c>
      <c r="AJ21" t="s">
        <v>62</v>
      </c>
      <c r="AK21" t="s">
        <v>366</v>
      </c>
      <c r="AL21">
        <v>57</v>
      </c>
      <c r="AM21">
        <v>1</v>
      </c>
      <c r="AN21">
        <v>60</v>
      </c>
      <c r="AO21">
        <v>0.02</v>
      </c>
      <c r="AP21" t="s">
        <v>64</v>
      </c>
      <c r="AQ21" t="s">
        <v>64</v>
      </c>
    </row>
    <row r="22" spans="1:43" x14ac:dyDescent="0.2">
      <c r="A22">
        <v>416144</v>
      </c>
      <c r="B22" t="s">
        <v>367</v>
      </c>
      <c r="C22">
        <v>7.5419999999999998</v>
      </c>
      <c r="D22">
        <v>1638</v>
      </c>
      <c r="E22" t="s">
        <v>44</v>
      </c>
      <c r="F22" s="1">
        <v>43538</v>
      </c>
      <c r="G22">
        <v>16900000</v>
      </c>
      <c r="H22">
        <v>123</v>
      </c>
      <c r="I22">
        <v>25000000</v>
      </c>
      <c r="J22" t="s">
        <v>368</v>
      </c>
      <c r="K22" t="s">
        <v>67</v>
      </c>
      <c r="L22" t="s">
        <v>367</v>
      </c>
      <c r="M22" t="s">
        <v>369</v>
      </c>
      <c r="N22">
        <v>2.7936999999999999</v>
      </c>
      <c r="O22" t="s">
        <v>370</v>
      </c>
      <c r="P22" t="s">
        <v>371</v>
      </c>
      <c r="Q22" t="s">
        <v>372</v>
      </c>
      <c r="R22" t="s">
        <v>373</v>
      </c>
      <c r="S22" t="s">
        <v>374</v>
      </c>
      <c r="T22" t="s">
        <v>375</v>
      </c>
      <c r="U22" t="s">
        <v>376</v>
      </c>
      <c r="V22" t="s">
        <v>377</v>
      </c>
      <c r="W22" t="s">
        <v>378</v>
      </c>
      <c r="X22" t="s">
        <v>379</v>
      </c>
      <c r="Y22" t="s">
        <v>380</v>
      </c>
      <c r="Z22">
        <v>7.6</v>
      </c>
      <c r="AA22">
        <v>77083</v>
      </c>
      <c r="AB22" t="s">
        <v>381</v>
      </c>
      <c r="AC22">
        <v>3</v>
      </c>
      <c r="AD22">
        <v>2019</v>
      </c>
      <c r="AE22">
        <v>11</v>
      </c>
      <c r="AF22" t="s">
        <v>382</v>
      </c>
      <c r="AG22">
        <v>8</v>
      </c>
      <c r="AH22">
        <v>16.642824239064801</v>
      </c>
      <c r="AI22">
        <v>1.8492026932294301</v>
      </c>
      <c r="AJ22" t="s">
        <v>62</v>
      </c>
      <c r="AK22" t="s">
        <v>383</v>
      </c>
      <c r="AL22">
        <v>45</v>
      </c>
      <c r="AM22">
        <v>4</v>
      </c>
      <c r="AN22">
        <v>73</v>
      </c>
      <c r="AO22">
        <v>0.05</v>
      </c>
      <c r="AP22" t="s">
        <v>64</v>
      </c>
      <c r="AQ22" t="s">
        <v>64</v>
      </c>
    </row>
    <row r="23" spans="1:43" x14ac:dyDescent="0.2">
      <c r="A23">
        <v>458723</v>
      </c>
      <c r="B23" t="s">
        <v>384</v>
      </c>
      <c r="C23">
        <v>7</v>
      </c>
      <c r="D23">
        <v>7787</v>
      </c>
      <c r="E23" t="s">
        <v>44</v>
      </c>
      <c r="F23" s="1">
        <v>43538</v>
      </c>
      <c r="G23">
        <v>256067149</v>
      </c>
      <c r="H23">
        <v>116</v>
      </c>
      <c r="I23">
        <v>20000000</v>
      </c>
      <c r="J23" t="s">
        <v>385</v>
      </c>
      <c r="K23" t="s">
        <v>67</v>
      </c>
      <c r="L23" t="s">
        <v>384</v>
      </c>
      <c r="M23" t="s">
        <v>386</v>
      </c>
      <c r="N23">
        <v>7.0766999999999998</v>
      </c>
      <c r="O23" t="s">
        <v>387</v>
      </c>
      <c r="P23" t="s">
        <v>388</v>
      </c>
      <c r="Q23" t="s">
        <v>389</v>
      </c>
      <c r="R23" t="s">
        <v>122</v>
      </c>
      <c r="S23" t="s">
        <v>106</v>
      </c>
      <c r="T23" t="s">
        <v>390</v>
      </c>
      <c r="U23" t="s">
        <v>391</v>
      </c>
      <c r="V23" t="s">
        <v>392</v>
      </c>
      <c r="W23" t="s">
        <v>391</v>
      </c>
      <c r="X23" t="s">
        <v>393</v>
      </c>
      <c r="Y23" t="s">
        <v>394</v>
      </c>
      <c r="Z23">
        <v>6.8</v>
      </c>
      <c r="AA23">
        <v>381376</v>
      </c>
      <c r="AB23" t="s">
        <v>395</v>
      </c>
      <c r="AC23">
        <v>3</v>
      </c>
      <c r="AD23">
        <v>2019</v>
      </c>
      <c r="AE23">
        <v>11</v>
      </c>
      <c r="AF23" t="s">
        <v>396</v>
      </c>
      <c r="AG23">
        <v>8</v>
      </c>
      <c r="AH23">
        <v>19.360950272735401</v>
      </c>
      <c r="AI23">
        <v>2.1512166969706001</v>
      </c>
      <c r="AJ23" t="s">
        <v>62</v>
      </c>
      <c r="AK23" t="s">
        <v>397</v>
      </c>
      <c r="AL23">
        <v>60</v>
      </c>
      <c r="AM23">
        <v>1</v>
      </c>
      <c r="AN23">
        <v>62</v>
      </c>
      <c r="AO23">
        <v>0.02</v>
      </c>
      <c r="AP23" t="s">
        <v>64</v>
      </c>
      <c r="AQ23" t="s">
        <v>64</v>
      </c>
    </row>
    <row r="24" spans="1:43" x14ac:dyDescent="0.2">
      <c r="A24">
        <v>527641</v>
      </c>
      <c r="B24" t="s">
        <v>398</v>
      </c>
      <c r="C24">
        <v>8.1999999999999993</v>
      </c>
      <c r="D24">
        <v>5796</v>
      </c>
      <c r="E24" t="s">
        <v>44</v>
      </c>
      <c r="F24" s="1">
        <v>43538</v>
      </c>
      <c r="G24">
        <v>92600000</v>
      </c>
      <c r="H24">
        <v>116</v>
      </c>
      <c r="I24">
        <v>7000000</v>
      </c>
      <c r="J24" t="s">
        <v>399</v>
      </c>
      <c r="K24" t="s">
        <v>67</v>
      </c>
      <c r="L24" t="s">
        <v>398</v>
      </c>
      <c r="M24" t="s">
        <v>400</v>
      </c>
      <c r="N24">
        <v>6.8920000000000003</v>
      </c>
      <c r="O24" t="s">
        <v>401</v>
      </c>
      <c r="P24" t="s">
        <v>402</v>
      </c>
      <c r="Q24" t="s">
        <v>403</v>
      </c>
      <c r="R24" t="s">
        <v>122</v>
      </c>
      <c r="S24" t="s">
        <v>404</v>
      </c>
      <c r="T24" t="s">
        <v>405</v>
      </c>
      <c r="U24" t="s">
        <v>406</v>
      </c>
      <c r="V24" t="s">
        <v>407</v>
      </c>
      <c r="W24" t="s">
        <v>408</v>
      </c>
      <c r="X24" t="s">
        <v>409</v>
      </c>
      <c r="Y24" t="s">
        <v>410</v>
      </c>
      <c r="Z24">
        <v>7.2</v>
      </c>
      <c r="AA24">
        <v>93987</v>
      </c>
      <c r="AB24" t="s">
        <v>411</v>
      </c>
      <c r="AC24">
        <v>3</v>
      </c>
      <c r="AD24">
        <v>2019</v>
      </c>
      <c r="AE24">
        <v>11</v>
      </c>
      <c r="AF24" t="s">
        <v>412</v>
      </c>
      <c r="AG24">
        <v>8</v>
      </c>
      <c r="AH24">
        <v>18.3437997104155</v>
      </c>
      <c r="AI24">
        <v>2.0381999678239402</v>
      </c>
      <c r="AJ24" t="s">
        <v>62</v>
      </c>
      <c r="AK24" t="s">
        <v>413</v>
      </c>
      <c r="AL24">
        <v>87</v>
      </c>
      <c r="AM24">
        <v>2</v>
      </c>
      <c r="AN24">
        <v>92</v>
      </c>
      <c r="AO24">
        <v>0.02</v>
      </c>
      <c r="AP24" t="s">
        <v>64</v>
      </c>
      <c r="AQ24" t="s">
        <v>64</v>
      </c>
    </row>
    <row r="25" spans="1:43" x14ac:dyDescent="0.2">
      <c r="A25">
        <v>429471</v>
      </c>
      <c r="B25" t="s">
        <v>414</v>
      </c>
      <c r="C25">
        <v>5.7</v>
      </c>
      <c r="D25">
        <v>1208</v>
      </c>
      <c r="E25" t="s">
        <v>44</v>
      </c>
      <c r="F25" s="1">
        <v>43539</v>
      </c>
      <c r="G25">
        <v>8808611</v>
      </c>
      <c r="H25">
        <v>110</v>
      </c>
      <c r="I25">
        <v>25000000</v>
      </c>
      <c r="J25" t="s">
        <v>415</v>
      </c>
      <c r="K25" t="s">
        <v>67</v>
      </c>
      <c r="L25" t="s">
        <v>414</v>
      </c>
      <c r="M25" t="s">
        <v>416</v>
      </c>
      <c r="N25">
        <v>2.8956</v>
      </c>
      <c r="O25" t="s">
        <v>417</v>
      </c>
      <c r="P25" t="s">
        <v>418</v>
      </c>
      <c r="Q25" t="s">
        <v>419</v>
      </c>
      <c r="R25" t="s">
        <v>122</v>
      </c>
      <c r="S25" t="s">
        <v>106</v>
      </c>
      <c r="T25" t="s">
        <v>420</v>
      </c>
      <c r="U25" t="s">
        <v>421</v>
      </c>
      <c r="V25" t="s">
        <v>422</v>
      </c>
      <c r="W25" t="s">
        <v>423</v>
      </c>
      <c r="X25" t="s">
        <v>424</v>
      </c>
      <c r="Y25" t="s">
        <v>425</v>
      </c>
      <c r="Z25">
        <v>6</v>
      </c>
      <c r="AA25">
        <v>60051</v>
      </c>
      <c r="AB25" t="s">
        <v>426</v>
      </c>
      <c r="AC25">
        <v>3</v>
      </c>
      <c r="AD25">
        <v>2019</v>
      </c>
      <c r="AE25">
        <v>11</v>
      </c>
      <c r="AF25" t="s">
        <v>427</v>
      </c>
      <c r="AG25">
        <v>9</v>
      </c>
      <c r="AH25">
        <v>15.9912404372596</v>
      </c>
      <c r="AI25">
        <v>1.59912404372596</v>
      </c>
      <c r="AJ25" t="s">
        <v>62</v>
      </c>
      <c r="AK25" t="s">
        <v>428</v>
      </c>
      <c r="AL25">
        <v>30</v>
      </c>
      <c r="AM25">
        <v>2</v>
      </c>
      <c r="AN25">
        <v>39</v>
      </c>
      <c r="AO25">
        <v>0.05</v>
      </c>
      <c r="AP25" t="s">
        <v>64</v>
      </c>
      <c r="AQ25" t="s">
        <v>64</v>
      </c>
    </row>
    <row r="26" spans="1:43" x14ac:dyDescent="0.2">
      <c r="A26">
        <v>441384</v>
      </c>
      <c r="B26" t="s">
        <v>429</v>
      </c>
      <c r="C26">
        <v>5.7</v>
      </c>
      <c r="D26">
        <v>538</v>
      </c>
      <c r="E26" t="s">
        <v>44</v>
      </c>
      <c r="F26" s="1">
        <v>43545</v>
      </c>
      <c r="G26">
        <v>4554416</v>
      </c>
      <c r="H26">
        <v>95</v>
      </c>
      <c r="I26">
        <v>5000000</v>
      </c>
      <c r="J26" t="s">
        <v>430</v>
      </c>
      <c r="K26" t="s">
        <v>67</v>
      </c>
      <c r="L26" t="s">
        <v>429</v>
      </c>
      <c r="M26" t="s">
        <v>431</v>
      </c>
      <c r="N26">
        <v>1.7689999999999999</v>
      </c>
      <c r="O26" t="s">
        <v>432</v>
      </c>
      <c r="P26" t="s">
        <v>120</v>
      </c>
      <c r="Q26" t="s">
        <v>433</v>
      </c>
      <c r="R26" t="s">
        <v>434</v>
      </c>
      <c r="S26" t="s">
        <v>138</v>
      </c>
      <c r="T26" t="s">
        <v>435</v>
      </c>
      <c r="U26" t="s">
        <v>436</v>
      </c>
      <c r="V26" t="s">
        <v>437</v>
      </c>
      <c r="W26" t="s">
        <v>436</v>
      </c>
      <c r="X26" t="s">
        <v>438</v>
      </c>
      <c r="Y26" t="s">
        <v>224</v>
      </c>
      <c r="Z26">
        <v>5.5</v>
      </c>
      <c r="AA26">
        <v>26276</v>
      </c>
      <c r="AB26" t="s">
        <v>439</v>
      </c>
      <c r="AC26">
        <v>3</v>
      </c>
      <c r="AD26">
        <v>2019</v>
      </c>
      <c r="AE26">
        <v>12</v>
      </c>
      <c r="AF26" t="s">
        <v>440</v>
      </c>
      <c r="AG26">
        <v>15</v>
      </c>
      <c r="AH26">
        <v>15.3316080892661</v>
      </c>
      <c r="AI26">
        <v>0.95822550557913599</v>
      </c>
      <c r="AJ26" t="s">
        <v>62</v>
      </c>
      <c r="AK26" t="s">
        <v>441</v>
      </c>
      <c r="AL26">
        <v>25</v>
      </c>
      <c r="AM26">
        <v>2</v>
      </c>
      <c r="AN26">
        <v>42</v>
      </c>
      <c r="AO26">
        <v>0.05</v>
      </c>
      <c r="AP26" t="s">
        <v>64</v>
      </c>
      <c r="AQ26" t="s">
        <v>64</v>
      </c>
    </row>
    <row r="27" spans="1:43" x14ac:dyDescent="0.2">
      <c r="A27">
        <v>517093</v>
      </c>
      <c r="B27" t="s">
        <v>442</v>
      </c>
      <c r="C27">
        <v>7.5</v>
      </c>
      <c r="D27">
        <v>505</v>
      </c>
      <c r="E27" t="s">
        <v>44</v>
      </c>
      <c r="F27" s="1">
        <v>43545</v>
      </c>
      <c r="G27">
        <v>4944386</v>
      </c>
      <c r="H27">
        <v>130</v>
      </c>
      <c r="I27">
        <v>3500000</v>
      </c>
      <c r="J27" t="s">
        <v>443</v>
      </c>
      <c r="K27" t="s">
        <v>444</v>
      </c>
      <c r="L27" t="s">
        <v>445</v>
      </c>
      <c r="M27" t="s">
        <v>446</v>
      </c>
      <c r="N27">
        <v>4.0728</v>
      </c>
      <c r="O27" t="s">
        <v>447</v>
      </c>
      <c r="P27" t="s">
        <v>448</v>
      </c>
      <c r="Q27" t="s">
        <v>449</v>
      </c>
      <c r="R27" t="s">
        <v>450</v>
      </c>
      <c r="S27" t="s">
        <v>451</v>
      </c>
      <c r="T27" t="s">
        <v>452</v>
      </c>
      <c r="U27" t="s">
        <v>453</v>
      </c>
      <c r="V27" t="s">
        <v>454</v>
      </c>
      <c r="W27" t="s">
        <v>455</v>
      </c>
      <c r="X27" t="s">
        <v>456</v>
      </c>
      <c r="Y27" t="s">
        <v>457</v>
      </c>
      <c r="Z27">
        <v>6.6</v>
      </c>
      <c r="AA27">
        <v>10937</v>
      </c>
      <c r="AB27" t="s">
        <v>458</v>
      </c>
      <c r="AC27">
        <v>3</v>
      </c>
      <c r="AD27">
        <v>2019</v>
      </c>
      <c r="AE27">
        <v>12</v>
      </c>
      <c r="AF27" t="s">
        <v>459</v>
      </c>
      <c r="AG27">
        <v>15</v>
      </c>
      <c r="AH27">
        <v>15.413763551755199</v>
      </c>
      <c r="AI27">
        <v>0.96336022198470195</v>
      </c>
      <c r="AJ27" t="s">
        <v>62</v>
      </c>
      <c r="AK27" t="s">
        <v>460</v>
      </c>
      <c r="AL27">
        <v>8</v>
      </c>
      <c r="AM27">
        <v>3</v>
      </c>
      <c r="AN27">
        <v>16</v>
      </c>
      <c r="AO27">
        <v>0.19</v>
      </c>
      <c r="AP27" t="s">
        <v>64</v>
      </c>
      <c r="AQ27" t="s">
        <v>64</v>
      </c>
    </row>
    <row r="28" spans="1:43" x14ac:dyDescent="0.2">
      <c r="A28">
        <v>329996</v>
      </c>
      <c r="B28" t="s">
        <v>461</v>
      </c>
      <c r="C28">
        <v>6.5890000000000004</v>
      </c>
      <c r="D28">
        <v>4448</v>
      </c>
      <c r="E28" t="s">
        <v>44</v>
      </c>
      <c r="F28" s="1">
        <v>43551</v>
      </c>
      <c r="G28">
        <v>353284621</v>
      </c>
      <c r="H28">
        <v>112</v>
      </c>
      <c r="I28">
        <v>170000000</v>
      </c>
      <c r="J28" t="s">
        <v>462</v>
      </c>
      <c r="K28" t="s">
        <v>67</v>
      </c>
      <c r="L28" t="s">
        <v>461</v>
      </c>
      <c r="M28" t="s">
        <v>463</v>
      </c>
      <c r="N28">
        <v>26.7774</v>
      </c>
      <c r="O28" t="s">
        <v>464</v>
      </c>
      <c r="P28" t="s">
        <v>465</v>
      </c>
      <c r="Q28" t="s">
        <v>466</v>
      </c>
      <c r="R28" t="s">
        <v>122</v>
      </c>
      <c r="S28" t="s">
        <v>106</v>
      </c>
      <c r="T28" t="s">
        <v>467</v>
      </c>
      <c r="U28" t="s">
        <v>468</v>
      </c>
      <c r="V28" t="s">
        <v>469</v>
      </c>
      <c r="W28" t="s">
        <v>470</v>
      </c>
      <c r="X28" t="s">
        <v>471</v>
      </c>
      <c r="Y28" t="s">
        <v>472</v>
      </c>
      <c r="Z28">
        <v>6.2</v>
      </c>
      <c r="AA28">
        <v>87155</v>
      </c>
      <c r="AB28" t="s">
        <v>473</v>
      </c>
      <c r="AC28">
        <v>3</v>
      </c>
      <c r="AD28">
        <v>2019</v>
      </c>
      <c r="AE28">
        <v>13</v>
      </c>
      <c r="AF28" t="s">
        <v>474</v>
      </c>
      <c r="AG28">
        <v>21</v>
      </c>
      <c r="AH28">
        <v>19.682784584634199</v>
      </c>
      <c r="AI28">
        <v>0.89467202657428402</v>
      </c>
      <c r="AJ28" t="s">
        <v>62</v>
      </c>
      <c r="AK28" t="s">
        <v>475</v>
      </c>
      <c r="AL28">
        <v>59</v>
      </c>
      <c r="AM28">
        <v>0</v>
      </c>
      <c r="AN28">
        <v>67</v>
      </c>
      <c r="AO28">
        <v>0</v>
      </c>
      <c r="AP28" t="s">
        <v>64</v>
      </c>
      <c r="AQ28" t="s">
        <v>64</v>
      </c>
    </row>
    <row r="29" spans="1:43" x14ac:dyDescent="0.2">
      <c r="A29">
        <v>287947</v>
      </c>
      <c r="B29" t="s">
        <v>476</v>
      </c>
      <c r="C29">
        <v>6.9880000000000004</v>
      </c>
      <c r="D29">
        <v>9887</v>
      </c>
      <c r="E29" t="s">
        <v>44</v>
      </c>
      <c r="F29" s="1">
        <v>43553</v>
      </c>
      <c r="G29">
        <v>367799011</v>
      </c>
      <c r="H29">
        <v>132</v>
      </c>
      <c r="I29">
        <v>80000000</v>
      </c>
      <c r="J29" t="s">
        <v>477</v>
      </c>
      <c r="K29" t="s">
        <v>67</v>
      </c>
      <c r="L29" t="s">
        <v>476</v>
      </c>
      <c r="M29" t="s">
        <v>478</v>
      </c>
      <c r="N29">
        <v>6.5374999999999996</v>
      </c>
      <c r="O29" t="s">
        <v>479</v>
      </c>
      <c r="P29" t="s">
        <v>480</v>
      </c>
      <c r="Q29" t="s">
        <v>481</v>
      </c>
      <c r="R29" t="s">
        <v>122</v>
      </c>
      <c r="S29" t="s">
        <v>106</v>
      </c>
      <c r="T29" t="s">
        <v>482</v>
      </c>
      <c r="U29" t="s">
        <v>483</v>
      </c>
      <c r="V29" t="s">
        <v>484</v>
      </c>
      <c r="W29" t="s">
        <v>485</v>
      </c>
      <c r="X29" t="s">
        <v>486</v>
      </c>
      <c r="Y29" t="s">
        <v>78</v>
      </c>
      <c r="Z29">
        <v>7</v>
      </c>
      <c r="AA29">
        <v>407578</v>
      </c>
      <c r="AB29" t="s">
        <v>487</v>
      </c>
      <c r="AC29">
        <v>3</v>
      </c>
      <c r="AD29">
        <v>2019</v>
      </c>
      <c r="AE29">
        <v>13</v>
      </c>
      <c r="AF29" t="s">
        <v>488</v>
      </c>
      <c r="AG29">
        <v>23</v>
      </c>
      <c r="AH29">
        <v>19.723047183888301</v>
      </c>
      <c r="AI29">
        <v>0.82179363266201499</v>
      </c>
      <c r="AJ29" t="s">
        <v>62</v>
      </c>
      <c r="AK29" t="s">
        <v>489</v>
      </c>
      <c r="AL29">
        <v>58</v>
      </c>
      <c r="AM29">
        <v>1</v>
      </c>
      <c r="AN29">
        <v>62</v>
      </c>
      <c r="AO29">
        <v>0.02</v>
      </c>
      <c r="AP29" t="s">
        <v>64</v>
      </c>
      <c r="AQ29" t="s">
        <v>64</v>
      </c>
    </row>
    <row r="30" spans="1:43" x14ac:dyDescent="0.2">
      <c r="A30">
        <v>580600</v>
      </c>
      <c r="B30" t="s">
        <v>490</v>
      </c>
      <c r="C30">
        <v>7.2</v>
      </c>
      <c r="D30">
        <v>207</v>
      </c>
      <c r="E30" t="s">
        <v>44</v>
      </c>
      <c r="F30" s="1">
        <v>43558</v>
      </c>
      <c r="G30">
        <v>3123088</v>
      </c>
      <c r="H30">
        <v>90</v>
      </c>
      <c r="I30">
        <v>5100000</v>
      </c>
      <c r="J30" t="s">
        <v>491</v>
      </c>
      <c r="K30" t="s">
        <v>492</v>
      </c>
      <c r="L30" t="s">
        <v>493</v>
      </c>
      <c r="M30" t="s">
        <v>494</v>
      </c>
      <c r="N30">
        <v>1.8273999999999999</v>
      </c>
      <c r="O30" t="s">
        <v>495</v>
      </c>
      <c r="P30" t="s">
        <v>496</v>
      </c>
      <c r="Q30" t="s">
        <v>497</v>
      </c>
      <c r="R30" t="s">
        <v>498</v>
      </c>
      <c r="S30" t="s">
        <v>499</v>
      </c>
      <c r="T30" t="s">
        <v>500</v>
      </c>
      <c r="U30" t="s">
        <v>501</v>
      </c>
      <c r="W30" t="s">
        <v>502</v>
      </c>
      <c r="X30" t="s">
        <v>503</v>
      </c>
      <c r="Y30" t="s">
        <v>504</v>
      </c>
      <c r="Z30">
        <v>6.6</v>
      </c>
      <c r="AA30">
        <v>2633</v>
      </c>
      <c r="AB30" t="s">
        <v>505</v>
      </c>
      <c r="AC30">
        <v>4</v>
      </c>
      <c r="AD30">
        <v>2019</v>
      </c>
      <c r="AE30">
        <v>14</v>
      </c>
      <c r="AF30" t="s">
        <v>506</v>
      </c>
      <c r="AG30">
        <v>28</v>
      </c>
      <c r="AH30">
        <v>14.954333134098</v>
      </c>
      <c r="AI30">
        <v>0.51566665979648296</v>
      </c>
      <c r="AJ30" t="s">
        <v>62</v>
      </c>
      <c r="AK30" t="s">
        <v>507</v>
      </c>
      <c r="AL30">
        <v>22</v>
      </c>
      <c r="AM30">
        <v>4</v>
      </c>
      <c r="AN30">
        <v>32</v>
      </c>
      <c r="AO30">
        <v>0.12</v>
      </c>
      <c r="AP30" t="s">
        <v>64</v>
      </c>
      <c r="AQ30" t="s">
        <v>64</v>
      </c>
    </row>
    <row r="31" spans="1:43" x14ac:dyDescent="0.2">
      <c r="A31">
        <v>157433</v>
      </c>
      <c r="B31" t="s">
        <v>508</v>
      </c>
      <c r="C31">
        <v>5.7</v>
      </c>
      <c r="D31">
        <v>3325</v>
      </c>
      <c r="E31" t="s">
        <v>44</v>
      </c>
      <c r="F31" s="1">
        <v>43559</v>
      </c>
      <c r="G31">
        <v>113118226</v>
      </c>
      <c r="H31">
        <v>100</v>
      </c>
      <c r="I31">
        <v>21000000</v>
      </c>
      <c r="J31" t="s">
        <v>509</v>
      </c>
      <c r="K31" t="s">
        <v>67</v>
      </c>
      <c r="L31" t="s">
        <v>508</v>
      </c>
      <c r="M31" t="s">
        <v>510</v>
      </c>
      <c r="N31">
        <v>4.5945999999999998</v>
      </c>
      <c r="O31" t="s">
        <v>511</v>
      </c>
      <c r="P31" t="s">
        <v>512</v>
      </c>
      <c r="Q31" t="s">
        <v>513</v>
      </c>
      <c r="R31" t="s">
        <v>122</v>
      </c>
      <c r="S31" t="s">
        <v>106</v>
      </c>
      <c r="T31" t="s">
        <v>514</v>
      </c>
      <c r="U31" t="s">
        <v>515</v>
      </c>
      <c r="V31" t="s">
        <v>516</v>
      </c>
      <c r="W31" t="s">
        <v>517</v>
      </c>
      <c r="X31" t="s">
        <v>518</v>
      </c>
      <c r="Y31" t="s">
        <v>519</v>
      </c>
      <c r="Z31">
        <v>5.7</v>
      </c>
      <c r="AA31">
        <v>103448</v>
      </c>
      <c r="AB31" t="s">
        <v>520</v>
      </c>
      <c r="AC31">
        <v>4</v>
      </c>
      <c r="AD31">
        <v>2019</v>
      </c>
      <c r="AE31">
        <v>14</v>
      </c>
      <c r="AF31" t="s">
        <v>521</v>
      </c>
      <c r="AG31">
        <v>29</v>
      </c>
      <c r="AH31">
        <v>18.5439440863687</v>
      </c>
      <c r="AI31">
        <v>0.61813146954562503</v>
      </c>
      <c r="AJ31" t="s">
        <v>62</v>
      </c>
      <c r="AK31" t="s">
        <v>522</v>
      </c>
      <c r="AL31">
        <v>55</v>
      </c>
      <c r="AM31">
        <v>0</v>
      </c>
      <c r="AN31">
        <v>62</v>
      </c>
      <c r="AO31">
        <v>0</v>
      </c>
      <c r="AP31" t="s">
        <v>64</v>
      </c>
      <c r="AQ31" t="s">
        <v>64</v>
      </c>
    </row>
    <row r="32" spans="1:43" x14ac:dyDescent="0.2">
      <c r="A32">
        <v>458253</v>
      </c>
      <c r="B32" t="s">
        <v>523</v>
      </c>
      <c r="C32">
        <v>6.9</v>
      </c>
      <c r="D32">
        <v>894</v>
      </c>
      <c r="E32" t="s">
        <v>44</v>
      </c>
      <c r="F32" s="1">
        <v>43559</v>
      </c>
      <c r="G32">
        <v>26565710</v>
      </c>
      <c r="H32">
        <v>93</v>
      </c>
      <c r="I32">
        <v>100000000</v>
      </c>
      <c r="J32" t="s">
        <v>524</v>
      </c>
      <c r="K32" t="s">
        <v>67</v>
      </c>
      <c r="L32" t="s">
        <v>523</v>
      </c>
      <c r="M32" t="s">
        <v>525</v>
      </c>
      <c r="N32">
        <v>5.9250999999999996</v>
      </c>
      <c r="O32" t="s">
        <v>526</v>
      </c>
      <c r="P32" t="s">
        <v>527</v>
      </c>
      <c r="Q32" t="s">
        <v>528</v>
      </c>
      <c r="R32" t="s">
        <v>122</v>
      </c>
      <c r="S32" t="s">
        <v>106</v>
      </c>
      <c r="T32" t="s">
        <v>529</v>
      </c>
      <c r="U32" t="s">
        <v>530</v>
      </c>
      <c r="W32" t="s">
        <v>530</v>
      </c>
      <c r="X32" t="s">
        <v>531</v>
      </c>
      <c r="Y32" t="s">
        <v>532</v>
      </c>
      <c r="Z32">
        <v>6.7</v>
      </c>
      <c r="AA32">
        <v>30352</v>
      </c>
      <c r="AB32" t="s">
        <v>533</v>
      </c>
      <c r="AC32">
        <v>4</v>
      </c>
      <c r="AD32">
        <v>2019</v>
      </c>
      <c r="AE32">
        <v>14</v>
      </c>
      <c r="AF32" t="s">
        <v>534</v>
      </c>
      <c r="AG32">
        <v>29</v>
      </c>
      <c r="AH32">
        <v>17.095131882048801</v>
      </c>
      <c r="AI32">
        <v>0.56983772940162702</v>
      </c>
      <c r="AJ32" t="s">
        <v>62</v>
      </c>
      <c r="AK32" t="s">
        <v>535</v>
      </c>
      <c r="AL32">
        <v>43</v>
      </c>
      <c r="AM32">
        <v>0</v>
      </c>
      <c r="AN32">
        <v>47</v>
      </c>
      <c r="AO32">
        <v>0</v>
      </c>
      <c r="AP32" t="s">
        <v>64</v>
      </c>
      <c r="AQ32" t="s">
        <v>64</v>
      </c>
    </row>
    <row r="33" spans="1:43" x14ac:dyDescent="0.2">
      <c r="A33">
        <v>526050</v>
      </c>
      <c r="B33" t="s">
        <v>536</v>
      </c>
      <c r="C33">
        <v>6.9</v>
      </c>
      <c r="D33">
        <v>733</v>
      </c>
      <c r="E33" t="s">
        <v>44</v>
      </c>
      <c r="F33" s="1">
        <v>43559</v>
      </c>
      <c r="G33">
        <v>17399000</v>
      </c>
      <c r="H33">
        <v>108</v>
      </c>
      <c r="I33">
        <v>20000000</v>
      </c>
      <c r="J33" t="s">
        <v>537</v>
      </c>
      <c r="K33" t="s">
        <v>67</v>
      </c>
      <c r="L33" t="s">
        <v>536</v>
      </c>
      <c r="M33" t="s">
        <v>538</v>
      </c>
      <c r="N33">
        <v>4.1504000000000003</v>
      </c>
      <c r="O33" t="s">
        <v>539</v>
      </c>
      <c r="P33" t="s">
        <v>216</v>
      </c>
      <c r="Q33" t="s">
        <v>540</v>
      </c>
      <c r="R33" t="s">
        <v>122</v>
      </c>
      <c r="S33" t="s">
        <v>106</v>
      </c>
      <c r="T33" t="s">
        <v>541</v>
      </c>
      <c r="U33" t="s">
        <v>542</v>
      </c>
      <c r="V33" t="s">
        <v>543</v>
      </c>
      <c r="W33" t="s">
        <v>544</v>
      </c>
      <c r="X33" t="s">
        <v>545</v>
      </c>
      <c r="Y33" t="s">
        <v>546</v>
      </c>
      <c r="Z33">
        <v>5.6</v>
      </c>
      <c r="AA33">
        <v>15791</v>
      </c>
      <c r="AB33" t="s">
        <v>547</v>
      </c>
      <c r="AC33">
        <v>4</v>
      </c>
      <c r="AD33">
        <v>2019</v>
      </c>
      <c r="AE33">
        <v>14</v>
      </c>
      <c r="AF33" t="s">
        <v>548</v>
      </c>
      <c r="AG33">
        <v>29</v>
      </c>
      <c r="AH33">
        <v>16.671923348743402</v>
      </c>
      <c r="AI33">
        <v>0.55573077829144701</v>
      </c>
      <c r="AJ33" t="s">
        <v>62</v>
      </c>
      <c r="AK33" t="s">
        <v>549</v>
      </c>
      <c r="AL33">
        <v>21</v>
      </c>
      <c r="AM33">
        <v>1</v>
      </c>
      <c r="AN33">
        <v>29</v>
      </c>
      <c r="AO33">
        <v>0.03</v>
      </c>
      <c r="AP33" t="s">
        <v>64</v>
      </c>
      <c r="AQ33" t="s">
        <v>64</v>
      </c>
    </row>
    <row r="34" spans="1:43" x14ac:dyDescent="0.2">
      <c r="A34">
        <v>575769</v>
      </c>
      <c r="B34" t="s">
        <v>550</v>
      </c>
      <c r="C34">
        <v>6.3</v>
      </c>
      <c r="D34">
        <v>145</v>
      </c>
      <c r="E34" t="s">
        <v>44</v>
      </c>
      <c r="F34" s="1">
        <v>43559</v>
      </c>
      <c r="G34">
        <v>1292773</v>
      </c>
      <c r="H34">
        <v>87</v>
      </c>
      <c r="I34">
        <v>3000000</v>
      </c>
      <c r="J34" t="s">
        <v>551</v>
      </c>
      <c r="K34" t="s">
        <v>552</v>
      </c>
      <c r="L34" t="s">
        <v>550</v>
      </c>
      <c r="M34" t="s">
        <v>553</v>
      </c>
      <c r="N34">
        <v>1.5105</v>
      </c>
      <c r="O34" t="s">
        <v>554</v>
      </c>
      <c r="P34" t="s">
        <v>555</v>
      </c>
      <c r="Q34" t="s">
        <v>556</v>
      </c>
      <c r="R34" t="s">
        <v>557</v>
      </c>
      <c r="S34" t="s">
        <v>558</v>
      </c>
      <c r="T34" t="s">
        <v>559</v>
      </c>
      <c r="U34" t="s">
        <v>560</v>
      </c>
      <c r="V34" t="s">
        <v>561</v>
      </c>
      <c r="W34" t="s">
        <v>562</v>
      </c>
      <c r="X34" t="s">
        <v>563</v>
      </c>
      <c r="Y34" t="s">
        <v>564</v>
      </c>
      <c r="Z34">
        <v>5.7</v>
      </c>
      <c r="AA34">
        <v>3108</v>
      </c>
      <c r="AB34" t="s">
        <v>565</v>
      </c>
      <c r="AC34">
        <v>4</v>
      </c>
      <c r="AD34">
        <v>2019</v>
      </c>
      <c r="AE34">
        <v>14</v>
      </c>
      <c r="AF34" t="s">
        <v>550</v>
      </c>
      <c r="AG34">
        <v>29</v>
      </c>
      <c r="AH34">
        <v>14.072300855160501</v>
      </c>
      <c r="AI34">
        <v>0.469076695172019</v>
      </c>
      <c r="AJ34" t="s">
        <v>62</v>
      </c>
      <c r="AK34" t="s">
        <v>566</v>
      </c>
      <c r="AL34">
        <v>4</v>
      </c>
      <c r="AM34">
        <v>1</v>
      </c>
      <c r="AN34">
        <v>12</v>
      </c>
      <c r="AO34">
        <v>0.08</v>
      </c>
      <c r="AP34" t="s">
        <v>64</v>
      </c>
      <c r="AQ34" t="s">
        <v>64</v>
      </c>
    </row>
    <row r="35" spans="1:43" x14ac:dyDescent="0.2">
      <c r="A35">
        <v>553141</v>
      </c>
      <c r="B35" t="s">
        <v>567</v>
      </c>
      <c r="C35">
        <v>5.4</v>
      </c>
      <c r="D35">
        <v>323</v>
      </c>
      <c r="E35" t="s">
        <v>44</v>
      </c>
      <c r="F35" s="1">
        <v>43560</v>
      </c>
      <c r="G35">
        <v>44652</v>
      </c>
      <c r="H35">
        <v>72</v>
      </c>
      <c r="I35">
        <v>30000</v>
      </c>
      <c r="J35" t="s">
        <v>568</v>
      </c>
      <c r="K35" t="s">
        <v>67</v>
      </c>
      <c r="L35" t="s">
        <v>567</v>
      </c>
      <c r="M35" t="s">
        <v>569</v>
      </c>
      <c r="N35">
        <v>2.4462999999999999</v>
      </c>
      <c r="O35" t="s">
        <v>570</v>
      </c>
      <c r="P35" t="s">
        <v>571</v>
      </c>
      <c r="Q35" t="s">
        <v>572</v>
      </c>
      <c r="R35" t="s">
        <v>122</v>
      </c>
      <c r="S35" t="s">
        <v>106</v>
      </c>
      <c r="T35" t="s">
        <v>573</v>
      </c>
      <c r="U35" t="s">
        <v>574</v>
      </c>
      <c r="V35" t="s">
        <v>575</v>
      </c>
      <c r="W35" t="s">
        <v>576</v>
      </c>
      <c r="X35" t="s">
        <v>577</v>
      </c>
      <c r="Y35" t="s">
        <v>578</v>
      </c>
      <c r="Z35">
        <v>5.4</v>
      </c>
      <c r="AA35">
        <v>7591</v>
      </c>
      <c r="AB35" t="s">
        <v>579</v>
      </c>
      <c r="AC35">
        <v>4</v>
      </c>
      <c r="AD35">
        <v>2019</v>
      </c>
      <c r="AE35">
        <v>14</v>
      </c>
      <c r="AF35" t="s">
        <v>580</v>
      </c>
      <c r="AG35">
        <v>30</v>
      </c>
      <c r="AH35">
        <v>10.7066767732972</v>
      </c>
      <c r="AI35">
        <v>0.34537667010636303</v>
      </c>
      <c r="AJ35" t="s">
        <v>62</v>
      </c>
      <c r="AK35" t="s">
        <v>581</v>
      </c>
      <c r="AL35">
        <v>2</v>
      </c>
      <c r="AM35">
        <v>2</v>
      </c>
      <c r="AN35">
        <v>13</v>
      </c>
      <c r="AO35">
        <v>0.15</v>
      </c>
      <c r="AP35" t="s">
        <v>64</v>
      </c>
      <c r="AQ35" t="s">
        <v>64</v>
      </c>
    </row>
    <row r="36" spans="1:43" x14ac:dyDescent="0.2">
      <c r="A36">
        <v>456740</v>
      </c>
      <c r="B36" t="s">
        <v>582</v>
      </c>
      <c r="C36">
        <v>5.5789999999999997</v>
      </c>
      <c r="D36">
        <v>3589</v>
      </c>
      <c r="E36" t="s">
        <v>44</v>
      </c>
      <c r="F36" s="1">
        <v>43565</v>
      </c>
      <c r="G36">
        <v>55065289</v>
      </c>
      <c r="H36">
        <v>121</v>
      </c>
      <c r="I36">
        <v>50000000</v>
      </c>
      <c r="J36" t="s">
        <v>583</v>
      </c>
      <c r="K36" t="s">
        <v>67</v>
      </c>
      <c r="L36" t="s">
        <v>582</v>
      </c>
      <c r="M36" t="s">
        <v>584</v>
      </c>
      <c r="N36">
        <v>4.5228000000000002</v>
      </c>
      <c r="O36" t="s">
        <v>585</v>
      </c>
      <c r="P36" t="s">
        <v>586</v>
      </c>
      <c r="Q36" t="s">
        <v>587</v>
      </c>
      <c r="R36" t="s">
        <v>588</v>
      </c>
      <c r="S36" t="s">
        <v>589</v>
      </c>
      <c r="T36" t="s">
        <v>590</v>
      </c>
      <c r="U36" t="s">
        <v>591</v>
      </c>
      <c r="V36" t="s">
        <v>592</v>
      </c>
      <c r="W36" t="s">
        <v>593</v>
      </c>
      <c r="X36" t="s">
        <v>594</v>
      </c>
      <c r="Y36" t="s">
        <v>78</v>
      </c>
      <c r="Z36">
        <v>5.3</v>
      </c>
      <c r="AA36">
        <v>106038</v>
      </c>
      <c r="AB36" t="s">
        <v>595</v>
      </c>
      <c r="AC36">
        <v>4</v>
      </c>
      <c r="AD36">
        <v>2019</v>
      </c>
      <c r="AE36">
        <v>15</v>
      </c>
      <c r="AF36" t="s">
        <v>596</v>
      </c>
      <c r="AG36">
        <v>35</v>
      </c>
      <c r="AH36">
        <v>17.824030130070501</v>
      </c>
      <c r="AI36">
        <v>0.49511194805751402</v>
      </c>
      <c r="AJ36" t="s">
        <v>62</v>
      </c>
      <c r="AK36" t="s">
        <v>597</v>
      </c>
      <c r="AL36">
        <v>58</v>
      </c>
      <c r="AM36">
        <v>0</v>
      </c>
      <c r="AN36">
        <v>62</v>
      </c>
      <c r="AO36">
        <v>0</v>
      </c>
      <c r="AP36" t="s">
        <v>64</v>
      </c>
      <c r="AQ36" t="s">
        <v>64</v>
      </c>
    </row>
    <row r="37" spans="1:43" x14ac:dyDescent="0.2">
      <c r="A37">
        <v>514439</v>
      </c>
      <c r="B37" t="s">
        <v>598</v>
      </c>
      <c r="C37">
        <v>7.6</v>
      </c>
      <c r="D37">
        <v>1120</v>
      </c>
      <c r="E37" t="s">
        <v>44</v>
      </c>
      <c r="F37" s="1">
        <v>43565</v>
      </c>
      <c r="G37">
        <v>49200000</v>
      </c>
      <c r="H37">
        <v>116</v>
      </c>
      <c r="I37">
        <v>14000000</v>
      </c>
      <c r="J37" t="s">
        <v>599</v>
      </c>
      <c r="K37" t="s">
        <v>67</v>
      </c>
      <c r="L37" t="s">
        <v>598</v>
      </c>
      <c r="M37" t="s">
        <v>600</v>
      </c>
      <c r="N37">
        <v>4.7953999999999999</v>
      </c>
      <c r="O37" t="s">
        <v>601</v>
      </c>
      <c r="P37" t="s">
        <v>602</v>
      </c>
      <c r="Q37" t="s">
        <v>603</v>
      </c>
      <c r="R37" t="s">
        <v>122</v>
      </c>
      <c r="S37" t="s">
        <v>106</v>
      </c>
      <c r="T37" t="s">
        <v>604</v>
      </c>
      <c r="U37" t="s">
        <v>605</v>
      </c>
      <c r="V37" t="s">
        <v>606</v>
      </c>
      <c r="W37" t="s">
        <v>607</v>
      </c>
      <c r="X37" t="s">
        <v>608</v>
      </c>
      <c r="Y37" t="s">
        <v>609</v>
      </c>
      <c r="Z37">
        <v>6.3</v>
      </c>
      <c r="AA37">
        <v>11680</v>
      </c>
      <c r="AB37" t="s">
        <v>610</v>
      </c>
      <c r="AC37">
        <v>4</v>
      </c>
      <c r="AD37">
        <v>2019</v>
      </c>
      <c r="AE37">
        <v>15</v>
      </c>
      <c r="AF37" t="s">
        <v>611</v>
      </c>
      <c r="AG37">
        <v>35</v>
      </c>
      <c r="AH37">
        <v>17.711404201787701</v>
      </c>
      <c r="AI37">
        <v>0.49198345004965899</v>
      </c>
      <c r="AJ37" t="s">
        <v>62</v>
      </c>
      <c r="AK37" t="s">
        <v>612</v>
      </c>
      <c r="AL37">
        <v>21</v>
      </c>
      <c r="AM37">
        <v>1</v>
      </c>
      <c r="AN37">
        <v>26</v>
      </c>
      <c r="AO37">
        <v>0.04</v>
      </c>
      <c r="AP37" t="s">
        <v>64</v>
      </c>
      <c r="AQ37" t="s">
        <v>64</v>
      </c>
    </row>
    <row r="38" spans="1:43" x14ac:dyDescent="0.2">
      <c r="A38">
        <v>509733</v>
      </c>
      <c r="B38" t="s">
        <v>613</v>
      </c>
      <c r="C38">
        <v>6.7</v>
      </c>
      <c r="D38">
        <v>80</v>
      </c>
      <c r="E38" t="s">
        <v>44</v>
      </c>
      <c r="F38" s="1">
        <v>43566</v>
      </c>
      <c r="G38">
        <v>3882729</v>
      </c>
      <c r="H38">
        <v>84</v>
      </c>
      <c r="I38">
        <v>9000000</v>
      </c>
      <c r="J38" t="s">
        <v>614</v>
      </c>
      <c r="K38" t="s">
        <v>615</v>
      </c>
      <c r="L38" t="s">
        <v>616</v>
      </c>
      <c r="M38" t="s">
        <v>617</v>
      </c>
      <c r="N38">
        <v>3.2896999999999998</v>
      </c>
      <c r="O38" t="s">
        <v>618</v>
      </c>
      <c r="P38" t="s">
        <v>619</v>
      </c>
      <c r="Q38" t="s">
        <v>620</v>
      </c>
      <c r="R38" t="s">
        <v>621</v>
      </c>
      <c r="S38" t="s">
        <v>89</v>
      </c>
      <c r="T38" t="s">
        <v>622</v>
      </c>
      <c r="U38" t="s">
        <v>623</v>
      </c>
      <c r="W38" t="s">
        <v>624</v>
      </c>
      <c r="X38" t="s">
        <v>625</v>
      </c>
      <c r="Y38" t="s">
        <v>626</v>
      </c>
      <c r="Z38">
        <v>5.5</v>
      </c>
      <c r="AA38">
        <v>1463</v>
      </c>
      <c r="AB38" t="s">
        <v>627</v>
      </c>
      <c r="AC38">
        <v>4</v>
      </c>
      <c r="AD38">
        <v>2019</v>
      </c>
      <c r="AE38">
        <v>15</v>
      </c>
      <c r="AF38" t="s">
        <v>628</v>
      </c>
      <c r="AG38">
        <v>36</v>
      </c>
      <c r="AH38">
        <v>15.1720490724306</v>
      </c>
      <c r="AI38">
        <v>0.410055380335963</v>
      </c>
      <c r="AJ38" t="s">
        <v>62</v>
      </c>
      <c r="AK38" t="s">
        <v>629</v>
      </c>
      <c r="AL38">
        <v>28</v>
      </c>
      <c r="AM38">
        <v>0</v>
      </c>
      <c r="AN38">
        <v>31</v>
      </c>
      <c r="AO38">
        <v>0</v>
      </c>
      <c r="AP38" t="s">
        <v>64</v>
      </c>
      <c r="AQ38" t="s">
        <v>64</v>
      </c>
    </row>
    <row r="39" spans="1:43" x14ac:dyDescent="0.2">
      <c r="A39">
        <v>537915</v>
      </c>
      <c r="B39" t="s">
        <v>630</v>
      </c>
      <c r="C39">
        <v>7.1</v>
      </c>
      <c r="D39">
        <v>8431</v>
      </c>
      <c r="E39" t="s">
        <v>44</v>
      </c>
      <c r="F39" s="1">
        <v>43566</v>
      </c>
      <c r="G39">
        <v>69497587</v>
      </c>
      <c r="H39">
        <v>106</v>
      </c>
      <c r="I39">
        <v>14000000</v>
      </c>
      <c r="J39" t="s">
        <v>631</v>
      </c>
      <c r="K39" t="s">
        <v>67</v>
      </c>
      <c r="L39" t="s">
        <v>630</v>
      </c>
      <c r="M39" t="s">
        <v>632</v>
      </c>
      <c r="N39">
        <v>8.1865000000000006</v>
      </c>
      <c r="O39" t="s">
        <v>633</v>
      </c>
      <c r="P39" t="s">
        <v>402</v>
      </c>
      <c r="Q39" t="s">
        <v>634</v>
      </c>
      <c r="R39" t="s">
        <v>122</v>
      </c>
      <c r="S39" t="s">
        <v>106</v>
      </c>
      <c r="T39" t="s">
        <v>635</v>
      </c>
      <c r="U39" t="s">
        <v>636</v>
      </c>
      <c r="V39" t="s">
        <v>637</v>
      </c>
      <c r="W39" t="s">
        <v>638</v>
      </c>
      <c r="X39" t="s">
        <v>639</v>
      </c>
      <c r="Y39" t="s">
        <v>640</v>
      </c>
      <c r="Z39">
        <v>5.3</v>
      </c>
      <c r="AA39">
        <v>73790</v>
      </c>
      <c r="AB39" t="s">
        <v>641</v>
      </c>
      <c r="AC39">
        <v>4</v>
      </c>
      <c r="AD39">
        <v>2019</v>
      </c>
      <c r="AE39">
        <v>15</v>
      </c>
      <c r="AF39" t="s">
        <v>642</v>
      </c>
      <c r="AG39">
        <v>36</v>
      </c>
      <c r="AH39">
        <v>18.056802604896799</v>
      </c>
      <c r="AI39">
        <v>0.48802169202423801</v>
      </c>
      <c r="AJ39" t="s">
        <v>62</v>
      </c>
      <c r="AK39" t="s">
        <v>643</v>
      </c>
      <c r="AL39">
        <v>44</v>
      </c>
      <c r="AM39">
        <v>4</v>
      </c>
      <c r="AN39">
        <v>49</v>
      </c>
      <c r="AO39">
        <v>0.08</v>
      </c>
      <c r="AP39" t="s">
        <v>64</v>
      </c>
      <c r="AQ39" t="s">
        <v>64</v>
      </c>
    </row>
    <row r="40" spans="1:43" x14ac:dyDescent="0.2">
      <c r="A40">
        <v>480414</v>
      </c>
      <c r="B40" t="s">
        <v>644</v>
      </c>
      <c r="C40">
        <v>5.7</v>
      </c>
      <c r="D40">
        <v>2584</v>
      </c>
      <c r="E40" t="s">
        <v>44</v>
      </c>
      <c r="F40" s="1">
        <v>43572</v>
      </c>
      <c r="G40">
        <v>123233739</v>
      </c>
      <c r="H40">
        <v>93</v>
      </c>
      <c r="I40">
        <v>9000000</v>
      </c>
      <c r="J40" t="s">
        <v>645</v>
      </c>
      <c r="K40" t="s">
        <v>67</v>
      </c>
      <c r="L40" t="s">
        <v>644</v>
      </c>
      <c r="M40" t="s">
        <v>646</v>
      </c>
      <c r="N40">
        <v>5.5662000000000003</v>
      </c>
      <c r="O40" t="s">
        <v>647</v>
      </c>
      <c r="P40" t="s">
        <v>512</v>
      </c>
      <c r="Q40" t="s">
        <v>648</v>
      </c>
      <c r="R40" t="s">
        <v>122</v>
      </c>
      <c r="S40" t="s">
        <v>138</v>
      </c>
      <c r="T40" t="s">
        <v>649</v>
      </c>
      <c r="U40" t="s">
        <v>650</v>
      </c>
      <c r="V40" t="s">
        <v>651</v>
      </c>
      <c r="W40" t="s">
        <v>652</v>
      </c>
      <c r="X40" t="s">
        <v>653</v>
      </c>
      <c r="Y40" t="s">
        <v>193</v>
      </c>
      <c r="Z40">
        <v>5.3</v>
      </c>
      <c r="AA40">
        <v>64402</v>
      </c>
      <c r="AB40" t="s">
        <v>654</v>
      </c>
      <c r="AC40">
        <v>4</v>
      </c>
      <c r="AD40">
        <v>2019</v>
      </c>
      <c r="AE40">
        <v>16</v>
      </c>
      <c r="AF40" t="s">
        <v>655</v>
      </c>
      <c r="AG40">
        <v>42</v>
      </c>
      <c r="AH40">
        <v>18.6295934352062</v>
      </c>
      <c r="AI40">
        <v>0.433246358958285</v>
      </c>
      <c r="AJ40" t="s">
        <v>62</v>
      </c>
      <c r="AK40" t="s">
        <v>656</v>
      </c>
      <c r="AL40">
        <v>60</v>
      </c>
      <c r="AM40">
        <v>1</v>
      </c>
      <c r="AN40">
        <v>64</v>
      </c>
      <c r="AO40">
        <v>0.02</v>
      </c>
      <c r="AP40" t="s">
        <v>64</v>
      </c>
      <c r="AQ40" t="s">
        <v>64</v>
      </c>
    </row>
    <row r="41" spans="1:43" x14ac:dyDescent="0.2">
      <c r="A41" t="s">
        <v>657</v>
      </c>
      <c r="AI41">
        <f>SUBTOTAL(109,Table1[score])</f>
        <v>43.637569817636013</v>
      </c>
      <c r="AQ41">
        <f>SUBTOTAL(103,Table1[error])</f>
        <v>38</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Captain_Marvel_attributes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ksarav</cp:lastModifiedBy>
  <dcterms:created xsi:type="dcterms:W3CDTF">2026-02-17T17:09:48Z</dcterms:created>
  <dcterms:modified xsi:type="dcterms:W3CDTF">2026-02-17T17:56:42Z</dcterms:modified>
</cp:coreProperties>
</file>