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C5007E2C-BEA9-8340-9D3C-C6969D8AE9BE}" xr6:coauthVersionLast="47" xr6:coauthVersionMax="47" xr10:uidLastSave="{00000000-0000-0000-0000-000000000000}"/>
  <bookViews>
    <workbookView xWindow="380" yWindow="80" windowWidth="28040" windowHeight="17180" xr2:uid="{93E5FF84-E3A4-7343-8B1F-F31F47F605AE}"/>
  </bookViews>
  <sheets>
    <sheet name="Black_Panther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50" i="1" l="1"/>
  <c r="AQ50" i="1"/>
</calcChain>
</file>

<file path=xl/sharedStrings.xml><?xml version="1.0" encoding="utf-8"?>
<sst xmlns="http://schemas.openxmlformats.org/spreadsheetml/2006/main" count="1145" uniqueCount="781">
  <si>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</si>
  <si>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</si>
  <si>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</si>
  <si>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</si>
  <si>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</si>
  <si>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</si>
  <si>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</si>
  <si>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</si>
  <si>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</si>
  <si>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</si>
  <si>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</si>
  <si>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</si>
  <si>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</si>
  <si>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</si>
  <si>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</si>
  <si>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</si>
  <si>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</si>
  <si>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</si>
  <si>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</si>
  <si>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</si>
  <si>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</si>
  <si>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</si>
  <si>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</si>
  <si>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</si>
  <si>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</si>
  <si>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</si>
  <si>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</si>
  <si>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</si>
  <si>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</si>
  <si>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</si>
  <si>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</si>
  <si>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</si>
  <si>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</si>
  <si>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</si>
  <si>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</si>
  <si>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</si>
  <si>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</si>
  <si>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</si>
  <si>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</si>
  <si>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</si>
  <si>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</si>
  <si>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</si>
  <si>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</si>
  <si>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Insidious: The Last Key</t>
  </si>
  <si>
    <t>Released</t>
  </si>
  <si>
    <t>tt5726086</t>
  </si>
  <si>
    <t>en</t>
  </si>
  <si>
    <t>Parapsychologist Elise Rainier and her team travel to Five Keys, NM, to investigate a man‚Äö√Ñ√¥s claim of a haunting. Terror soon strikes when Rainier realizes that the house he lives in was her family‚Äö√Ñ√¥s old home.</t>
  </si>
  <si>
    <t>Fear comes home.</t>
  </si>
  <si>
    <t>Horror, Thriller</t>
  </si>
  <si>
    <t>stage 6 films, blumhouse productions, universal pictures, oren peli productions</t>
  </si>
  <si>
    <t>United States of America</t>
  </si>
  <si>
    <t>English</t>
  </si>
  <si>
    <t>Madison Bowie, Leigh Whannell, Danielle Bisutti, Ava Kolker, Stefanie Scott, Amanda Jaros, Josh Stewart, Rose Byrne, Kirk Acevedo, Zahra Susan Ingersoll, Paul LeClair, Craig Reed, Thomas Robie, Javier Botet, Ty Simpkins, Judith Drake, Spencer Locke, Bruce Davison, Patrick Wilson, Tessa Ferrer, Aleque Reid, Angus Sampson, Lin Shaye, Caitlin Gerard, Barbara Hershey, Brynn Bowie, Melanie Gaydos, Joseph Bishara, Hana Hayes, Marcus Henderson, Pierce Pope, Danielle Kennedy, Josh Wingate</t>
  </si>
  <si>
    <t>Adam Robitel</t>
  </si>
  <si>
    <t>Toby Oliver</t>
  </si>
  <si>
    <t>Leigh Whannell</t>
  </si>
  <si>
    <t>Oren Peli, Brian Kavanaugh-Jones, Leigh Whannell, Couper Samuelson, Jason Blum, Charles Layton, James Wan, Bailey Conway, Steven Schneider</t>
  </si>
  <si>
    <t>Joseph Bishara</t>
  </si>
  <si>
    <t>/nb9fc9INMg8kQ8L7sE7XTNsZnUX.jpg</t>
  </si>
  <si>
    <t>insidious: the last key</t>
  </si>
  <si>
    <t>black panther</t>
  </si>
  <si>
    <t>blank (49), limited (1), extended version (1), dvd and blu-ray premiere (1), internet (2), dvd premiere (1)</t>
  </si>
  <si>
    <t>no</t>
  </si>
  <si>
    <t>Maze Runner: The Death Cure</t>
  </si>
  <si>
    <t>tt4500922</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</si>
  <si>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</si>
  <si>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The end will be WCKD.</t>
  </si>
  <si>
    <t>Science Fiction, Action, Adventure, Thriller</t>
  </si>
  <si>
    <t>the gotham group, temple hill entertainment, 20th century fox, oddball entertainment, tsg entertainment</t>
  </si>
  <si>
    <t>Dexter Darden, Drikus Volschenk, Giancarlo Esposito, Rosa Salazar, Barry Pepper, Scot Cooper, Emily Child, Shai Lun Choo, Kazi Maubert, Walton Goggins, Liza Scholtz, Nathan Barris, Aidan Gillen, Dylan Kriek, Ki Hong Lee, Armando De Leca, Jake Curran, Kaya Scodelario, Greg Kriek, Nathalie Emmanuel, Will Poulter, Dale Jackson, Bart Fouche, Ryan Higgins, Paul du Toit, Patricia Clarkson, Fiona Ramsay, Paul Lazenby, Dylan Smith, Thomas Brodie-Sangster, Katherine McNamara, Clayton Evertson, Jacob Lofland, Parm Soor, Dylan O'Brien, Paul Hampshire</t>
  </si>
  <si>
    <t>Wes Ball</t>
  </si>
  <si>
    <t>Gyula Pados</t>
  </si>
  <si>
    <t>James Dashner, T.S. Nowlin</t>
  </si>
  <si>
    <t>Wes Ball, Marty Bowen, Ellen Goldsmith-Vein, Wyck Godfrey, Lorenzo di Bonaventura, Lee Stollman, Joe Hartwick Jr.</t>
  </si>
  <si>
    <t>John Paesano</t>
  </si>
  <si>
    <t>/drbERzlA4cuRWhsTXfFOY4mRR4f.jpg</t>
  </si>
  <si>
    <t>maze runner: the death cure</t>
  </si>
  <si>
    <t>blank (72), colombo (1), internet (1)</t>
  </si>
  <si>
    <t>The Commuter</t>
  </si>
  <si>
    <t>tt1590193</t>
  </si>
  <si>
    <t>A businessman, on his daily commute home, gets unwittingly caught up in a criminal conspiracy that threatens not only his life but the lives of those around him.</t>
  </si>
  <si>
    <t>Lives are on the line</t>
  </si>
  <si>
    <t>Action, Thriller, Mystery</t>
  </si>
  <si>
    <t>studiocanal, tf1 films production, the picture company, ombra films</t>
  </si>
  <si>
    <t>United States of America, France, Spain</t>
  </si>
  <si>
    <t>Nila Aalia, Dean-Charles Chapman, Aoife Hinds, Steven I. Dillard, Damson Idris, Richard Stanley, Sam Neill, Neal Beagley, Andres Austin Bennett, John Alastair, Lee Nicholas Harris, Patrick Wilson, Ben Caplan, Simon Hibbs, Anthony Milton, Andrew Dunkelberger, Ella-Rae Smith, Nakay Kpaka, Clara Lago, Pete Buzzsaw Holland, Jamie Beamish, Zaak Conway, Letitia Wright, Kingsley Ben-Adir, Shazad Latif, Edward Bluemel, Andy Nyman, Vikki Edwards, Andy Lucas, Stuart Whelan, Alana Maria, Shade Rupe, Killian Scott, David Alwyn, Nathan Wiley, Adam Nagaitis, Roland M‚àö‚àèller, Pat Kiernan, Jaime Men‚àö¬©ndez, Kyle Jerichow, Jonathan Banks, Peter Meyer, Graham Curry, Kobna Holdbrook-Smith, Colin McFarlane, Tony Pankhurst, Elizabeth McGovern, Liam Neeson, Vera Farmiga, Dilyana Bouklieva, A.k. Steppa, Matthew Faucher, Pamela Betsy Cooper, Florence Pugh, Leigh Dent</t>
  </si>
  <si>
    <t>Jaume Collet-Serra</t>
  </si>
  <si>
    <t>Paul Cameron</t>
  </si>
  <si>
    <t>Ryan Engle, Philip de Blasi, Byron Willinger</t>
  </si>
  <si>
    <t>Alex Heineman, Andrew Rona, Yu Dong, Jaume Collet-Serra</t>
  </si>
  <si>
    <t>Roque Ba‚àö¬±os</t>
  </si>
  <si>
    <t>/rDeGK6FIUfVcXmuBdEORPAGPMNg.jpg</t>
  </si>
  <si>
    <t>the commuter</t>
  </si>
  <si>
    <t>new york city, new york (1), premiere (1), blank (57)</t>
  </si>
  <si>
    <t>Proud Mary</t>
  </si>
  <si>
    <t>tt6421110</t>
  </si>
  <si>
    <t>Mary is a hit woman working for an organized crime family in Boston, whose life is completely turned around when she meets a young boy whose path she crosses when a professional hit goes bad.</t>
  </si>
  <si>
    <t>Killing for the Man every Night and Day</t>
  </si>
  <si>
    <t>Thriller, Action, Crime</t>
  </si>
  <si>
    <t>screen gems</t>
  </si>
  <si>
    <t>Erik LaRay Harvey, Owen Burke, Arthur Hiou, Adrian M. Mompoint, Ralph Ayala, Taraji P. Henson, Neal McDonough, Danny Glover, Joseph Oliveira, Adobuere Ebiama, Jim Ford, John Sarnie, Alex Portenko, James Milord, Leah Procito, Bo Cleary, Alex Ziwak, Therese Plaehn, Marinko Radakovic, Joseph Collymore, Jahi Di'Allo Winston, Xander Berkeley, Billy Brown, David Chen, Stew Replogle, Margaret Avery, Rob L‚àö¬©vesque, Roger Dillingham Jr., Jose Guns Alves, Rade ‚âà‚Ä†erbed‚âà√¶ija, Al'Jaleel McGhee</t>
  </si>
  <si>
    <t>Babak Najafi</t>
  </si>
  <si>
    <t>Dan Laustsen</t>
  </si>
  <si>
    <t>John Newman, Christian Swegal, Steve Antin</t>
  </si>
  <si>
    <t>Taraji P. Henson, Paul Schiff, Glenn S. Gainor, Tai Duncan</t>
  </si>
  <si>
    <t>Fil Eisler</t>
  </si>
  <si>
    <t>/5luceoVMU2FzWuyty7mZFcSY5ZW.jpg</t>
  </si>
  <si>
    <t>proud mary</t>
  </si>
  <si>
    <t>blank (12), internet (6), dvd premiere (2), dvd and blu-ray premiere (2), tv premiere (3)</t>
  </si>
  <si>
    <t>Batman: Gotham by Gaslight</t>
  </si>
  <si>
    <t>tt7167630</t>
  </si>
  <si>
    <t>In an alternative Victorian Age Gotham City, Batman begins his war on crime while he investigates a new series of murders by Jack the Ripper.</t>
  </si>
  <si>
    <t>As the Ripper stalks Gotham City, the Dark Knight reveals the face of terror.</t>
  </si>
  <si>
    <t>Thriller, Action, Animation, Science Fiction</t>
  </si>
  <si>
    <t>warner bros. animation, dc entertainment</t>
  </si>
  <si>
    <t>Bruce Greenwood, John DiMaggio, Bob Joles, Anthony Stewart Head, Grey DeLisle, Tara Strong, David Forseth, Lincoln Melcher, William Salyers, Kari Wuhrer, Chris Cox, Bruce Timm, Scott Patterson, Yuri Lowenthal, Jennifer Carpenter</t>
  </si>
  <si>
    <t>Sam Liu</t>
  </si>
  <si>
    <t>Brian Augustyn, Mike Mignola, James Krieg</t>
  </si>
  <si>
    <t>Benjamin Melniker, Michael Uslan, Bruce Timm, Sam Register, Sam Liu</t>
  </si>
  <si>
    <t>Frederik Wiedmann</t>
  </si>
  <si>
    <t>/7souLi5zqQCnpZVghaXv0Wowi0y.jpg</t>
  </si>
  <si>
    <t>batman: gotham by gaslight</t>
  </si>
  <si>
    <t>washington, d.c. (1), internet (1), dvd premiere (1), video premiere (5), los angeles, california (1), dvd and blu-ray premiere (1)</t>
  </si>
  <si>
    <t>yes</t>
  </si>
  <si>
    <t>Fifty Shades Freed</t>
  </si>
  <si>
    <t>tt4477536</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</si>
  <si>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</si>
  <si>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Don't miss the climax.</t>
  </si>
  <si>
    <t>Drama, Romance</t>
  </si>
  <si>
    <t>universal pictures, michael de luca productions, perfect world pictures</t>
  </si>
  <si>
    <t>Marcia Gay Harden, Kirsten Alter, Brant Daugherty, Szu-wen Wang, Callum Keith Rennie, Julie Roblet, Anita Brown, Primo Allon, Brendan Penny, Eric Johnson, Tefari Thompson, Ashleigh LaThrop, Brad Harder, Dylan Neal, Lisa MacFadden, Shiraine Haas, Paul Duchart, Bill Dow, Fraser Aitcheson, Dakota Johnson, Jennifer Ehle, Tenz McCall, Michelle Harrison, Felix Tomas, Robinne Lee, John Emmet Tracy, Todd Thomson, Andrew Airlie, Amy Price-Francis, Marci T. House, Victor Rasuk, Nathan Dellemme, Maxine Miller, Eloise Mumford, D.J. Kiss, Tyler Hoechlin, Tiara Sorensen, Allyson McHardy, Jamie Dornan, Catherine Lough Haggquist, Lea Kovach, Sachin Sahel, Jaclyn Jonet, Kim Basinger, Sean Glass, Kwesi Ameyaw, Adil Zaidi, Max Martini, P. Lynn Johnson, Maximilien Fussen, Jean Corso, Kai Bokenfohr, Laura Jacobs, Rita Ora, Luke Grimes, Jordan Gardiner, Ben Corns, Hiro Kanagawa, Bruce Altman, Gary Hudson, Benita Ha, Fay Masterson, Arielle Kebbel</t>
  </si>
  <si>
    <t>James Foley</t>
  </si>
  <si>
    <t>John Schwartzman</t>
  </si>
  <si>
    <t>Niall Leonard, E.L. James</t>
  </si>
  <si>
    <t>Dana Brunetti, Marcus Viscidi, Michael De Luca, E.L. James</t>
  </si>
  <si>
    <t>Danny Elfman</t>
  </si>
  <si>
    <t>/jjPJ4s3DWZZvI4vw8Xfi4Vqa1Q8.jpg</t>
  </si>
  <si>
    <t>fifty shades freed</t>
  </si>
  <si>
    <t>france (1), premiere (1), blank (53), colombo (1), dvd release (1), internet (3)</t>
  </si>
  <si>
    <t>The Pagan King</t>
  </si>
  <si>
    <t>tt6020428</t>
  </si>
  <si>
    <t>lv</t>
  </si>
  <si>
    <t>Nameja gredzens</t>
  </si>
  <si>
    <t>On his deathbed, the reigning king bestows power to an unexpected heir who must find strength within himself to unite his people against the violent crusades which threaten their freedom.</t>
  </si>
  <si>
    <t>Live free or die.</t>
  </si>
  <si>
    <t>History, Adventure, Action</t>
  </si>
  <si>
    <t>platforma filma</t>
  </si>
  <si>
    <t>United Kingdom, Latvia</t>
  </si>
  <si>
    <t>Edvin Endre, Marija Grauba, James Bloor, Maya Arwen, J∆í√Önis Amanis, Victoria Alexandria Brikmann, Kaspars Bindemanis, Egons Dombrovskis, Kaspars K∆í√Örkli‚âà√ú‚âà¬∞, Henrijs Grinblats, Aist∆í√≥ Dir‚âà√¶i‚âà¬¥t∆í√≥, Lauris Dzelz∆í¬¥tis, El∆í¬¥na V∆í√Öne, Igors ‚âà‚Ä†elegovskis, Gints And‚âà√¶∆í√Öns, Ivo Martinsons, Ieva Aleksandrova, Kaspars Z∆í√Öle, Art‚âà¬¥rs Skrasti‚âà√ú‚âà¬∞, Armands Ikalis, Ziedonis Lo∆í√ßmelis, Anete Ber∆í‚àëe, Christopher Dane, Dainis Gr‚âà¬¥be, James Alexander, Oskars Holsteins, Juris ‚âàŒ©agars, Zane Leimane, Andris Kei‚âà¬∞s, Toms Auni‚âà√ú‚âà¬∞</t>
  </si>
  <si>
    <t>Aigars Grauba</t>
  </si>
  <si>
    <t>Valdis Celmi‚âà√ú‚âà¬∞</t>
  </si>
  <si>
    <t>Max Kinnings, Aigars Grauba</t>
  </si>
  <si>
    <t>Andrejs ∆í√≠∆í‚àëis, Kristians Alhimionoks</t>
  </si>
  <si>
    <t>Rihards Za∆í¬∫upe</t>
  </si>
  <si>
    <t>/h1dH8MmGfeTqbLh8ZoIZaq64bkg.jpg</t>
  </si>
  <si>
    <t>the pagan king</t>
  </si>
  <si>
    <t>blank (4), limited (2), ottawa european union film festival (1), dvd and blu-ray and premiere (1), internet (1), tv premiere (1)</t>
  </si>
  <si>
    <t>12 Strong</t>
  </si>
  <si>
    <t>tt1413492</t>
  </si>
  <si>
    <t>A team of special forces head into Afghanistan in the aftermath of the September 11th attacks in an attempt to dismantle the Taliban.</t>
  </si>
  <si>
    <t>The declassified true story of the horse soldiers</t>
  </si>
  <si>
    <t>War, Drama, Action, History</t>
  </si>
  <si>
    <t>torridon films, alcon entertainment, black label media, jerry bruckheimer films, 16:14 entertainment</t>
  </si>
  <si>
    <t>Rob Riggle, Martin Palmer, Ben O'Toole, Mustafa Haidari, Veronica D‚àö‚â†az-Carranza, Geoff Stults, Chris Hemsworth, Allison Gabriel, Kenneth Miller, Osama bin Laden, Sofia Chicorelli Serna, Michael Shannon, Kevin Kent, Peter Karas, William Fichtner, Benjamin Poe, Seth Adkins, Frank Powers, Nate Boyer, Christian Pedersen, Laith Nakli, Austin H‚àö¬©bert, Taylor Sheridan, Marie Wagenman, Shawn Sarmeidani, Lawrence Gilligan, Trevante Rhodes, Perla Daoud, Adrian Luna, Kenny Sheard, Yousuf Azami, Sarrett Williams, Tommy Truex, Jack Kesy, Shawn Lecrone, Ali Olomi, Jay Moore, Austin Stowell, Michael Pe‚àö¬±a, Yasmine Aker, Lauren Chavez-Myers, Matthew Van Wettering, Elsa Pataky, Edward Butron, Anouar H. Smaine, Shvan Aladdin, Navid Negahban, J. Nathan Simmons, James Joseph Pulido, Arshia Mandavi, Fahim Fazli, Nour Bitar, Michael E. Stogner, Thad Luckinbill, Tim Aydelott</t>
  </si>
  <si>
    <t>Nicolai Fuglsig</t>
  </si>
  <si>
    <t>Rasmus Videb‚àö¬∂k</t>
  </si>
  <si>
    <t>Peter Craig, Doug Stanton, Ted Tally</t>
  </si>
  <si>
    <t>Garrett Grant, Mike Stenson, Trent Luckinbill, Molly Smith, Ellen H. Schwartz, Yale Badik, Broderick Johnson, Chad Oman, Jerry Bruckheimer, Thad Luckinbill, Val Hill, Doug Stanton, Andrew A. Kosove</t>
  </si>
  <si>
    <t>Lorne Balfe</t>
  </si>
  <si>
    <t>/37Qwani2g0jVPU7N4OkkTZ7aERz.jpg</t>
  </si>
  <si>
    <t>12 strong</t>
  </si>
  <si>
    <t>new york city, new york (1), premiere (1), blank (50), dvd premiere (1), french speaking region (1), german speaking region (1), cine&amp;comic fest genova (1), dvd and blu-ray premiere (1)</t>
  </si>
  <si>
    <t>Den of Thieves</t>
  </si>
  <si>
    <t>tt1259528</t>
  </si>
  <si>
    <t>A gritty crime saga which follows the lives of an elite unit of the LA County Sheriff's Dept. and the state's most successful bank robbery crew as the outlaws plan a seemingly impossible heist on the Federal Reserve Bank.</t>
  </si>
  <si>
    <t>Cops without limits. Thieves without fear.</t>
  </si>
  <si>
    <t>Crime, Thriller, Action</t>
  </si>
  <si>
    <t>atmosphere entertainment mm, diamond film productions, g-base, tucker tooley entertainment, stxfilms, mark canton productions</t>
  </si>
  <si>
    <t>Scott Hunter, Meadow Williams, Mo McRae, 50 Cent, Kevin Christenson, Vincent Lee Alston, Cooper Andrews, Desmond Phillips, Maurice Compte, Tsi Chin Li-McCall, Brendan Kelly, Tomu Osborne, Salesi Tongamoa, Dayana Rincon, Hemi Mataele, Marcus LaVoi, Michelle Keller, Charline St. Charles, Michael Bisping, Ulysses Diaz, Gerard Butler, Eric Braeden, Nick Loeb, Max Holloway, Brandon Alston, Jermaine Rivers, Evan Jones, Adam Drescher, Charles Payne, Kaiwi Lyman, Pablo Schreiber, Timothy Douglas Perez, Cullen Ries, Oleg Taktarov, Alix Lapri, O'Shea Jackson Jr., Ron J. Rock, Steve Eifert, Madelyn Lazar, Daisy Pareja, Lewis Tan, Nate Boyer, Bob Jennings, Brian Van Holt, Michael Papajohn, Stefanos Miltsakakis, Natasha Kerry Gudegast, Raven Wynn, Malieek Straughter, Dawn Olivieri, Jordan Bridges, Elle Whitfield, Joshua D. Gormley, Mario Cortez, Hoop, Cory Scott Allen, Denis Yuryevich Orlov, Sonya Balmores, Tracey Bonner, Tony Finau, Fotukava Malu, Matthew Cornwell, John Lewis, Jay Dobyns, Tufa Liva, Jay DeVon Johnson, Lyon Beckwith</t>
  </si>
  <si>
    <t>Christian Gudegast</t>
  </si>
  <si>
    <t>Terry Stacey</t>
  </si>
  <si>
    <t>Paul T. Scheuring, Christian Gudegast</t>
  </si>
  <si>
    <t>Gerard Butler, Meadow Williams, Glenn D. Feig, Tony Grazia, Mark Canton, Adam Fogelson, Christian Gudegast, Greg Renker, Robert Simonds, D. Scott Lumpkin, Tucker Tooley, Jamie Marshall, David Hopwood, Danielle Robinson, Oren Aviv, Alan Siegel</t>
  </si>
  <si>
    <t>Cliff Martinez</t>
  </si>
  <si>
    <t>/dAP5NpkrMMczir5dUPjRR6ywqgz.jpg</t>
  </si>
  <si>
    <t>den of thieves</t>
  </si>
  <si>
    <t>blank (50), german speaking region (1), french speaking region (1), italian speaking region (1), digital (1), dvd and blu-ray premiere (3), tv release (1), internet (2), dvd premiere (1)</t>
  </si>
  <si>
    <t>Help, I Shrunk My Parents</t>
  </si>
  <si>
    <t>tt6818140</t>
  </si>
  <si>
    <t>de</t>
  </si>
  <si>
    <t>Hilfe, ich hab meine Eltern geschrumpft</t>
  </si>
  <si>
    <t>Felix's school is haunted again, only this time it's not the benevolent spirit of school founder Otto Leonhard and the nuisance he caused, but the once hated and long-since dead Director Hulda Stingbeard. A coincidence causes the former shrunken and skeletonized school principle to rise again, leading to chaos...</t>
  </si>
  <si>
    <t>Small parents. Big trouble.</t>
  </si>
  <si>
    <t>Comedy, Adventure, Family</t>
  </si>
  <si>
    <t>blue eyes fiction, karibufilm, mini film, arri media, deutsche columbia filmproduktion</t>
  </si>
  <si>
    <t>Austria, Germany</t>
  </si>
  <si>
    <t>Deutsch</t>
  </si>
  <si>
    <t>Axel Stein, Eloi Christ, Maximilian Ehrenreich, Lina H‚àö¬∫esker, Cornelia Dworak, Jakob Oberschlick, Adem Karaduman, Andrea Sawatzki, Yannick Pudlorz, Oskar Keymer, Florian Osswald, Otto Waalkes, Johannes Zeiler, Michael Ostrowski, Anja Kling, Julia Hartmann</t>
  </si>
  <si>
    <t>Tim Trageser</t>
  </si>
  <si>
    <t>Felix Poplawsky</t>
  </si>
  <si>
    <t>Gerrit Hermans</t>
  </si>
  <si>
    <t>Carolin Dassel, Hans Eddy Schreiber, Corinna Mehner</t>
  </si>
  <si>
    <t>Anne Kathrin Dern</t>
  </si>
  <si>
    <t>/7335uX2btMkwFGndN0OGeFCvFgn.jpg</t>
  </si>
  <si>
    <t>help, i shrunk my parents</t>
  </si>
  <si>
    <t>blank (8), tv premiere (1), tv release (1)</t>
  </si>
  <si>
    <t>On Chesil Beach</t>
  </si>
  <si>
    <t>tt1667321</t>
  </si>
  <si>
    <t>In 1962 England, a young couple finds their idyllic romance colliding with issues of sexual freedom and societal pressure, leading to an awkward and fateful wedding night.</t>
  </si>
  <si>
    <t>A different time. A different love.</t>
  </si>
  <si>
    <t>number 9 films, bbc film</t>
  </si>
  <si>
    <t>United Kingdom</t>
  </si>
  <si>
    <t>Jonjo O'Neill, Mark Donald, Tony Lucken, Mike Ray, Anne-Marie Duff, Bebe Cave, Marianne Cecil, Martin Bassindale, Mia Burgess, Oliver Johnstone, Nigel Eaton, Martin Bratanov, Rasmus Hardiker, Anton Lesser, Billy Howle, Adrian Scarborough, Andy Burse, Saoirse Ronan, Tamara Lawrance, Caroline Garnell, John Ramm, Anna Burgess, Victoria Hamnett, Emily Watson, Samuel West, Simon North, David Cradduck, Barney Iley, Terenia Edwards, Claudia Jolly, Esther Yoo, Nadia Townsend, Ty Hurley, Claire Ashton, Philip Labey, Imogen Daines, Daniel Boyd, Esther Coles, Toby Dantzic, Bronte Carmichael, John Kinory, Christopher Rob Bowen, Molly Miles, Roseanna Leathley</t>
  </si>
  <si>
    <t>Dominic Cooke</t>
  </si>
  <si>
    <t>Sean Bobbitt</t>
  </si>
  <si>
    <t>Ian McEwan</t>
  </si>
  <si>
    <t>Elizabeth Karlsen, Ian McEwan, Peter Hampden, Joe Oppenheimer, Chiara Gelardin, Beth Pattinson, Robert Jones, Zygi Kamasa, Stephen Woolley, Thorsten Schumacher, Norman Merry</t>
  </si>
  <si>
    <t>Dan Jones</t>
  </si>
  <si>
    <t>/7uRdd5NawI9iTQ5oWIKYjqNkyc1.jpg</t>
  </si>
  <si>
    <t>on chesil beach</t>
  </si>
  <si>
    <t>toronto international film festival (1), distributor slate days, london (1), bfi london film festival (1), dubai international film festival (1), g√∂teborg film festival (1), cleveland international film festival (1), beijing international film festival (1), sarasota film festival (1), d'a film festival (1), chicago critics film festival (1), blank (27), seattle international film festival (1), kinokivinokka (1), vukovar film festival (1), cinelibri international book&amp;movie festival (1), new british film festival (1), internet (1), rtp 1 (1), tv premiere (1)</t>
  </si>
  <si>
    <t>Eighth Grade</t>
  </si>
  <si>
    <t>tt7014006</t>
  </si>
  <si>
    <t>Thirteen-year-old Kayla endures the tidal wave of contemporary suburban adolescence as she makes her way through the last week of middle school ‚Äö√Ñ√Æ the end of her thus far disastrous eighth grade year ‚Äö√Ñ√Æ before she begins high school.</t>
  </si>
  <si>
    <t>Based on the most awkward year of your life</t>
  </si>
  <si>
    <t>Comedy, Drama</t>
  </si>
  <si>
    <t>a24, scott rudin productions</t>
  </si>
  <si>
    <t>Fred Hechinger, Dylan Vonderhorst, V. Rocco Russell, Brenna Parker, Tristan Wheeler, J. Tucker Smith, Tiffany Grossfeld, Molly Forman, Louisa Rose Guarasci, Missy Yager, Kevin R. Free, Deborah Unger, Thomas J O'Reilly, Jake Ryan, Emily Robinson, Luke Mulligan, Josh Hamilton, Daniel Zolghadri, Greg Crowe, Trinity Goscinsky-Lynch, Vivek Nickolas Mathews, Kylie Seaman, Frank Deal, William Koo, Blair Seaman, Andrew Geher, Luke Prael, Catherine Oliviere, Keith Maurice Davis, Faith Kelly, Elsie Fisher, Olivia Galligan, Shacha Temirov, Kendall Seaman, Nina Victoria Mathews, Castor Feinberg, Jalesia Martinez, William Alexander Wunsch, Nora Mullins, Phoebe Amirault, Natalie Carter, Gerald Jones, Imani Lewis, Marguerite Stimpson, Veronica Bikowicz, Kaileen Quinones</t>
  </si>
  <si>
    <t>Bo Burnham</t>
  </si>
  <si>
    <t>Andrew Wehde</t>
  </si>
  <si>
    <t>Christopher Storer, Lila Yacoub, Scott Rudin, Jamin O'Brien, Eli Bush</t>
  </si>
  <si>
    <t>Anna Meredith</t>
  </si>
  <si>
    <t>/xTa9cLhGHfQ7084UvoPQ2bBXKqd.jpg</t>
  </si>
  <si>
    <t>eighth grade</t>
  </si>
  <si>
    <t>sundance film festival (1), south by southwest film festival (1), san francisco international film festival (1), sarasota film festival (1), independent film festival of boston (1), montclair film festival (1), dallas international film festival (1), chicago critics film festival (1), nashville film festival (1), cinetopia film festival (1), sundance london film festival (1), seattle international film festival (1), provincetown film festival (1), bamcinemafest (1), limited (1), toronto (1), blank (10), blu-ray release (1), dvd premiere (2), leiden international film festival (1), internet (7), d'a film festival (1), munich international film festival (1), digital premiere (1), feeling film festival (1), schlingel film festival (1), tv premiere (2)</t>
  </si>
  <si>
    <t>Terrifier</t>
  </si>
  <si>
    <t>tt4281724</t>
  </si>
  <si>
    <t>A maniacal clown named Art terrorizes three young women on Halloween night and everyone else who stands in his way.</t>
  </si>
  <si>
    <t>You never forget your first kill.</t>
  </si>
  <si>
    <t>dark age cinema</t>
  </si>
  <si>
    <t>Jenna Kanell, David Howard Thornton, Kyle Brauch, Daniel Rodas, Joe Patrick Marshall, Margaret Reed, Kika Magalh‚àö¬£es, Xiomi, Julie Asriyan, Samantha Scaffidi, Kristina Thompson, Elisa Vecchio, Catherine Corcoran, Cory DuVal, Gloria Jung, Jason Leavy, Phil Falcone, Matt McAllister, Dean Briscoe, Kamal Ahmed, Linda Russo, Michelle Gianchetti, Erick Zamora, Alan Hasnas, Clifton Dunn, Michael Leavy, Pooya Mohseni, Joe Causi, Ursula Anderman, Steven Della Salla, Katie Maguire, Gino Cafarelli</t>
  </si>
  <si>
    <t>Damien Leone</t>
  </si>
  <si>
    <t>George Steuber</t>
  </si>
  <si>
    <t>Damien Leone, Phil Falcone, George Steuber</t>
  </si>
  <si>
    <t>Paul Wiley</t>
  </si>
  <si>
    <t>/fjXqhGmaeQpB73WerhrYU6HlyV5.jpg</t>
  </si>
  <si>
    <t>terrifier</t>
  </si>
  <si>
    <t>telluride horror show film festival (1), film society of lincoln center (1), horror channel frightfest (1), internet (12), blank (6), dvd and blu-ray premiere (3), imagine film festival (1), dvd premiere (6), blu-ray release (4), re-release (1)</t>
  </si>
  <si>
    <t>Padmaavat</t>
  </si>
  <si>
    <t>tt5935704</t>
  </si>
  <si>
    <t>hi</t>
  </si>
  <si>
    <t>‚Ä°¬ß‚Ñ¢‚Ä°¬ß¬∂‚Ä°‚Ä¢√ß‚Ä°¬ß√Ü‚Ä°¬ß√¶‚Ä°¬ß¬µ‚Ä°¬ß¬ß</t>
  </si>
  <si>
    <t>Rajputana, India, 13th century. The tyrannical usurper Alauddin Khilji, sultan of Delhi, becomes obsessed with Queen Padmavati, wife of King Ratan Singh of Mewar, and goes to great lengths to satisfy his greed for her.</t>
  </si>
  <si>
    <t>The Goddess Queen</t>
  </si>
  <si>
    <t>Drama, History, Romance</t>
  </si>
  <si>
    <t>bhansali productions, viacom18 studios</t>
  </si>
  <si>
    <t>India</t>
  </si>
  <si>
    <t>‚Ä°¬ßœÄ‚Ä°¬ß√∏‚Ä°¬ß¬Æ‚Ä°‚Ä¢√ß‚Ä°¬ß¬∂‚Ä°‚Ä¢√Ñ</t>
  </si>
  <si>
    <t>Rohit Choudhary, Alisha Soni, Aslam Anwar, Sanjeev Sharma, Mursaleem Qureshi, Anupriya Goenka, Deepika Padukone, Ashwin Dhar, Gopal Thakur, Raza Murad, Saar Kashyap, Anuj Sharma, Manish Wadhwa, Qutee Negpal, Muzzamil Bhavani, Daljeet Sean Singh, Farhan Siddique, Jim Sarbh, Ayaz Khan, Ujjwal Chopra, Anuj Khurana, Arvinder Shagmer Gill, Sharhaan Singh, Aditi Rao Hydari, Lankesh Bhardwaj, Hriiday Malhotra, Shahid Kapoor, Vibhav Roy, Akshay Sharma, Chintoo Singh Vasir, Mohammad Sakir, Aayam Mehta, Padmavati Rao, Mayank Kathak, Swaroop Khan, Komal Chhabria, Priyanka Pawar, Meena Mehta, Veena Mehta, Mona Shetty, Gulshan Walia, Ranveer Singh, Deepak Sharma, Nazir Hussian, Ali Quli Mirza, Aneesha Joshi, Deepak Shreemali</t>
  </si>
  <si>
    <t>Sanjay Leela Bhansali</t>
  </si>
  <si>
    <t>Sudeep Chatterjee</t>
  </si>
  <si>
    <t>A. M. Turaz, Prakash R. Kapadia, Sanjay Leela Bhansali</t>
  </si>
  <si>
    <t>Ajit Andhare, Pratik Rawal, Shobha Sant, Sanjay Leela Bhansali, Sudhanshu Vats, Arvinder Gill</t>
  </si>
  <si>
    <t>Ankit Balhara, Sanchit Balhara, Sanjay Leela Bhansali</t>
  </si>
  <si>
    <t>/5kk71s8Vmvt8XQOojevhTA5QcB0.jpg</t>
  </si>
  <si>
    <t>padmaavat</t>
  </si>
  <si>
    <t>blank (16), barcelona (1), subtitled version (2), limited (2), german speaking region (1), re-release (1)</t>
  </si>
  <si>
    <t>Early Man</t>
  </si>
  <si>
    <t>tt4701724</t>
  </si>
  <si>
    <t>Dug, along with his sidekick Hognob, unite a cavemen tribe to save their hidden valley from being spoiled and, all together as a team, to face the menace of a mysterious and mighty enemy, on the turf of an ancient and sacred sport.</t>
  </si>
  <si>
    <t>Bronze vs. stone - clash of the ages.</t>
  </si>
  <si>
    <t>Family, Comedy, Animation, Adventure</t>
  </si>
  <si>
    <t>studiocanal, aardman</t>
  </si>
  <si>
    <t>United Kingdom, France</t>
  </si>
  <si>
    <t>Richard Ayoade, Tim Hands, Antony Bayman, Adrian Rhodes, Kayvan Novak, Tom Doggart, Rich Webber, Eddie Redmayne, Timothy Spall, Victoria Stevens, Johnny Vegas, Mark Williams, Maisie Williams, Nick Park, Rob Brydon, Simon Greenall, Selina Griffiths, Gina Yashere, Richard Beek, Miriam Margolyes, Tom Hiddleston, Ben Whitehead, Luke Walton</t>
  </si>
  <si>
    <t>Nick Park</t>
  </si>
  <si>
    <t>Paul Smith, Charles Copping, Dave Alex Riddett</t>
  </si>
  <si>
    <t>Nick Park, Mark Burton, James Higginson</t>
  </si>
  <si>
    <t>Richard Beek, Ben Roberts, Nick Park, Carla Shelley, Natascha Wharton, Alicia Gold, Danny Perkins, David Sproxton, Didier Lupfer, Peter Lord, Ron Halpern</t>
  </si>
  <si>
    <t>Tom Howe, Harry Gregson-Williams</t>
  </si>
  <si>
    <t>/5iW2rntwLZoGlFCYYy8TjHyblbw.jpg</t>
  </si>
  <si>
    <t>early man</t>
  </si>
  <si>
    <t>angers european first film festival (1), bfi southbank (1), blank (50), pyeongchang international peace film festival (1)</t>
  </si>
  <si>
    <t>Forever My Girl</t>
  </si>
  <si>
    <t>tt4103724</t>
  </si>
  <si>
    <t>After being gone for a decade, a country star returns home to the love he left behind.</t>
  </si>
  <si>
    <t>Find your way back home.</t>
  </si>
  <si>
    <t>Romance, Drama</t>
  </si>
  <si>
    <t>ld entertainment</t>
  </si>
  <si>
    <t>Keila J. Brown, Gillian Vigman, Bella Lotz, Rhoda Griffis, Arielle Bowden, Whitney Goin, Catherine Dyer, Abby Ryder Fortson, Terayle Hill, Ian Gregg, Peter Cambor, Locklyn Black, Jason Davis, Judith Hoag, Caitlin Harris, Amy Meridith, Lauren Gros, Lillian Ellen Jones, Travis Tritt, Alex Roe, Fayrouz Naciri, Emmie Hunter, John Gordon, Jessica Rothe, Erik Bello, Tyler Riggs, Rita Glynn, Adam Drescher, Morgan Alexandria, Divina Cook, James Rackley, Lindsey Moser, G. Peter King, John Benjamin Hickey, Rich Maresco, Jacob Yakob, Alex Huff, Cody Alan</t>
  </si>
  <si>
    <t>Bethany Ashton Wolf</t>
  </si>
  <si>
    <t>Duane Manwiller</t>
  </si>
  <si>
    <t>Bethany Ashton Wolf, Heidi McLaughlin</t>
  </si>
  <si>
    <t>Nicole Stojkovich, Pete Shilaimon, Mickey Liddell, Jennifer Monroe, Alison Semenza, Zach Tann</t>
  </si>
  <si>
    <t>Brett Boyett</t>
  </si>
  <si>
    <t>/bKqdggnIPeOI15VqtBZTkvh4hA9.jpg</t>
  </si>
  <si>
    <t>forever my girl</t>
  </si>
  <si>
    <t>hollywood, ca (1), premiere (1), blank (4), dvd premiere (8), alicante (1), madrid (1), dvd release (1), tv premiere (2), tv release (4), internet (1), blu-ray release (1)</t>
  </si>
  <si>
    <t>The Current War</t>
  </si>
  <si>
    <t>tt2140507</t>
  </si>
  <si>
    <t>Electricity titans Thomas Edison and George Westinghouse compete to create a sustainable system and market it to the American people.</t>
  </si>
  <si>
    <t>Power changes everything</t>
  </si>
  <si>
    <t>Drama, History</t>
  </si>
  <si>
    <t>bazelevs, film rites, fourth floor productions, 13 films, thunder road</t>
  </si>
  <si>
    <t>Russia, United States of America</t>
  </si>
  <si>
    <t>Katy Poulter, John Pierce Jones, Andy Cockell, Phil Hodges, Tim Steed, John Kinory, Steven I. Dillard, Greg Haiste, Michael Shannon, Iain McKee, Sophia Ally, Adam Pearce, Jed Aukin, Colin Stinton, Oliver Powell, Harry Melling, Louis Ashbourne Serkis, Tom Bell, Benedict Cumberbatch, Nigel Wilcock, Matthew Macfadyen, Abigail Johns, Steve Carroll, Simon Manyonda, John Schwab, Joseph Balderrama, Toby Williams, Nancy Crane, Simon Connolly, Martyn Mayger, Katherine Waterston, Andrew Okello, Will Irvine, Jay William Whittington Barrette, Christopher McMullen, Woody Norman, Damien Molony, Benjamin Schnau, Tuppence Middleton, Faye Ormston, Adam Lazarus, Nigel Whitmey, Celyn Jones, Stanley Townsend, Giacomo Joshua Brunelli, Pamela Betsy Cooper, Tom Holland, Craig Roberts, Tom Sweet, Ekow Quartey, Kevin Millington, Thor Janke, David Morley Hale, Nicholas Hoult, Ben Mars, Jeremy Oliver, Liza Ross, Jason Matthewson, Conor MacNeill, Michael Yates, James Chalmers</t>
  </si>
  <si>
    <t>Alfonso Gomez-Rejon</t>
  </si>
  <si>
    <t>Chung Chung-hoon</t>
  </si>
  <si>
    <t>Michael Mitnick</t>
  </si>
  <si>
    <t>Timur Bekmambetov, Steven Zaillian, Adam Ackland, Basil Iwanyk, Martin Scorsese, Michael Mitnick, Michele Wolkoff, Garrett Basch</t>
  </si>
  <si>
    <t>Danny Bensi, Saunder Jurriaans</t>
  </si>
  <si>
    <t>/eqTjO8yTaPRSKWj7i6Qnr7R5cls.jpg</t>
  </si>
  <si>
    <t>the current war</t>
  </si>
  <si>
    <t>toronto international film festival (1), mill valley film festival (1), filmcolumbia festival (1), austin film festival (1), napa valley film festival (1), blank (36), palazzo reale, milan (1), zurich film festival (1), dvd premiere (2), kinomania (1), german speaking region (1), french speaking region (1), italian speaking region (1), internet (2), dvd and blu-ray and premiere (1), tokyo international film festival (1)</t>
  </si>
  <si>
    <t>Winchester</t>
  </si>
  <si>
    <t>tt1072748</t>
  </si>
  <si>
    <t>San Jose, California, 1906. Isolated in her labyrinthine mansion, eccentric firearm heiress Sarah Winchester believes that she is being haunted by the souls of those killed by the guns manufactured by her company.</t>
  </si>
  <si>
    <t>Terror is building.</t>
  </si>
  <si>
    <t>imagination design works, blacklab entertainment, lionsgate, cbs films, screen australia, screen queensland, film victoria, eclipse pictures</t>
  </si>
  <si>
    <t>Australia, United States of America</t>
  </si>
  <si>
    <t>Douglas Embry, Puven Pather, Jayden Irving, Rebecca Makar, Alana Fagan, Curtis Bock, Jason Clarke, Chris Homa, Neil Solomano, Gawi Deng, Shane Holloway, Stephanie Beall, Xavier Gouault, Jeff Lipary, Hayden Stewart, Rosco Campbell, Amos Ciza, Chris Anderson, Robert Shook, Laura Brent, Ryuhei Tsukamoto, Homero Lopez, Alice Chaston, Clancy Fraser, Finn Scicluna-O'Prey, Emm Wiseman, James Baldwin, Bruce Spence, Tyler Coppin, Graham Jahne, Laura Sutton, Kym Lannin, Tom Heath, Michael Boyd, Michael Carman, Rose Juan, Red Horse Rivera, Richard Anastasios, Jeffrey W. Jenkins, Will Jones, Timothy Brown, Andy de Lore, Elisa Abascal, Adam Bowes, Helen Mirren, Akosia Sabet, Eamon Farren, Phoenix Suhrou-Diamond, Christian Rhodes-Wolfe, Albert Trajstman, Luke Maizey, Dawayne Jordan, Sarah Snook, Marcus Orelias, Angus Sampson</t>
  </si>
  <si>
    <t>Michael Spierig, Peter Spierig</t>
  </si>
  <si>
    <t>Ben Nott</t>
  </si>
  <si>
    <t>Tom Vaughan, Michael Spierig, Peter Spierig</t>
  </si>
  <si>
    <t>Antonia Lianos, Michael Burton, Tim McGahan, Brian J. Gilbert, Marc Schipper, Andrew Trapani, Simon Oakes, Benedict Carver, Daniel Diamond, Brett Tomberlin, Tobin Armbrust, Bryce Menzies</t>
  </si>
  <si>
    <t>Peter Spierig</t>
  </si>
  <si>
    <t>/4D9Bby0pNtRUYeI5mNJ3F0mSmXG.jpg</t>
  </si>
  <si>
    <t>winchester</t>
  </si>
  <si>
    <t>blank (41), gerardmer international fantastic film festival (1), dvd premiere (1), internet (2), dvd and blu-ray premiere (1), tv premiere (1)</t>
  </si>
  <si>
    <t>Peter Rabbit</t>
  </si>
  <si>
    <t>tt5117670</t>
  </si>
  <si>
    <t>Peter Rabbit's feud with Mr. McGregor escalates to greater heights than ever before as they rival for the affections of the warm-hearted animal lover who lives next door.</t>
  </si>
  <si>
    <t>Who said the countryside was peaceful?</t>
  </si>
  <si>
    <t>Animation, Adventure, Family</t>
  </si>
  <si>
    <t>columbia pictures, olive bridge entertainment, screen australia, screen nsw, sony pictures animation, animal logic, mrc</t>
  </si>
  <si>
    <t>Sam Haft, Fayssal Bazzi, Bryan Brown, Karl Farrer, Domhnall Gleeson, Tom Greaves, Sam Neill, Taryn Gluck, Katharine Hoye, ‚àö√¢lodie Fontan, Alexandra Gluck, Fletcher Sheridan, Natalie Dew, Philippe Lacheau, Julien Arruti, David Wenham, Marianne Jean-Baptiste, Colin Moody, Vauxhall Jermaine, Rose Byrne, Ewen Leslie, Gareth Davies, Christian Gazal, Grant Crookes, Rachel Ward, Shana Halligan, Sia, Jessica Friedman, Sacha Horler, Lance Kerfuffle, Terenia Edwards, Will Reichelt, James Corden, Elizabeth Debicki, Ming-Zhu Hii, Daisy Ridley, Felix Williamson, Alex Blias, Margot Robbie, Dave Lawson, Chris Mann, Chad Reisser</t>
  </si>
  <si>
    <t>Will Gluck</t>
  </si>
  <si>
    <t>Peter Menzies Jr.</t>
  </si>
  <si>
    <t>Beatrix Potter, Rob Lieber, Will Gluck</t>
  </si>
  <si>
    <t>Zareh Nalbandian, Will Gluck</t>
  </si>
  <si>
    <t>Dominic Lewis</t>
  </si>
  <si>
    <t>/lugOvdaNpbVGQK9TyMRDiUbLtY6.jpg</t>
  </si>
  <si>
    <t>peter rabbit</t>
  </si>
  <si>
    <t>los angeles, california (1), premiere (2), blank (56), london (1), internet (2)</t>
  </si>
  <si>
    <t>The 15:17 to Paris</t>
  </si>
  <si>
    <t>tt6802308</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</si>
  <si>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</si>
  <si>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In the face of fear ordinary people can do the extraordinary</t>
  </si>
  <si>
    <t>Drama, Thriller</t>
  </si>
  <si>
    <t>warner bros. pictures, malpaso productions, village roadshow pictures, dune entertainment, access entertainment</t>
  </si>
  <si>
    <t>Anthony Sadler, Spencer Stone, Thomas Lennon, Jeanne Goursaud, Paul-Mik‚àö¬©l Williams, Tony Hale, Irene White, P.J. Byrne, Elena Campbell-Martinez, Ray Corasani, Lillian Solange Beaudoin, Camden Haydon, Jenna Fischer, Robert Pralgo, Alix B‚àö¬©n‚àö¬©zech, Cole Eichenberger, Camille Razat, Bryce Gheisar, Alek Skarlatos, Jaleel White, Seth Meriwether, Stephen Matthew Smith, Matt J. Thompson, William Jennings, Ethan Rains, Judy Greer, Julianne Binard, Braxton Bjerken, Alisa Allapach</t>
  </si>
  <si>
    <t>Clint Eastwood</t>
  </si>
  <si>
    <t>Tom Stern</t>
  </si>
  <si>
    <t>Spencer Stone, Anthony Sadler, Dorothy Blyskal, Alek Skarlatos, Jeffrey E. Stern</t>
  </si>
  <si>
    <t>Clint Eastwood, Kristina Rivera, Tim Moore, Jessica Meier, Bruce Berman</t>
  </si>
  <si>
    <t>Christian Jacob</t>
  </si>
  <si>
    <t>/3NtkRNmvMrQIOtyWTaOKVNJyP1W.jpg</t>
  </si>
  <si>
    <t>the 15:17 to paris</t>
  </si>
  <si>
    <t>burbank, california (1), premiere (1), french speaking region (1), blank (41), limited (2), italian speaking region (1), german speaking region (1), dvd premiere (2), dvd and blu-ray premiere (1), tv release (1), internet (1)</t>
  </si>
  <si>
    <t>Revenge</t>
  </si>
  <si>
    <t>tt6738136</t>
  </si>
  <si>
    <t>fr</t>
  </si>
  <si>
    <t>Jen's romantic getaway with her wealthy married boyfriend is disrupted when his friends arrive for an impromptu hunting trip. Tension mounts at the house until the situation culminates in an unexpected way.</t>
  </si>
  <si>
    <t>Why do women always have to put up a fight?</t>
  </si>
  <si>
    <t>Action, Horror, Thriller</t>
  </si>
  <si>
    <t>m.e.s. productions, monkey pack films, charades, logical pictures, nexus factory, umedia</t>
  </si>
  <si>
    <t>Belgium, France</t>
  </si>
  <si>
    <t>English, Fran‚àö√üais</t>
  </si>
  <si>
    <t>Jean-Louis Tribes, Matilda Lutz, Barbara Gateau, Kevin Janssens, Vincent Colombe, Guillaume Bouch‚àö¬Æde</t>
  </si>
  <si>
    <t>Coralie Fargeat</t>
  </si>
  <si>
    <t>Robrecht Heyvaert</t>
  </si>
  <si>
    <t>Frantz Richard, Marc Stanimirovic, Marc-Etienne Schwartz, Hicham El Ghorfi</t>
  </si>
  <si>
    <t>ROB</t>
  </si>
  <si>
    <t>/AbWKFxt459cWYTNPTcbpB0i2hQp.jpg</t>
  </si>
  <si>
    <t>revenge</t>
  </si>
  <si>
    <t>toronto international film festival (1), fantastic fest (1), beyond fest (1), molins film festival (1), night visions film festival (1), torino film festival (1), paris international fantastic film festival (1), sundance film festival (1), g√∂teborg film festival (1), internet (7), blank (22), glasgow film festival (1), hong kong international film festival (1), titanic international filmpresence festival (1), imagine film festival (1), cleveland international film festival (1), the overlook film festival (1), fantasy filmfest nights (1), chicago critics film festival (1), limited (3), enemef: maraton grozy (1), festival du film fran√ßais au japon (1), bifan - bucheon international fantastic film festival (1), transatlantyk film festival (1), dvd and blu-ray premiere (1), octopus film festival (1), barcelona (1), subtitled version (3), premiere (2), madrid (1), dvd premiere (1), technical release (1), blu-ray release (1)</t>
  </si>
  <si>
    <t>The Mercy</t>
  </si>
  <si>
    <t>tt3319730</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</si>
  <si>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</si>
  <si>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Based on the true story</t>
  </si>
  <si>
    <t>Drama, Adventure</t>
  </si>
  <si>
    <t>bbc film, blueprint pictures, studiocanal</t>
  </si>
  <si>
    <t>English, Espa‚àö¬±ol</t>
  </si>
  <si>
    <t>Stuart Davidson, Oliver Maltman, Tim Downie, Simon Chandler, Dorothy Atkinson, Richard Teverson, Simon McBurney, Alexia Traverse-Healy, Mark Davison, Kit Connor, Colin Firth, Jonathan Bailey, Finn Elliot, Ray Burnet, Maynard Crowe, Zara Prassinot, Anna Madeley, Bruce Mackinnon, Richard Blaine, Mark Gatiss, Rachel Weisz, David Thewlis, Andrew Buchan, Avye Leventis, Geoff Bladon, Eleanor Stagg, Genevieve Gaunt, Paul Thornley, Adrian Schiller, Sam Hoare, Ken Stott, Martin Marquez, Kerry Godliman, Greg Hicks, Laurence Spellman, Robert Elphick, Sebastian Armesto</t>
  </si>
  <si>
    <t>James Marsh</t>
  </si>
  <si>
    <t>‚àö√¢ric Gautier</t>
  </si>
  <si>
    <t>Scott Z. Burns</t>
  </si>
  <si>
    <t>Scott Z. Burns, Jonny Persey, Dan MacRae, Graham Broadbent, Peter Czernin, Nicolas Mauvernay, Diarmuid McKeown, Jacques Perrin</t>
  </si>
  <si>
    <t>J‚àö‚â•hann J‚àö‚â•hannsson</t>
  </si>
  <si>
    <t>/51qWwl16Mb0hqorgffCtyENwTPP.jpg</t>
  </si>
  <si>
    <t>the mercy</t>
  </si>
  <si>
    <t>london (1), premiere (1), blank (33), villeurbanne british and irish film festival (1), 4k version (1), beijing international film festival (1), dvd premiere (2), limited (1), tv premiere (1)</t>
  </si>
  <si>
    <t>Red Sparrow</t>
  </si>
  <si>
    <t>tt2873282</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</si>
  <si>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</si>
  <si>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Seduce. Deceive. Repeat.</t>
  </si>
  <si>
    <t>Thriller, Mystery</t>
  </si>
  <si>
    <t>chernin entertainment, 20th century fox, tsg entertainment</t>
  </si>
  <si>
    <t>Hugh Quarshie, Ingeborga Dapk‚âà¬¥nait∆í√≥, Chris O'Hara, Zsolt Anger, Zsolt Viczei, Lauren Glazier, Sakina Jaffrey, Karen Gagnon, Simon Szab‚àö‚â•, Jeremy Irons, Attila ‚àö√Örpa, Kristof Konrad, Scott Alexander Young, D‚àö¬∞vid Miller, B‚àö¬∞lint Adorj‚àö¬∞ni, Sasha Frolova, Charlotte Rampling, Matthias Schoenaerts, Ciar‚àö¬∞n Hinds, Jennifer Lawrence, Thekla Reuten, Judit Rezes, Sebastian H‚àö¬∫lk, Douglas Hodge, Sergei Polunin, Joel de la Fuente, Joely Richardson, Kata P‚àö¬∞lfi, Judit Viktor, Kincs‚àö‚àÇ Peth‚àö‚àÇ, Mary-Louise Parker, Louis Hofmann, Sergej Onopko, Joel Edgerton, Nicole O'Neill, Makar Zaporozhskiy, Bill Camp, Isabella Boylston, Tom Morley, Tanya Vital</t>
  </si>
  <si>
    <t>Francis Lawrence</t>
  </si>
  <si>
    <t>Jo Willems</t>
  </si>
  <si>
    <t>Justin Haythe, Jason Matthews</t>
  </si>
  <si>
    <t>David Ready, Steven Zaillian, Peter Chernin, Garrett Basch, Mary McLaglen, Jenno Topping</t>
  </si>
  <si>
    <t>James Newton Howard</t>
  </si>
  <si>
    <t>/a2YVxRnqwAkunqzYXWutMZYCMaG.jpg</t>
  </si>
  <si>
    <t>red sparrow</t>
  </si>
  <si>
    <t>london (1), premiere (1), buenos aires (1), blank (60), jameson dublin international film festival (1), belgrade film festival (1), internet (2)</t>
  </si>
  <si>
    <t>Game Night</t>
  </si>
  <si>
    <t>tt2704998</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</si>
  <si>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</si>
  <si>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This is not a game.</t>
  </si>
  <si>
    <t>Mystery, Comedy, Crime</t>
  </si>
  <si>
    <t>new line cinema, aggregate films, davis entertainment</t>
  </si>
  <si>
    <t>Jason Bateman, Kylie Bunbury, John Francis Daley, Grace Wan, Natasha Hall, Billy Magnussen, Joshua Mikel, Rachel McAdams, Persephonie Rose, Danny Huston, Lamorne Morris, Jeffrey Wright, Chelsea Peretti, Robin Dyke, Loren Schaffer, Jessica Lee, Steve Witting, Michael Cyril Creighton, Sharon Horgan, Jesse Plemons, Curtis Lyons, Malcolm X. Hughes, Kyle Chandler, Camille Chen, Kelly Johns, Charlotte Haynes Hazzard, Brooke Jaye Taylor, Rachel Tracy, Zerrick Williams, Chad Lail, R.F. Daley, Kabby Borders, Marvin E. West, Michael David Yuhl, Jonathan Goldstein, Michael C. Hall, Olivia, Andrew Benator</t>
  </si>
  <si>
    <t>John Francis Daley, Jonathan Goldstein</t>
  </si>
  <si>
    <t>Barry Peterson</t>
  </si>
  <si>
    <t>John Francis Daley, Jonathan Goldstein, Mark Perez</t>
  </si>
  <si>
    <t>Jason Bateman, John Fox, Michael Disco, Dave Neustadter, Toby Emmerich, John Davis, Marc S. Fischer, James Garavente, Richard Brener</t>
  </si>
  <si>
    <t>/85R8LMyn9f2Lev2YPBF8Nughrkv.jpg</t>
  </si>
  <si>
    <t>game night</t>
  </si>
  <si>
    <t>blank (50), blu-ray release (1), internet (3)</t>
  </si>
  <si>
    <t>Love, Simon</t>
  </si>
  <si>
    <t>tt5164432</t>
  </si>
  <si>
    <t>Everyone deserves a great love story, but for 17-year-old Simon Spier, it's a little more complicated. He hasn't told his family or friends that he's gay, and he doesn't know the identity of the anonymous classmate that he's fallen for online.</t>
  </si>
  <si>
    <t>Everyone deserves a great love story.</t>
  </si>
  <si>
    <t>Comedy, Drama, Romance</t>
  </si>
  <si>
    <t>temple hill entertainment, fox 2000 pictures, new leaf literary &amp; media, 20th century fox, twisted media</t>
  </si>
  <si>
    <t>Jamila Thompson, Skye Mowbray, Christopher L. Plunkett, Emily Jordan, Clark Moore, Bryson Pitts, Jonathan Fritschi, Robbie Rogers, Tyler Chase, Dylan Cheek, Keiynan Lonsdale, Tony Hale, Jaidi Ventura, Mackenzie Lintz, Sean O'Donnell, Philip Covin, Josh Duhamel, Logan Miller, Joshua Mikel, Nicholas Stargel, Matthew Laraway, Joey Pollari, Jordan Doww, Briana Estevez, Carsen Rowe, Alexandra Shipp, J‚àö‚àÇnah-Blain‚àö¬© Bowling, Terayle Hill, Collin McHugh, Cassady McClincy-Zhang, Jorge Lendeborg Jr., Nancy De Mayo, Christian Ojore Mayfield, Josh Royston, Chantell D. Christopher, Danni Heverin, Jodi Houck, Jessi Peralta, Baz Ma, Campbell Godfrey, Tyson Love, Abigail Houck, Drew Starkey, Natasha Rothwell, Natalia Tureta, Talitha Eliana Bateman, Patrick Donohue, Samantha Bulka, Haroon Khan, Nye Reynolds, David Copeland Brown Jr., Katherine Langford, Nick Robinson, Alex Sgambati, Miles Heizer, Mandy Fason, Jennifer Garner</t>
  </si>
  <si>
    <t>Greg Berlanti</t>
  </si>
  <si>
    <t>John Guleserian</t>
  </si>
  <si>
    <t>Isaac Aptaker, Elizabeth Berger, Becky Albertalli</t>
  </si>
  <si>
    <t>Pouya Shahbazian, Wyck Godfrey, Timothy M. Bourne, Marty Bowen, Isaac Klausner</t>
  </si>
  <si>
    <t>Rob Simonsen</t>
  </si>
  <si>
    <t>/snIsqVPmlu4LPjvToHpDotxa7Eh.jpg</t>
  </si>
  <si>
    <t>love, simon</t>
  </si>
  <si>
    <t>mardi gras film festival (1), san diego international film festival (1), glasgow film festival (1), miami film festival (1), blank (44), melbourne queer film festival (1), limited (2), bfi flare london lgbtqia+ film festival (1), buenos aires (1), premiere (2), paris (1), golden horse fantastic film festival (1), dvd premiere (3), internet (1), dvd and blu-ray premiere (1), tv premiere (1), beijing international film festival (1)</t>
  </si>
  <si>
    <t>Samson</t>
  </si>
  <si>
    <t>tt6951892</t>
  </si>
  <si>
    <t>After losing the love of his life to a cruel Philistine prince, a young Hebrew with Supernatural strength defends his people, sacrificing everything to avenge his love, his people, and his God.</t>
  </si>
  <si>
    <t>Chosen. Betrayed. Redeemed.</t>
  </si>
  <si>
    <t>Action, Drama, Adventure</t>
  </si>
  <si>
    <t>pure flix entertainment, boomtown films, universal pictures</t>
  </si>
  <si>
    <t>Jackson Rathbone, Greg Kriek, Billy Zane, Frances Sholto-Douglas, Lindsay Wagner, Sven Ruygrok, Duane Behrens, Rutger Hauer, Matthew Dylan Roberts, Lily Spangenberg, Ares Afonso, Taylor James, Caitlin Leahy</t>
  </si>
  <si>
    <t>Bruce Macdonald</t>
  </si>
  <si>
    <t>Trevor Michael Brown, Brian Shanley</t>
  </si>
  <si>
    <t>Zach Smith, Jason Baumgardner, Timothy Ratajczak, Galen Gilbert</t>
  </si>
  <si>
    <t>David A.R. White, Alysoun Wolfe, Vlokkie Gordon, Bruce Macdonald, Brittany Yost, Michael J.F. Scott, Elizabeth Hatcher-Travis, Craig Jones</t>
  </si>
  <si>
    <t>Will Musser</t>
  </si>
  <si>
    <t>/v7Zaj1IEzMMB7KzfglpxdXWB66u.jpg</t>
  </si>
  <si>
    <t>samson</t>
  </si>
  <si>
    <t>blank (16), qualite fantastic cinema collection (1), dvd and blu-ray premiere (1), dvd premiere (1), tv premiere (1)</t>
  </si>
  <si>
    <t>Annihilation</t>
  </si>
  <si>
    <t>tt2798920</t>
  </si>
  <si>
    <t>A biologist signs up for a dangerous, secret expedition into a mysterious zone where the laws of nature don't apply.</t>
  </si>
  <si>
    <t>Fear what's inside.</t>
  </si>
  <si>
    <t>Science Fiction, Horror</t>
  </si>
  <si>
    <t>paramount pictures, skydance media, dna films, scott rudin productions</t>
  </si>
  <si>
    <t>United Kingdom, United States of America</t>
  </si>
  <si>
    <t>Tuva Novotny, Kumud Pant, Hiten Patel, Tessa Thompson, Sonoya Mizuno, Honey Holmes, Matthew Simpson, Kristen McGarrity, John Schwab, Benedict Wong, Natalie Portman, Cosmo Jarvis, Jennifer Jason Leigh, Kola Bokinni, Gina Rodriguez, Oscar Isaac, David Gyasi, Josh Danford, Sammy Hayman</t>
  </si>
  <si>
    <t>Alex Garland</t>
  </si>
  <si>
    <t>Rob Hardy</t>
  </si>
  <si>
    <t>Jeff VanderMeer, Alex Garland</t>
  </si>
  <si>
    <t>Andrew Macdonald, Dana Goldberg, Scott Rudin, Don Granger, Allon Reich, Jo Burn, Eli Bush, David Ellison</t>
  </si>
  <si>
    <t>Geoff Barrow, Ben Salisbury</t>
  </si>
  <si>
    <t>/4YRplSk6BhH6PRuE9gfyw9byUJ6.jpg</t>
  </si>
  <si>
    <t>annihilation</t>
  </si>
  <si>
    <t>westwood, california (1), premiere (1), blank (5), internet (30), dvd and blu-ray premiere (6), dvd &amp; blu ray release (1), ifc center, new york city (1)</t>
  </si>
  <si>
    <t>The Hurricane Heist</t>
  </si>
  <si>
    <t>tt5360952</t>
  </si>
  <si>
    <t>Thieves attempt a massive heist against the U.S. Treasury as a Category 5 hurricane approaches one of its Mint facilities.</t>
  </si>
  <si>
    <t>The storm of the century... the heist of a lifetime.</t>
  </si>
  <si>
    <t>Action, Adventure, Crime, Thriller</t>
  </si>
  <si>
    <t>lipsync productions, head gear films, windfall films, signature pictures, rsvp entertainment, metrol technology, entertainment studios, foresight unlimited</t>
  </si>
  <si>
    <t>Mark Rhino Smith, Mark Basnight, Ed Birch, Melissa Bolona, Ralph Ineson, Keith D. Evans, Erik Rondell, Ryan Kwanten, Christian Contreras, Jimmy Walker, James Barriscale, Toby Kebbell, Jamie Andrew Cutler, Maggie Grace, Ben Cross, Natacha Karam, Moyo Akand‚àö¬©</t>
  </si>
  <si>
    <t>Rob Cohen</t>
  </si>
  <si>
    <t>Shelly Johnson</t>
  </si>
  <si>
    <t>Carlos Davis, Anthony Fingleton, Scott Windhauser, Jeff Dixon</t>
  </si>
  <si>
    <t>Charlie Dombek, Carlos Davis, Anthony Fingleton, Mark Borde, Sergey Bespalov, Mark Damon, Phil Hunt, Compton Ross, Jenna Sanz-Agero, Chris Charalambous, Mark DeVitre, Carolyn Folks, Namit Malhotra, Karen Elise Baldwin, William J. Immerman, Damiano Tucci, Norman Merry, Tamara Birkemoe, Christopher Milburn, Chris Conover, Danny Roth, Jennifer Lucas, Peter Hampden, Gregory Gavanski, Alastair Burlingham, Moshe Diamant, Marina Bespalov, Byron Allen, Michael Tadross Jr.</t>
  </si>
  <si>
    <t>/rAmcj5IZcx59dhev3UnVDEGlImK.jpg</t>
  </si>
  <si>
    <t>the hurricane heist</t>
  </si>
  <si>
    <t>blank (41), internet (3), dvd and blu-ray premiere (2), dvd premiere (1)</t>
  </si>
  <si>
    <t>Death Wish</t>
  </si>
  <si>
    <t>tt1137450</t>
  </si>
  <si>
    <t>A mild-mannered father is transformed into a killing machine after his family is torn apart by a violent act.</t>
  </si>
  <si>
    <t>They came for his family. Now he's coming for them.</t>
  </si>
  <si>
    <t>Action, Crime, Thriller, Drama</t>
  </si>
  <si>
    <t>metro-goldwyn-mayer, cave 76 productions</t>
  </si>
  <si>
    <t>Kirby Bliss Blanton, Elisabeth Shue, Kimberly Elise, Sway Calloway, Gerardo Lo Dico, Vincent D'Onofrio, Wendy Crewson, Andreas Apergis, Warona Setshwaelo, Camila Morrone, Melantha Blackthorne, Ian Matthews, Stephen McHattie, Naomi Frenette, Mike Epps, Nathaly Thibault, Moe Jeudy-Lamour, Ronnie Gene Blevins, Jack Kesy, Kaniehtiio Horn, Beau Knapp, Bruce Willis, Luis Oliva, Dawn Ford, Kenny Wong, Mike Chute, Richard Esteras, Jason Cavalier, Heather B., Len Cariou, Dean Norris, Christopher Tyson, Stephanie Janusauskas</t>
  </si>
  <si>
    <t>Eli Roth</t>
  </si>
  <si>
    <t>Rogier Stoffers</t>
  </si>
  <si>
    <t>Wendell Mayes, Richard Bennet, Joe Carnahan, Brian Garfield</t>
  </si>
  <si>
    <t>Robert Birnbaum, Roger Birnbaum</t>
  </si>
  <si>
    <t>Ludwig G‚àö‚àÇransson</t>
  </si>
  <si>
    <t>/g0eEEZAqMf98ULQnoiORuazjOpn.jpg</t>
  </si>
  <si>
    <t>death wish</t>
  </si>
  <si>
    <t>blank (51), rtp 1 (1), tv premiere (1)</t>
  </si>
  <si>
    <t>Pari</t>
  </si>
  <si>
    <t>tt7329858</t>
  </si>
  <si>
    <t>‚Ä°¬ß‚Ñ¢‚Ä°¬ß‚àû‚Ä°‚Ä¢√Ñ</t>
  </si>
  <si>
    <t>Arnab tries to help Ruksahana, who is found under mysterious circumstances in a house. He lets her stay at his home until he discovers something strange about her.</t>
  </si>
  <si>
    <t>Not A Fairy Tale</t>
  </si>
  <si>
    <t>Horror, Fantasy, Mystery</t>
  </si>
  <si>
    <t>clean slate films, kriarj entertainment, kriarj entertainment, kyta productions</t>
  </si>
  <si>
    <t>Mithu Chakrabarty, Imran Rasheed, Joydeep Mukherjee, Ritabhari Chakraborty, Anshuman Jha, Mansi Multani, Rajat Kapoor, Dibyendu Bhattacharya, Parambrata Chatterjee, Anushka Sharma</t>
  </si>
  <si>
    <t>Prosit Roy</t>
  </si>
  <si>
    <t>Jishnu Bhattacharjee</t>
  </si>
  <si>
    <t>Abhishek Banerjee, Prosit Roy, Abhishek Bhattacharya, Anvita Dutt</t>
  </si>
  <si>
    <t>Karnesh Sharma, Anushka Sharma</t>
  </si>
  <si>
    <t>Anupam Roy</t>
  </si>
  <si>
    <t>/togwv0TGqXkIA2YuYIY9VDLEkdF.jpg</t>
  </si>
  <si>
    <t>pari</t>
  </si>
  <si>
    <t>blank (7), internet (2), limited (1)</t>
  </si>
  <si>
    <t>Tomb Raider</t>
  </si>
  <si>
    <t>tt1365519</t>
  </si>
  <si>
    <t>Lara Croft, the fiercely independent daughter of a missing adventurer, must push herself beyond her limits when she finds herself on the island where her father disappeared.</t>
  </si>
  <si>
    <t>Her legend begins.</t>
  </si>
  <si>
    <t>Action, Adventure, Fantasy</t>
  </si>
  <si>
    <t>square enix, gk films, metro-goldwyn-mayer, warner bros. pictures</t>
  </si>
  <si>
    <t>Japan, United Kingdom, United States of America</t>
  </si>
  <si>
    <t>Keenan Arrison, Dominic West, Sarah Sayuri Hare, Alexandre Willaume, Sky Yang, Jaime Winstone, Josef Altin, Nick Frost, Civic Chung, Derek Jacobi, Gordon Chow, Annabel Wood, Walton Goggins, Kristin Scott Thomas, Duncan Airlie James, Emily Carey, Billy Postlethwaite, Tamer Burjaq, Antonio Aakeel, Michael Obiora, Daniel Wu, Kenneth Fok, Jandre le Roux, Peter Waison, Roger Jean Nsengiyumva, Rekha John-Cheriyan, Maruwan Gasant, Maisy De Freitas, Alicia Vikander, Samuel Mak, Hannah John-Kamen, Andrian Mazive, Adrian Collins, Vere Tindale, Shekhar Varma, Milton Schorr</t>
  </si>
  <si>
    <t>Roar Uthaug</t>
  </si>
  <si>
    <t>George Richmond</t>
  </si>
  <si>
    <t>Evan Daugherty, Geneva Robertson-Dworet, Alastair Siddons</t>
  </si>
  <si>
    <t>Denis O'Sullivan, Noah Hughes, Graham King, Patrick McCormick</t>
  </si>
  <si>
    <t>Tom Holkenborg</t>
  </si>
  <si>
    <t>/s4Qn5LF6OwK4rIifmthIDtbqDSs.jpg</t>
  </si>
  <si>
    <t>tomb raider</t>
  </si>
  <si>
    <t>berlin (1), premiere (3), london (1), blank (74), hollywood, california (1), dvd premiere (1)</t>
  </si>
  <si>
    <t>The Strangers: Prey at Night</t>
  </si>
  <si>
    <t>tt1285009</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</si>
  <si>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</si>
  <si>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Let us prey.</t>
  </si>
  <si>
    <t>aviron pictures, white comet films, bloom, rogue pictures, the fyzz, soundnode, ingenious media</t>
  </si>
  <si>
    <t>United States of America, United Kingdom</t>
  </si>
  <si>
    <t>Ken Strunk, Christina Hendricks, Rachel Kuhn, Emma Bellomy, Mary Louise Casanta, Leah Roberts, Gabriel A. Byrne, Lewis Pullman, Lea Enslin, Martin Henderson, Preston Sadleir, Damian Maffei, Bailee Madison</t>
  </si>
  <si>
    <t>Johannes Roberts</t>
  </si>
  <si>
    <t>Ryan Samul</t>
  </si>
  <si>
    <t>Bryan Bertino, Ben Ketai</t>
  </si>
  <si>
    <t>Jason Resnick, Mark Lane, James Harris, William Sadleir, Bryan Bertino, Alastair Burlingham, Mark Kassen, Ken Halsband, Charlie Dombek, Ryan Kavanaugh, David Dinerstein, Brett Dahl, Wayne Marc Godfrey, Robert Jones, Jon D. Wagner, Trevor Macy</t>
  </si>
  <si>
    <t>Adrian Johnston</t>
  </si>
  <si>
    <t>/vdxLpPsZkPZdFrREp7eSeSzcimj.jpg</t>
  </si>
  <si>
    <t>the strangers: prey at night</t>
  </si>
  <si>
    <t>blank (47), limited (1), fantasy filmfest nights (1), qualite fantastic cinema collection (1), german speaking region (1)</t>
  </si>
  <si>
    <t>A Wrinkle in Time</t>
  </si>
  <si>
    <t>tt1620680</t>
  </si>
  <si>
    <t>After the disappearance of her scientist father, three peculiar beings send Meg, her brother, and her friend to space in order to find him.</t>
  </si>
  <si>
    <t>Be a warrior</t>
  </si>
  <si>
    <t>Adventure, Science Fiction, Family, Fantasy</t>
  </si>
  <si>
    <t>whitaker entertainment, walt disney pictures</t>
  </si>
  <si>
    <t>Losa Fifita, Oprah Winfrey, Leighton Leevard, Daniel MacPherson, Akemi Look, Michele Norris, Teonee Motley, Conrad Roberts, Giselle Paredes, Catelynn Brown, Mindy Kaling, Claire Montwill, Guillaume Seeleuthner, Chris Pine, Michael Pe‚àö¬±a, Kai Miller, Joyce Larkin, Yvette Cason, Oz Kalvan, Storm Reid, Jessica Rockwell, Gugu Mbatha-Raw, Easton Tath, Will McCormack, Rowan Blanchard, Deric McCabe, Reese Witherspoon, Levi Miller, Andr‚àö¬© Holland, Tim Kang, Punnavith Koy, Bellamy Young, Ariyah Brown, David Oyelowo, Jacob Eddington, Lyric Wilson, Zach Galifianakis, Isaac Ordonez</t>
  </si>
  <si>
    <t>Ava DuVernay</t>
  </si>
  <si>
    <t>Tobias A. Schliessler</t>
  </si>
  <si>
    <t>Halima V. Hudson, Arielle Ackerman, Jennifer Lee, Boafoa Offei-Darko, Jeff Stockwell, Stephanie Noel, Matt Rickett, Madeleine L'Engle, Lauren Astore</t>
  </si>
  <si>
    <t>Jim Whitaker, Adam Borba, Catherine Hand, Douglas C. Merrifield</t>
  </si>
  <si>
    <t>Ramin Djawadi</t>
  </si>
  <si>
    <t>/yAcb58vipewa1BfNit2RjE6boXA.jpg</t>
  </si>
  <si>
    <t>a wrinkle in time</t>
  </si>
  <si>
    <t>hollywood, california (1), premiere (3), blank (41), paris (1), london (1), dvd premiere (2), tv release (1), internet (1)</t>
  </si>
  <si>
    <t>Thoroughbreds</t>
  </si>
  <si>
    <t>tt5649108</t>
  </si>
  <si>
    <t>Lily and Amanda, two high school students living in suburban Connecticut, rekindle their unlikely friendship after years of drifting apart. Together, they devise a plan to kill Lily's abusive stepfather by hiring a lowlife drug dealer.</t>
  </si>
  <si>
    <t>Good breeding gone bad</t>
  </si>
  <si>
    <t>june pictures, b story, big indie pictures, the walsh company</t>
  </si>
  <si>
    <t>Alex Wolff, Jackson Damon, Paul Sparks, Leah Procito, Daniel Martignetti, Stephanie Atkinson, Nolan Ball, Francie Swift, James Haddad, Olivia Cooke, Anya Taylor-Joy, Jack Norton, Xavier Dillingham, Kaili Vernoff, Celeste Oliva, Anton Yelchin, Lauren Laperriere, Thomas Dings, Alyssa Fishenden</t>
  </si>
  <si>
    <t>Cory Finley</t>
  </si>
  <si>
    <t>Lyle Vincent</t>
  </si>
  <si>
    <t>Andrew Duncan, Alex Saks, Ryan Stowell, B. Ted Deiker, Kevin J. Walsh, Jim Rash, Nat Faxon, Declan Baldwin</t>
  </si>
  <si>
    <t>Erik Friedlander</t>
  </si>
  <si>
    <t>/dBhskn3zQZu1DKy1ZjjmJRxJUxm.jpg</t>
  </si>
  <si>
    <t>thoroughbreds</t>
  </si>
  <si>
    <t>sundance film festival (1), fantastic fest (1), hamptons international film festival (1), bfi london film festival (1), chicago international film festival (1), philadelphia international film festival (1), afi fest (1), palm springs international film festival (1), portland international film festival (1), jameson dublin international film festival (1), blank (8), dvd premiere (10), bifan - bucheon international fantastic film festival (1), dvd and blu-ray premiere (1), limited (2), tv release (2), internet (3)</t>
  </si>
  <si>
    <t>The Forgiven</t>
  </si>
  <si>
    <t>tt2249081</t>
  </si>
  <si>
    <t>After the end of Apartheid, Archbishop Desmond Tutu meets with a brutal murderer seeking redemption.</t>
  </si>
  <si>
    <t>Racist. Prisoner. Murderer. Child of God.</t>
  </si>
  <si>
    <t>Thriller, Drama</t>
  </si>
  <si>
    <t>light and dark films, jeff rice films, lionsgate, lb entertainment, 13 films</t>
  </si>
  <si>
    <t>South Africa, United Kingdom</t>
  </si>
  <si>
    <t>Forest Whitaker, Osbert Solomons, Jeff Gum, Rob Gough, Dominika Jablonska, Robert Hobbs, Morn‚àö¬© Visser, Terry Norton, Thandi Makhubele, Eric Bana, Debbie Sherman, Nandiphile Mbeshu, Warrick Grier</t>
  </si>
  <si>
    <t>Roland Joff‚àö¬©</t>
  </si>
  <si>
    <t>William Wages</t>
  </si>
  <si>
    <t>Roland Joff‚àö¬©, Michael Ashton</t>
  </si>
  <si>
    <t>Robert Jones, Ness Saban, Shanan Becker, Michael Tadross Jr., Jeff Rice, Bill Bromiley, Maxime Cottray, Roland Joff‚àö¬©, Rob Gough, Gregory R. Schenz, Zaheer Goodman-Bhyat, Lee Broda, John R. Sherman, Wayne Marc Godfrey, Kim Ashton, Christos Michaels, Tannaz Anisi, Craig Baumgarten</t>
  </si>
  <si>
    <t>Zethu Mashika</t>
  </si>
  <si>
    <t>/mUQK6gWivZ7q2ehkh8D2YFCqMq9.jpg</t>
  </si>
  <si>
    <t>the forgiven</t>
  </si>
  <si>
    <t>bfi london film festival (1), belgrade film festival (1), blank (6), dvd premiere (1), bali international film festival (1), rtp 1 (1), tv premiere (1), internet (1), dvd and blu-ray premiere (1)</t>
  </si>
  <si>
    <t>Hate Story IV</t>
  </si>
  <si>
    <t>tt5325684</t>
  </si>
  <si>
    <t>Tasha, who aspires to make it big in life, catches the eye of two womanising brothers, who promise to make her a star. Yet her hidden intentions may prove deadly for the duo.</t>
  </si>
  <si>
    <t>Hate is Coming</t>
  </si>
  <si>
    <t>Thriller, Crime, Drama</t>
  </si>
  <si>
    <t>t-series</t>
  </si>
  <si>
    <t>Ihana Dhillon, Karan Wahi, Rita Siddiqui, Mohit Chhabra, Jack Armstrong, Gulshan Grover, Tia Bajpai, Vivan Bhatena, Urvashi Rautela, Shaad Randhawa</t>
  </si>
  <si>
    <t>Vishal Pandya</t>
  </si>
  <si>
    <t>Sunita Radia</t>
  </si>
  <si>
    <t>Manoj Muntashir, Vishal Pandya, Kumaar, Milap Zaveri, Rashmi Virag</t>
  </si>
  <si>
    <t>Krishan Kumar, Vivek Bhatnagar, Bhushan Kumar</t>
  </si>
  <si>
    <t>Sunny Bawra, Baman Chand, Mithoon Sharma, Inder Bawra, Arko Pravo Mukherjee, Tony Kakkar, Tanishk Bagchi</t>
  </si>
  <si>
    <t>/7mI6YgCVFfKDSlSDN8MuSY8oCFJ.jpg</t>
  </si>
  <si>
    <t>hate story iv</t>
  </si>
  <si>
    <t>blank (2)</t>
  </si>
  <si>
    <t>Blockers</t>
  </si>
  <si>
    <t>tt2531344</t>
  </si>
  <si>
    <t>When three parents discover that each of their daughters have a pact to lose their virginity at prom, they launch a covert one-night operation to stop the teens from sealing the deal.</t>
  </si>
  <si>
    <t>Teens out to have fun. Parents out to stop it.</t>
  </si>
  <si>
    <t>Comedy</t>
  </si>
  <si>
    <t>hurwitz &amp; schlossberg productions, good universe, dmg entertainment, point grey pictures, universal pictures, dentsu</t>
  </si>
  <si>
    <t>China, Japan, United States of America</t>
  </si>
  <si>
    <t>Graham Phillips, Geraldine Viswanathan, Sarayu Blue, Gideon Adlon, Ramona Young, Anniston Almond, Madeline Erwin, Noor Anna Maher, Kathryn Newton, Hannah Goergen, Milana Alrayes, Aubrey Michele Katz, Leslie Mann, Jake Picking, Brian Shortall, T.C. Carter, Amy Chandler, Andrew Lopez, Miles Robbins, Hannibal Buress, Jordan Olivia Howell, John Cena, Gina Gershon, Chad Sanborn, Gary Cole, Ike Barinholtz, Victoria Hall, Colton Dunn, Audrey Casson, Aubree McGuire, Kathryn Lim, Rylee Whiteman, Jimmy Bellinger, June Diane Raphael</t>
  </si>
  <si>
    <t>Kay Cannon</t>
  </si>
  <si>
    <t>Russ T. Alsobrook</t>
  </si>
  <si>
    <t>Jim Kehoe, Brian Kehoe</t>
  </si>
  <si>
    <t>Jonathan McCoy, Chris Fenton, James Weaver, Hayden Schlossberg, Seth Rogen, Joseph Drake, David Stassen, Evan Goldberg, Nathan Kahane, Josh Fagen, Jon Hurwitz, Chris Cowles</t>
  </si>
  <si>
    <t>Mateo Messina</t>
  </si>
  <si>
    <t>/uvlUQXg0AlpGzKukO11K7QtW3Yu.jpg</t>
  </si>
  <si>
    <t>blockers</t>
  </si>
  <si>
    <t>south by southwest film festival (1), blank (43), dvd premiere (1), internet (1)</t>
  </si>
  <si>
    <t>Sherlock Gnomes</t>
  </si>
  <si>
    <t>tt2296777</t>
  </si>
  <si>
    <t>Garden gnomes Gnomeo &amp; Juliet recruit renown detective Sherlock Gnomes to investigate the mysterious disappearance of other garden ornaments.</t>
  </si>
  <si>
    <t>They're on a mission to bring every gnome home.</t>
  </si>
  <si>
    <t>Animation, Family, Fantasy, Comedy, Adventure, Mystery</t>
  </si>
  <si>
    <t>rocket pictures, paramount animation, metro-goldwyn-mayer, paramount pictures</t>
  </si>
  <si>
    <t>James McAvoy, Matt Lucas, Maggie Smith, Flora Coquerel, Stephen Merchant, Ozzy Osbourne, Gang Chi, Eve Webster, Rosalie Craig, Jamie Demetriou, Diouc Koma, Chiwetel Ejiofor, Mary J. Blige, Emily Blunt, Ashley Jensen, Julio Bonet, James Hong, Kelly Asbury, Johnny Depp, Michael Caine, Julie Walters, Micha‚àö¬¥l Gr‚àö¬©gorio, Dexter Fletcher, Richard Wilson</t>
  </si>
  <si>
    <t>John Stevenson</t>
  </si>
  <si>
    <t>Emily Cook, Kevin Cecil, William Shakespeare, Andy Riley, Johnny Smith, Rob Sprackling, Kathy Greenberg, Arthur Conan Doyle, Steve Hamilton Shaw, Kelly Asbury, Ben Zazove</t>
  </si>
  <si>
    <t>Steve Hamilton Shaw, Elton John, Carolyn Soper, David Furnish</t>
  </si>
  <si>
    <t>Chris Bacon</t>
  </si>
  <si>
    <t>/wqnzpJR3PwS4doVkAkt9seSEpoX.jpg</t>
  </si>
  <si>
    <t>sherlock gnomes</t>
  </si>
  <si>
    <t>blank (48), los angeles, california (1), premiere (1)</t>
  </si>
  <si>
    <t>Mary Magdalene</t>
  </si>
  <si>
    <t>tt5360996</t>
  </si>
  <si>
    <t>In the first century, free-spirited Mary Magdalene flees the marriage her family has arranged for her, finding refuge and a sense of purpose in a radical new movement led by the charismatic, rabble-rousing preacher named Jesus.</t>
  </si>
  <si>
    <t>Her story will be told</t>
  </si>
  <si>
    <t>Drama</t>
  </si>
  <si>
    <t>focus features, film4 productions, filmnation entertainment, see-saw films, porchlight films, lotus production</t>
  </si>
  <si>
    <t>Australia, Italy, United Kingdom, United States of America</t>
  </si>
  <si>
    <t>Tawfeek Barhom, Ariane Labed, Lubna Azabal, Sarah-Sofie Boussnina, Tsahi Halevi, Giorgio Caputo, Zohar Shtrauss, Giovanni Cirfiera, Joaquin Phoenix, Giacomo Fadda, Rooney Mara, Tahar Rahim, David Schofield, Michael Moshonov, Denis M‚àö¬©nochet, Charles Babalola, Lior Raz, Hadas Yaron, Jacopo Olmo Antinori, Theo Theodoridis, Ryan Corr, Uri Gavriel, Francesco Scianna, Chiwetel Ejiofor, Shira Haas, Tch‚àö¬©ky Karyo, Roy Assaf</t>
  </si>
  <si>
    <t>Garth Davis</t>
  </si>
  <si>
    <t>Greig Fraser</t>
  </si>
  <si>
    <t>Philippa Goslett, Helen Edmundson</t>
  </si>
  <si>
    <t>Iain Canning, Emile Sherman, Liz Watts</t>
  </si>
  <si>
    <t>Hildur Gu‚àö‚àûnad‚àö‚â•ttir, J‚àö‚â•hann J‚àö‚â•hannsson</t>
  </si>
  <si>
    <t>/oLbqnVAmD8ISel1SLTY3Ek0TWz8.jpg</t>
  </si>
  <si>
    <t>mary magdalene</t>
  </si>
  <si>
    <t>national gallery (1), dublin film festival (1), blank (37), dvd premiere (1), dvd and blu-ray premiere (1), limited (2), dvd &amp; blu-ray premiere (1)</t>
  </si>
  <si>
    <t>Benji</t>
  </si>
  <si>
    <t>tt1799516</t>
  </si>
  <si>
    <t>Two school kids strike up a friendship with an orphaned puppy named Benji. When danger befalls them and they end up kidnapped by robbers who are in over their heads, Benji and his scruffy sidekick come to the rescue.</t>
  </si>
  <si>
    <t>A Hero Comes Home</t>
  </si>
  <si>
    <t>Drama, Family, Adventure, Crime</t>
  </si>
  <si>
    <t>blumhouse productions, symbolic exchange</t>
  </si>
  <si>
    <t>United Arab Emirates, United States of America</t>
  </si>
  <si>
    <t>Kiele Sanchez, Shannon J. Jackson, Victoria Hardway, Kirk H. Andersen, Angus Sampson, Anthony Barbier, Micheal Robinson, Gralen Bryant Banks, John Garcia, Brady Permenter, Jim Gleason, Jon Arthur, Tom Proctor, James W. Evermore, Arthur J. Robinson, Chris Angerdina, Brandon Fontenot, Will Rothhaar, Gabriel Bateman, Ron M Patterson, Shane Jackson, Lacy Camp, Sean Stevens, Darby Camp, Jerod Haynes</t>
  </si>
  <si>
    <t>Brandon Camp</t>
  </si>
  <si>
    <t>Thomas Scott Stanton</t>
  </si>
  <si>
    <t>Joe Camp, Brandon Camp</t>
  </si>
  <si>
    <t>Brandon Camp, Charles S. Cohen, Charles Layton, Ben Ross, Jason Blum</t>
  </si>
  <si>
    <t>Kostas Christides</t>
  </si>
  <si>
    <t>/79pacM3h5FoETnfuRC6O2qPfzn4.jpg</t>
  </si>
  <si>
    <t>benji</t>
  </si>
  <si>
    <t>internet (14), blank (2)</t>
  </si>
  <si>
    <t>Raid</t>
  </si>
  <si>
    <t>tt7363076</t>
  </si>
  <si>
    <t>After receiving an anonymous tip, a tax officer leads a raid on the mansion of the most powerful figure in Lucknow, a member of parliament who has been evading income tax for years.</t>
  </si>
  <si>
    <t>Heroes Don't Always Come in Uniform</t>
  </si>
  <si>
    <t>Crime, Drama, Thriller</t>
  </si>
  <si>
    <t>panorama studios, t-series</t>
  </si>
  <si>
    <t>Saurabh Shukla, Ajay Devgn, Amit Sial, Reno Davis, Imran Manzoor, Sulagna Panigrahi, Saanand Verma, Gayathri Iyer, Sheeba Chaddha, Ileana D'Cruz, Pushpa Joshi</t>
  </si>
  <si>
    <t>Raj Kumar Gupta</t>
  </si>
  <si>
    <t>Alphonse Roy</t>
  </si>
  <si>
    <t>Ritesh Shah, Prashant Pandey, Savir Suda, Aseem Arora, Raj Kumar Gupta</t>
  </si>
  <si>
    <t>Abhishek Pathak, Kumar Mangat Pathak, Bhushan Kumar, Krishan Kumar</t>
  </si>
  <si>
    <t>Amit Trivedi, Tanishk Bagchi</t>
  </si>
  <si>
    <t>/9nBcwYchjSK5qsD11LtNS6OKkXo.jpg</t>
  </si>
  <si>
    <t>raid</t>
  </si>
  <si>
    <t>blank (15), limited (2), santa cruz de tenerife (1), golden rooster and hundred flowers film festival (1)</t>
  </si>
  <si>
    <t>Pacific Rim: Uprising</t>
  </si>
  <si>
    <t>tt2557478</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</si>
  <si>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</si>
  <si>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Rise up.</t>
  </si>
  <si>
    <t>Action, Fantasy, Science Fiction, Adventure</t>
  </si>
  <si>
    <t>legendary pictures, double dare you</t>
  </si>
  <si>
    <t>Adria Arjona, Scott Eastwood, Karan Brar, Max Zhang, Cailee Spaeny, John Boyega, Charlie Day, Wesley Wong, Lyric Lan, Ellen McLain, Stephanie Allynne, Jing Tian, Bridger Zadina, Levi Meaden, Ivanna Sakhno, Mackenyu, Rinko Kikuchi, Jaime Slater, Sam Kalidi, Chen Zitong, Qian Yongchen, Dustin Clare, Madeleine McGraw, Rahart Adams, Nick E. Tarabay, Lily Ji, Daniel Feuerriegel, Jai Day, Burn Gorman, Zhu Zhu, Shyrley Rodriguez, Peter Overton</t>
  </si>
  <si>
    <t>Steven S. DeKnight</t>
  </si>
  <si>
    <t>Dan Mindel</t>
  </si>
  <si>
    <t>T.S. Nowlin, Emily Carmichael, Steven S. DeKnight, Travis Beacham, Kira Snyder</t>
  </si>
  <si>
    <t>John Boyega, Thomas Tull, Jon Jashni, Mary Parent, Cale Boyter, Guillermo del Toro, Femi Oguns</t>
  </si>
  <si>
    <t>/nFWhttU8PM50t25NPdy7PE7rv3G.jpg</t>
  </si>
  <si>
    <t>pacific rim: uprising</t>
  </si>
  <si>
    <t>blank (56), beijing (1), premiere (1), colombo (1), dvd premiere (2), internet (1)</t>
  </si>
  <si>
    <t>Midnight Sun</t>
  </si>
  <si>
    <t>tt4799066</t>
  </si>
  <si>
    <t>Katie, a 17-year-old, has been sheltered since childhood and confined to her house during the day by a rare disease that makes even the smallest amount of sunlight deadly. Fate intervenes when she meets Charlie and they embark on a summer romance.</t>
  </si>
  <si>
    <t>Love will light the way.</t>
  </si>
  <si>
    <t>boies/schiller film group, wrigley pictures, universal pictures</t>
  </si>
  <si>
    <t>Kenneth Tynan, Alex Pangburn, Jaeda Lily Miller, Paul McGillion, Quinn Shephard, Yobdee  Marazzi, Dean Petriw, Kris Neufeld, Ken Tremblett, Austin Anozie, Allyson Grant, Kiarra Hamagami Goldberg, Norm Misura, Jenn Griffin, Tom Vanderkam, Nick Watson, Ava Dewhurst, Michelle Choi-Lee, Rob Riggle, Jacqueline King, Farris Tyab, Chris Sheilds, Jeff Reyes, Donny Lucas, Ray Boulay, Audrey Smallman, Tiera Skovbye, Suleka Mathew, Nicholas Coombe, Darla Pitkanen, Jerome Yoo, Patrick Schwarzenegger, Bella Thorne, Kiefer O'Reilly, Guy Christie</t>
  </si>
  <si>
    <t>Scott Speer</t>
  </si>
  <si>
    <t>Karsten 'Crash' Gopinath</t>
  </si>
  <si>
    <t>Kenji Bando, Aya Tenkawa, Eric Kirsten</t>
  </si>
  <si>
    <t>James McGough, Zack Schiller, Hiroki Shirota, Scott Speer, David Boies III, John Rickard, Alan Ou, Jen Gatien, Tracey Jeffrey</t>
  </si>
  <si>
    <t>Nate Walcott</t>
  </si>
  <si>
    <t>/vPG2zEKPXhovPW9S91SRnwr5JM1.jpg</t>
  </si>
  <si>
    <t>midnight sun</t>
  </si>
  <si>
    <t>blank (46), internet (2), dvd premiere (2)</t>
  </si>
  <si>
    <t>Unsane</t>
  </si>
  <si>
    <t>tt7153766</t>
  </si>
  <si>
    <t>A woman is involuntarily committed to a mental institution where she is confronted by her greatest fear.</t>
  </si>
  <si>
    <t>Is she or isn't she?</t>
  </si>
  <si>
    <t>fingerprint releasing, regency enterprises, extension 765, new regency pictures, bleecker street</t>
  </si>
  <si>
    <t>Sarah Stiles, Michael Mihm, Roshanna Jenkins, Myra Lucretia Taylor, Joshua Leonard, Lynda Mauze, Marc Kudisch, Amy Irving, Claire Foy, Juno Temple, Steven Maier, Aimee Mullins, Sol Marina Crespo, Erika Rolfsrud, Lance Coughlin, Gibson Frazier, Zach Cherry, Jay Pharoah, Emily Happe, Joseph P. Reidy, Robert Kelly, Colin Woodell, Matt Damon, Matt Mancini, Will Brill, Ra‚àö‚à´l Castillo, Erin Wilhelmi, Elizabeth Goodman, Kevin Dean O'Connor, Matthew R. Staley, Ursula Triplett, Natalie Gold, Polly McKie</t>
  </si>
  <si>
    <t>Steven Soderbergh</t>
  </si>
  <si>
    <t>Jonathan Bernstein, James Greer</t>
  </si>
  <si>
    <t>Joseph Malloch, Ken Meyer, Arnon Milchan, Dan Fellman</t>
  </si>
  <si>
    <t>David Wilder Savage</t>
  </si>
  <si>
    <t>/wdaUssQhZDOgegkJZx7NfY75HRX.jpg</t>
  </si>
  <si>
    <t>unsane</t>
  </si>
  <si>
    <t>berlin international film festival (1), premiere (6), blank (25), imagine film festival (1), internet (2), champs-elys√©es film festival (1), dvd premiere (3), bordeaux (1), charleville-m√©zi√®res (1), lyon (1), strasbourg (1), paris (1), transatlantyk film festival (1), motelx - lisbon international horror film festival (1), tv release (1)</t>
  </si>
  <si>
    <t>Isle of Dogs</t>
  </si>
  <si>
    <t>tt5104604</t>
  </si>
  <si>
    <t>In the future, an outbreak of canine flu leads the mayor of a Japanese city to banish all dogs to an island used as a garbage dump. The outcasts must soon embark on an epic journey when a 12-year-old boy arrives on the island to find his beloved pet.</t>
  </si>
  <si>
    <t>Loyalty has a scent. And it smells like rebellion.</t>
  </si>
  <si>
    <t>Adventure, Comedy, Animation</t>
  </si>
  <si>
    <t>studio babelsberg, american empirical pictures, indian paintbrush, scott rudin productions</t>
  </si>
  <si>
    <t>United States of America, Germany</t>
  </si>
  <si>
    <t>English, √ä√≥‚Ä¢√ä√∫¬®√ã‚Ñ¢√ª</t>
  </si>
  <si>
    <t>Kunichi Nomura, Shin Mononobe, Chris Benz, Jake Ryan, Nijiro Murakami, Taichi Kodama, Gen Ueda, Akira Ito, Scarlett Johansson, Fisher Stevens, Koyu Rankin, Elaiza Ikeda, Mari Natsuki, Bob Balaban, Ryuhei Matsuda, Chinami Narikawa, Luli Shioi, Yoko Ono, Bill Murray, Edward Bursch, Greta Gerwig, Frances McDormand, Ryuhei Nakadai, Ikunosuke, Anjelica Huston, Liev Schreiber, Alex Orman, Jeff Goldblum, Ken Watanabe, Akira Takayama, Edward Norton, Bryan Cranston, Harvey Keitel, Yojiro Noda, Jun Takahashi, Takayuki Yamada, Kozue Akimoto, Shota Matsuda, Frank Wood, F. Murray Abraham, Satoshi Yamazaki, Kiyotaka Mizukoshi, J. Wurster, Roman Coppola, Tilda Swinton, Courtney B. Vance, Kara Hayward, Erica Dorn, Karin Okoso</t>
  </si>
  <si>
    <t>Wes Anderson</t>
  </si>
  <si>
    <t>Tristan Oliver</t>
  </si>
  <si>
    <t>Kunichi Nomura, Wes Anderson, Roman Coppola, Jason Schwartzman</t>
  </si>
  <si>
    <t>Christoph Fisser, Eli Bush, Scott Rudin, Steven M. Rales, Carl Woebcken, Jeremy Dawson, Wes Anderson, Henning Molfenter</t>
  </si>
  <si>
    <t>Alexandre Desplat</t>
  </si>
  <si>
    <t>/c0nUX6Q1ZB0P2t1Jo6EeFSVnOGQ.jpg</t>
  </si>
  <si>
    <t>isle of dogs</t>
  </si>
  <si>
    <t>berlin international film festival (1), glasgow film festival (1), jameson dublin international film festival (1), south by southwest film festival (1), toronto (1), limited (1), blank (51), imagine film festival (1), golden horse fantastic film festival (1), beijing international film festival (1), fantasy filmfest nights (1), bafici - buenos aires film festival (1), animafest (1), transatlantyk film festival (1), dvd premiere (2), auditorium san fedele (1), milan (1), tv premiere (1)</t>
  </si>
  <si>
    <t>Paul, Apostle of Christ</t>
  </si>
  <si>
    <t>tt7388562</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</si>
  <si>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</si>
  <si>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Where sin abounds... grace abounds more</t>
  </si>
  <si>
    <t>outside da box, affirm films, odb films</t>
  </si>
  <si>
    <t>Andr‚àö¬© Agius, Vladislav Ilich, Philip Mizzi, Stephen Caruana, Alexandra Vino, Yorgos Karamihos, Nora Jolie Eckermann, John-Paul Pace, Jim Caviezel, Nina Sultana, Husam Chadat, Mikhail Basmadjian, Joe Azzopardi, Sarah Michelle Attard, Christopher Dingli, Anthony Edridge, Manuel Cauchi, Daryl Vassallo, John Lynch, Joanne Whalley, Jacob Daniel Groth, Nikovich Sammut, Kenneth Spiteri, Alessandro Sperduti, Iskander El Hag Aisa, Olivier Martinez, Stephen Buhagiar, Graham Charles, Anthony Ellul, Natalie Rossignaud, Mario Opinato, Erica Muscat, Antonia Campbell-Hughes, Edward Mercieca, James Faulkner, Noah Huntley, Henry Holland</t>
  </si>
  <si>
    <t>Andrew Hyatt</t>
  </si>
  <si>
    <t>Andrew Hyatt, Terence Berden</t>
  </si>
  <si>
    <t>Eric Groth, David Zelon, Harrison Powell, Rick Jackson, Terence Berden</t>
  </si>
  <si>
    <t>Jan A. P. Kaczmarek</t>
  </si>
  <si>
    <t>/2NUXG94dGMKYgJL1BkJGKynMb3l.jpg</t>
  </si>
  <si>
    <t>paul, apostle of christ</t>
  </si>
  <si>
    <t>blank (18), limited (1), dvd premiere (5), blu-ray premiere (1), internet (2)</t>
  </si>
  <si>
    <t>Ready Player One</t>
  </si>
  <si>
    <t>tt1677720</t>
  </si>
  <si>
    <t>When the creator of a popular video game system dies, a virtual contest is created to compete for his fortune.</t>
  </si>
  <si>
    <t>A better reality awaits.</t>
  </si>
  <si>
    <t>Adventure, Action, Science Fiction</t>
  </si>
  <si>
    <t>amblin entertainment, warner bros. pictures, village roadshow pictures, de line pictures, dune entertainment</t>
  </si>
  <si>
    <t>United States of America, India, Singapore, Canada, United Kingdom, Japan, Australia</t>
  </si>
  <si>
    <t>Julia Nickson, Jacob Bertrand, David Forman, Kit Connor, Win Morisaki, Sydney Brower, Gavin Marshall, Danielle Phillips, Olivia Cooke, Clare Higgins, Kiera Bell, Kathryn Wilder, Asan N'Jie, Kae Alexander, Amy Clare Beales, T.J. Miller, Samantha Russell, Tom Turner, Jaeden Bettencourt, Ronk¬∑‚à´œÄ Ad‚àö¬©kolu¬∑‚à´œÄjo, Turlough Convery, Neet Mohan, Laurence Spellman, Lena Waithe, Paul Barnhill, Joshua Archer, Mandy June Turpin, Perdita Weeks, Simon Pegg, Jayden Fowora-Knight, Letitia Wright, Mark Stanley, Britain Dalton, Violet McGraw, Daniel Eghan, Emily Beacock, Gareth Mason, Philip Zhao, Hannah John-Kamen, Alonso Alvarez, Khalil Madovi, Vic Chao, Juan Carlos Cantu, Daniel Zolghadri, Robert Gilbert, Isaac Andrews, Annarie Boor, Ralph Ineson, Adolfo ‚àö√Ölvarez, Eric Sigmundsson, Ben Mendelsohn, Maeve Bluebell Wells, Cara Theobold, Rosanna Beacock, Rona Morison, Gemma Refoufi, Joel MacCormack, Stephen Mitchell, Jadah Marie, Michael Wildman, Racheal Ofori, Lynne Wilmot, Bruce Lester-Johnson, Georgie Farmer, Mckenna Grace, Lulu Wilson, Arianna Jaffier, Susan Lynch, Mark Rylance, Sid Sagar, Sandra Dickinson, Avye Leventis, Antonio Mattera, Tye Sheridan, Armani Jackson, Elliot Barnes-Worrell, Cara Pifko, Dean Street, William Gross, Jane Leaney, Joe Hurst, James Dryden, Ian Davies, Leo Heller, Dallas Dupree Young</t>
  </si>
  <si>
    <t>Steven Spielberg</t>
  </si>
  <si>
    <t>Janusz Kami‚âà√ëski</t>
  </si>
  <si>
    <t>Zak Penn, Ernest Cline</t>
  </si>
  <si>
    <t>Adam Somner, Kristie Macosko Krieger, Steven Spielberg, Bruce Berman, Daniel Lupi, Dan Farah, Christopher DeFaria, Donald De Line</t>
  </si>
  <si>
    <t>Alan Silvestri</t>
  </si>
  <si>
    <t>/pU1ULUq8D3iRxl1fdX2lZIzdHuI.jpg</t>
  </si>
  <si>
    <t>ready player one</t>
  </si>
  <si>
    <t>south by southwest film festival (1), premiere (4), london (1), spain (1), los angeles, california (1), blank (60), reykjavik (1), blu-ray release (1), re-release (2), imax version (1), 3-d version (1), beijing international film festival (1), dvd premiere (1), internet (2)</t>
  </si>
  <si>
    <t>Acrimony</t>
  </si>
  <si>
    <t>tt6063050</t>
  </si>
  <si>
    <t>Faithful wife Melinda, who is tired of standing by her devious husband Robert, is enraged when it becomes clear she has been betrayed. That's when she lost it, and now she cannot let it go.</t>
  </si>
  <si>
    <t>Hell hath no fury.</t>
  </si>
  <si>
    <t>tyler perry studios, lionsgate</t>
  </si>
  <si>
    <t>Nelson Estevez, Jay Hunter, Scott Deal, Taraji P. Henson, Antonio Madison, Bob Lanoue, Lyriq Bent, Alonzo Ward, Terayle Hill, George Bryant II, Bresha Webb, Kendrick Cross, Moses Jones, Lycan Scott, CC Ice, Katie Carpenter, Jason Vail, Shavon Kirksey, Racquel Bianca John, Leonard R. Butler, Jazmyn Simon, Je Nie Fleming, Crystle Stewart, John Schmedes, Denise Woods, Angelique Valentine, Jarvis Shaffer, Douglas Dickerman, Danielle Nicolet, Lela Dawn Barrett, Karen Beyer, Ajiona Alexus, Shamea Morton, Remington Steele, Ptosha Storey</t>
  </si>
  <si>
    <t>Tyler Perry</t>
  </si>
  <si>
    <t>Richard J. Vialet</t>
  </si>
  <si>
    <t>Long Qiuyun, Ozzie Areu, Will Areu, Tyler Perry, Mark E. Swinton</t>
  </si>
  <si>
    <t>Christopher Lennertz</t>
  </si>
  <si>
    <t>/raz4UTUI5FPkem2j57EXOL75o6I.jpg</t>
  </si>
  <si>
    <t>acrimony</t>
  </si>
  <si>
    <t>new york city (1), premiere (1), blank (5), limited (1), internet (5)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</si>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</sst>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659E1-712A-DB4C-9479-514C6316651A}" name="Table1" displayName="Table1" ref="A1:AQ50" totalsRowCount="1">
  <autoFilter ref="A1:AQ49" xr:uid="{DEC659E1-712A-DB4C-9479-514C6316651A}">
    <filterColumn colId="41">
      <filters>
        <filter val="no"/>
      </filters>
    </filterColumn>
  </autoFilter>
  <tableColumns count="43">
    <tableColumn id="1" xr3:uid="{C9AD95C6-69AD-6248-9020-4D5B844DF0CA}" name="id" totalsRowLabel="Total"/>
    <tableColumn id="2" xr3:uid="{533B63CC-1307-7842-B8B5-73EC26478D42}" name="title"/>
    <tableColumn id="3" xr3:uid="{5DE7D661-A6BF-CA42-B4C9-8EC2F4B25036}" name="vote_average"/>
    <tableColumn id="4" xr3:uid="{3E679971-BE54-3E48-973B-8C1C17BC1B5E}" name="vote_count"/>
    <tableColumn id="5" xr3:uid="{D483A040-77C9-B04F-88A2-68549682E67D}" name="status"/>
    <tableColumn id="6" xr3:uid="{748C6454-C6A6-EC4F-9D25-868CCE25A4E3}" name="release_date" dataDxfId="0"/>
    <tableColumn id="7" xr3:uid="{7AF2A217-24F1-0B45-B3D3-B56B492A8E35}" name="revenue"/>
    <tableColumn id="8" xr3:uid="{D48F83B8-9477-A74D-A839-7BE54D754DEF}" name="runtime"/>
    <tableColumn id="9" xr3:uid="{AC1AB5C5-6DCE-7E45-9B1C-0529826A41CC}" name="budget"/>
    <tableColumn id="10" xr3:uid="{D6189E45-7E76-C142-8B08-B28E7C9E7190}" name="imdb_id"/>
    <tableColumn id="11" xr3:uid="{DDA6DF9C-94F8-4741-8537-273F75F94A95}" name="original_language"/>
    <tableColumn id="12" xr3:uid="{5191B0D5-4540-C148-B132-CE383300F752}" name="original_title"/>
    <tableColumn id="13" xr3:uid="{88BB60EE-83AF-0B4B-BBA6-116145B571C9}" name="overview"/>
    <tableColumn id="14" xr3:uid="{F1102D85-2CD7-6C4E-85FB-783D21597554}" name="popularity"/>
    <tableColumn id="15" xr3:uid="{782B936C-16AD-1641-89E4-DB54B98EB789}" name="tagline"/>
    <tableColumn id="16" xr3:uid="{DAE98971-BDB2-A245-BCC2-B7DB7B0B4C96}" name="genres"/>
    <tableColumn id="17" xr3:uid="{CEB9E06F-E376-8345-BAAE-27CC9DC86C76}" name="production_companies"/>
    <tableColumn id="18" xr3:uid="{6D5A5AC7-E47B-8F43-BCFB-C3E73557EA5E}" name="production_countries"/>
    <tableColumn id="19" xr3:uid="{E4B28D6F-4F4B-B14B-9C03-45789BA6B9A2}" name="spoken_languages"/>
    <tableColumn id="20" xr3:uid="{D957B14C-7439-6848-A406-837CEFC6DD7A}" name="cast"/>
    <tableColumn id="21" xr3:uid="{A63AB010-C209-234C-BF01-557930456452}" name="director"/>
    <tableColumn id="22" xr3:uid="{F4A09610-BA6E-AD4B-A1A2-82491F8DC6CA}" name="director_of_photography"/>
    <tableColumn id="23" xr3:uid="{2AE8274B-53D0-FA43-903C-0AEB4B4F75A1}" name="writers"/>
    <tableColumn id="24" xr3:uid="{AE88917E-CE19-BC4B-A77C-72353847487E}" name="producers"/>
    <tableColumn id="25" xr3:uid="{A2F2F3FC-E17F-124F-8F1F-3D431B7B66E2}" name="music_composer"/>
    <tableColumn id="26" xr3:uid="{731CFCB5-2AF1-6942-97BB-264ACED2DDA4}" name="imdb_rating"/>
    <tableColumn id="27" xr3:uid="{980B98A2-2098-6E41-8D40-B93F5A34DBA2}" name="imdb_votes"/>
    <tableColumn id="28" xr3:uid="{34DC54C4-3571-A84B-847D-C84D35553797}" name="poster_path"/>
    <tableColumn id="29" xr3:uid="{CDF246F4-1547-624C-9174-5FAA9AB81E53}" name="release_month"/>
    <tableColumn id="30" xr3:uid="{1DF90367-5F88-E94D-8020-A4768F1EAC92}" name="release_year"/>
    <tableColumn id="31" xr3:uid="{CA466C80-348C-2B45-96DC-2233F18B36DF}" name="iso_week"/>
    <tableColumn id="32" xr3:uid="{4142B9D8-493E-8048-BB56-B2607BD1EB58}" name="title_clean"/>
    <tableColumn id="33" xr3:uid="{7F22D536-ECB5-4E46-8A45-6C5E63697CCD}" name="distance"/>
    <tableColumn id="34" xr3:uid="{7A984963-D16B-4F4D-8B0C-73B4E33BF63F}" name="strength"/>
    <tableColumn id="35" xr3:uid="{EA75CA6F-4B41-D548-A548-1A1D4EF8262F}" name="score" totalsRowFunction="sum"/>
    <tableColumn id="36" xr3:uid="{D958CDD0-D749-F248-A55E-01A2A2A5C22A}" name="marvel_movie"/>
    <tableColumn id="37" xr3:uid="{27B9FFEE-6FEF-6446-A288-85A6132BE253}" name="attributes"/>
    <tableColumn id="38" xr3:uid="{3178226F-DB75-ED42-8205-61F1AF1DA6E2}" name="blank"/>
    <tableColumn id="39" xr3:uid="{C4DA3FAF-B838-294D-BE8B-BAB4573F7A16}" name="internet"/>
    <tableColumn id="40" xr3:uid="{28120290-2B42-F24D-895F-088A3295F594}" name="total"/>
    <tableColumn id="41" xr3:uid="{D3FB9E26-70A2-F04C-8794-FBE6C8BB31FE}" name="internet_ratio"/>
    <tableColumn id="42" xr3:uid="{4D0C1B97-D3C7-2148-B8D7-8BF18228A014}" name="internet_dominance"/>
    <tableColumn id="43" xr3:uid="{29F1719D-5DC2-1446-BCB5-CEA25DFAAF2C}"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7AB43-565D-5F48-862E-628C6D944E22}">
  <dimension ref="A1:AQ50"/>
  <sheetViews>
    <sheetView tabSelected="1" topLeftCell="AF17" workbookViewId="0">
      <selection activeCell="AJ50" sqref="AJ50"/>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406563</v>
      </c>
      <c r="B2" t="s">
        <v>43</v>
      </c>
      <c r="C2">
        <v>6.3</v>
      </c>
      <c r="D2">
        <v>3044</v>
      </c>
      <c r="E2" t="s">
        <v>44</v>
      </c>
      <c r="F2" s="1">
        <v>43103</v>
      </c>
      <c r="G2">
        <v>172811971</v>
      </c>
      <c r="H2">
        <v>103</v>
      </c>
      <c r="I2">
        <v>10000000</v>
      </c>
      <c r="J2" t="s">
        <v>45</v>
      </c>
      <c r="K2" t="s">
        <v>46</v>
      </c>
      <c r="L2" t="s">
        <v>43</v>
      </c>
      <c r="M2" t="s">
        <v>47</v>
      </c>
      <c r="N2">
        <v>4.9650999999999996</v>
      </c>
      <c r="O2" t="s">
        <v>48</v>
      </c>
      <c r="P2" t="s">
        <v>49</v>
      </c>
      <c r="Q2" t="s">
        <v>50</v>
      </c>
      <c r="R2" t="s">
        <v>51</v>
      </c>
      <c r="S2" t="s">
        <v>52</v>
      </c>
      <c r="T2" t="s">
        <v>53</v>
      </c>
      <c r="U2" t="s">
        <v>54</v>
      </c>
      <c r="V2" t="s">
        <v>55</v>
      </c>
      <c r="W2" t="s">
        <v>56</v>
      </c>
      <c r="X2" t="s">
        <v>57</v>
      </c>
      <c r="Y2" t="s">
        <v>58</v>
      </c>
      <c r="Z2">
        <v>5.7</v>
      </c>
      <c r="AA2">
        <v>78443</v>
      </c>
      <c r="AB2" t="s">
        <v>59</v>
      </c>
      <c r="AC2">
        <v>1</v>
      </c>
      <c r="AD2">
        <v>2018</v>
      </c>
      <c r="AE2">
        <v>1</v>
      </c>
      <c r="AF2" t="s">
        <v>60</v>
      </c>
      <c r="AG2">
        <v>-41</v>
      </c>
      <c r="AH2">
        <v>18.967714694341701</v>
      </c>
      <c r="AI2">
        <v>0.45161225462718302</v>
      </c>
      <c r="AJ2" t="s">
        <v>61</v>
      </c>
      <c r="AK2" t="s">
        <v>62</v>
      </c>
      <c r="AL2">
        <v>49</v>
      </c>
      <c r="AM2">
        <v>2</v>
      </c>
      <c r="AN2">
        <v>55</v>
      </c>
      <c r="AO2">
        <v>0.04</v>
      </c>
      <c r="AP2" t="s">
        <v>63</v>
      </c>
      <c r="AQ2" t="s">
        <v>63</v>
      </c>
    </row>
    <row r="3" spans="1:43" x14ac:dyDescent="0.2">
      <c r="A3">
        <v>336843</v>
      </c>
      <c r="B3" t="s">
        <v>64</v>
      </c>
      <c r="C3">
        <v>7.1</v>
      </c>
      <c r="D3">
        <v>8152</v>
      </c>
      <c r="E3" t="s">
        <v>44</v>
      </c>
      <c r="F3" s="1">
        <v>43110</v>
      </c>
      <c r="G3">
        <v>288175335</v>
      </c>
      <c r="H3">
        <v>143</v>
      </c>
      <c r="I3">
        <v>62000000</v>
      </c>
      <c r="J3" t="s">
        <v>65</v>
      </c>
      <c r="K3" t="s">
        <v>46</v>
      </c>
      <c r="L3" t="s">
        <v>64</v>
      </c>
      <c r="M3" t="s">
        <v>66</v>
      </c>
      <c r="N3">
        <v>6.9485999999999999</v>
      </c>
      <c r="O3" t="s">
        <v>67</v>
      </c>
      <c r="P3" t="s">
        <v>68</v>
      </c>
      <c r="Q3" t="s">
        <v>69</v>
      </c>
      <c r="R3" t="s">
        <v>51</v>
      </c>
      <c r="S3" t="s">
        <v>52</v>
      </c>
      <c r="T3" t="s">
        <v>70</v>
      </c>
      <c r="U3" t="s">
        <v>71</v>
      </c>
      <c r="V3" t="s">
        <v>72</v>
      </c>
      <c r="W3" t="s">
        <v>73</v>
      </c>
      <c r="X3" t="s">
        <v>74</v>
      </c>
      <c r="Y3" t="s">
        <v>75</v>
      </c>
      <c r="Z3">
        <v>6.3</v>
      </c>
      <c r="AA3">
        <v>184220</v>
      </c>
      <c r="AB3" t="s">
        <v>76</v>
      </c>
      <c r="AC3">
        <v>1</v>
      </c>
      <c r="AD3">
        <v>2018</v>
      </c>
      <c r="AE3">
        <v>2</v>
      </c>
      <c r="AF3" t="s">
        <v>77</v>
      </c>
      <c r="AG3">
        <v>-34</v>
      </c>
      <c r="AH3">
        <v>19.4790796584088</v>
      </c>
      <c r="AI3">
        <v>0.55654513309739595</v>
      </c>
      <c r="AJ3" t="s">
        <v>61</v>
      </c>
      <c r="AK3" t="s">
        <v>78</v>
      </c>
      <c r="AL3">
        <v>72</v>
      </c>
      <c r="AM3">
        <v>1</v>
      </c>
      <c r="AN3">
        <v>74</v>
      </c>
      <c r="AO3">
        <v>0.01</v>
      </c>
      <c r="AP3" t="s">
        <v>63</v>
      </c>
      <c r="AQ3" t="s">
        <v>63</v>
      </c>
    </row>
    <row r="4" spans="1:43" x14ac:dyDescent="0.2">
      <c r="A4">
        <v>399035</v>
      </c>
      <c r="B4" t="s">
        <v>79</v>
      </c>
      <c r="C4">
        <v>6.4</v>
      </c>
      <c r="D4">
        <v>4507</v>
      </c>
      <c r="E4" t="s">
        <v>44</v>
      </c>
      <c r="F4" s="1">
        <v>43111</v>
      </c>
      <c r="G4">
        <v>119942387</v>
      </c>
      <c r="H4">
        <v>104</v>
      </c>
      <c r="I4">
        <v>30000000</v>
      </c>
      <c r="J4" t="s">
        <v>80</v>
      </c>
      <c r="K4" t="s">
        <v>46</v>
      </c>
      <c r="L4" t="s">
        <v>79</v>
      </c>
      <c r="M4" t="s">
        <v>81</v>
      </c>
      <c r="N4">
        <v>4.17</v>
      </c>
      <c r="O4" t="s">
        <v>82</v>
      </c>
      <c r="P4" t="s">
        <v>83</v>
      </c>
      <c r="Q4" t="s">
        <v>84</v>
      </c>
      <c r="R4" t="s">
        <v>85</v>
      </c>
      <c r="S4" t="s">
        <v>52</v>
      </c>
      <c r="T4" t="s">
        <v>86</v>
      </c>
      <c r="U4" t="s">
        <v>87</v>
      </c>
      <c r="V4" t="s">
        <v>88</v>
      </c>
      <c r="W4" t="s">
        <v>89</v>
      </c>
      <c r="X4" t="s">
        <v>90</v>
      </c>
      <c r="Y4" t="s">
        <v>91</v>
      </c>
      <c r="Z4">
        <v>6.3</v>
      </c>
      <c r="AA4">
        <v>132173</v>
      </c>
      <c r="AB4" t="s">
        <v>92</v>
      </c>
      <c r="AC4">
        <v>1</v>
      </c>
      <c r="AD4">
        <v>2018</v>
      </c>
      <c r="AE4">
        <v>2</v>
      </c>
      <c r="AF4" t="s">
        <v>93</v>
      </c>
      <c r="AG4">
        <v>-33</v>
      </c>
      <c r="AH4">
        <v>18.602522085461398</v>
      </c>
      <c r="AI4">
        <v>0.547133002513571</v>
      </c>
      <c r="AJ4" t="s">
        <v>61</v>
      </c>
      <c r="AK4" t="s">
        <v>94</v>
      </c>
      <c r="AL4">
        <v>57</v>
      </c>
      <c r="AM4">
        <v>0</v>
      </c>
      <c r="AN4">
        <v>59</v>
      </c>
      <c r="AO4">
        <v>0</v>
      </c>
      <c r="AP4" t="s">
        <v>63</v>
      </c>
      <c r="AQ4" t="s">
        <v>63</v>
      </c>
    </row>
    <row r="5" spans="1:43" x14ac:dyDescent="0.2">
      <c r="A5">
        <v>442064</v>
      </c>
      <c r="B5" t="s">
        <v>95</v>
      </c>
      <c r="C5">
        <v>5.5039999999999996</v>
      </c>
      <c r="D5">
        <v>511</v>
      </c>
      <c r="E5" t="s">
        <v>44</v>
      </c>
      <c r="F5" s="1">
        <v>43112</v>
      </c>
      <c r="G5">
        <v>21753365</v>
      </c>
      <c r="H5">
        <v>88</v>
      </c>
      <c r="I5">
        <v>14000000</v>
      </c>
      <c r="J5" t="s">
        <v>96</v>
      </c>
      <c r="K5" t="s">
        <v>46</v>
      </c>
      <c r="L5" t="s">
        <v>95</v>
      </c>
      <c r="M5" t="s">
        <v>97</v>
      </c>
      <c r="N5">
        <v>2.8969</v>
      </c>
      <c r="O5" t="s">
        <v>98</v>
      </c>
      <c r="P5" t="s">
        <v>99</v>
      </c>
      <c r="Q5" t="s">
        <v>100</v>
      </c>
      <c r="R5" t="s">
        <v>51</v>
      </c>
      <c r="S5" t="s">
        <v>52</v>
      </c>
      <c r="T5" t="s">
        <v>101</v>
      </c>
      <c r="U5" t="s">
        <v>102</v>
      </c>
      <c r="V5" t="s">
        <v>103</v>
      </c>
      <c r="W5" t="s">
        <v>104</v>
      </c>
      <c r="X5" t="s">
        <v>105</v>
      </c>
      <c r="Y5" t="s">
        <v>106</v>
      </c>
      <c r="Z5">
        <v>5.0999999999999996</v>
      </c>
      <c r="AA5">
        <v>11386</v>
      </c>
      <c r="AB5" t="s">
        <v>107</v>
      </c>
      <c r="AC5">
        <v>1</v>
      </c>
      <c r="AD5">
        <v>2018</v>
      </c>
      <c r="AE5">
        <v>2</v>
      </c>
      <c r="AF5" t="s">
        <v>108</v>
      </c>
      <c r="AG5">
        <v>-32</v>
      </c>
      <c r="AH5">
        <v>16.895279062145701</v>
      </c>
      <c r="AI5">
        <v>0.51197815339835595</v>
      </c>
      <c r="AJ5" t="s">
        <v>61</v>
      </c>
      <c r="AK5" t="s">
        <v>109</v>
      </c>
      <c r="AL5">
        <v>12</v>
      </c>
      <c r="AM5">
        <v>6</v>
      </c>
      <c r="AN5">
        <v>25</v>
      </c>
      <c r="AO5">
        <v>0.24</v>
      </c>
      <c r="AP5" t="s">
        <v>63</v>
      </c>
      <c r="AQ5" t="s">
        <v>63</v>
      </c>
    </row>
    <row r="6" spans="1:43" hidden="1" x14ac:dyDescent="0.2">
      <c r="A6">
        <v>471474</v>
      </c>
      <c r="B6" t="s">
        <v>110</v>
      </c>
      <c r="C6">
        <v>6.7</v>
      </c>
      <c r="D6">
        <v>730</v>
      </c>
      <c r="E6" t="s">
        <v>44</v>
      </c>
      <c r="F6" s="1">
        <v>43112</v>
      </c>
      <c r="G6">
        <v>3469151</v>
      </c>
      <c r="H6">
        <v>78</v>
      </c>
      <c r="I6">
        <v>1000000</v>
      </c>
      <c r="J6" t="s">
        <v>111</v>
      </c>
      <c r="K6" t="s">
        <v>46</v>
      </c>
      <c r="L6" t="s">
        <v>110</v>
      </c>
      <c r="M6" t="s">
        <v>112</v>
      </c>
      <c r="N6">
        <v>2.0706000000000002</v>
      </c>
      <c r="O6" t="s">
        <v>113</v>
      </c>
      <c r="P6" t="s">
        <v>114</v>
      </c>
      <c r="Q6" t="s">
        <v>115</v>
      </c>
      <c r="R6" t="s">
        <v>51</v>
      </c>
      <c r="S6" t="s">
        <v>52</v>
      </c>
      <c r="T6" t="s">
        <v>116</v>
      </c>
      <c r="U6" t="s">
        <v>117</v>
      </c>
      <c r="W6" t="s">
        <v>118</v>
      </c>
      <c r="X6" t="s">
        <v>119</v>
      </c>
      <c r="Y6" t="s">
        <v>120</v>
      </c>
      <c r="Z6">
        <v>6.7</v>
      </c>
      <c r="AA6">
        <v>20276</v>
      </c>
      <c r="AB6" t="s">
        <v>121</v>
      </c>
      <c r="AC6">
        <v>1</v>
      </c>
      <c r="AD6">
        <v>2018</v>
      </c>
      <c r="AE6">
        <v>2</v>
      </c>
      <c r="AF6" t="s">
        <v>122</v>
      </c>
      <c r="AG6">
        <v>-32</v>
      </c>
      <c r="AH6">
        <v>15.059420741653801</v>
      </c>
      <c r="AI6">
        <v>0.45634608308041902</v>
      </c>
      <c r="AJ6" t="s">
        <v>61</v>
      </c>
      <c r="AK6" t="s">
        <v>123</v>
      </c>
      <c r="AL6">
        <v>0</v>
      </c>
      <c r="AM6">
        <v>1</v>
      </c>
      <c r="AN6">
        <v>10</v>
      </c>
      <c r="AO6">
        <v>0.1</v>
      </c>
      <c r="AP6" t="s">
        <v>124</v>
      </c>
      <c r="AQ6" t="s">
        <v>63</v>
      </c>
    </row>
    <row r="7" spans="1:43" x14ac:dyDescent="0.2">
      <c r="A7">
        <v>337167</v>
      </c>
      <c r="B7" t="s">
        <v>125</v>
      </c>
      <c r="C7">
        <v>6.6829999999999998</v>
      </c>
      <c r="D7">
        <v>8223</v>
      </c>
      <c r="E7" t="s">
        <v>44</v>
      </c>
      <c r="F7" s="1">
        <v>43117</v>
      </c>
      <c r="G7">
        <v>371985018</v>
      </c>
      <c r="H7">
        <v>105</v>
      </c>
      <c r="I7">
        <v>55000000</v>
      </c>
      <c r="J7" t="s">
        <v>126</v>
      </c>
      <c r="K7" t="s">
        <v>46</v>
      </c>
      <c r="L7" t="s">
        <v>125</v>
      </c>
      <c r="M7" t="s">
        <v>127</v>
      </c>
      <c r="N7">
        <v>12.2393</v>
      </c>
      <c r="O7" t="s">
        <v>128</v>
      </c>
      <c r="P7" t="s">
        <v>129</v>
      </c>
      <c r="Q7" t="s">
        <v>130</v>
      </c>
      <c r="R7" t="s">
        <v>51</v>
      </c>
      <c r="S7" t="s">
        <v>52</v>
      </c>
      <c r="T7" t="s">
        <v>131</v>
      </c>
      <c r="U7" t="s">
        <v>132</v>
      </c>
      <c r="V7" t="s">
        <v>133</v>
      </c>
      <c r="W7" t="s">
        <v>134</v>
      </c>
      <c r="X7" t="s">
        <v>135</v>
      </c>
      <c r="Y7" t="s">
        <v>136</v>
      </c>
      <c r="Z7">
        <v>4.5999999999999996</v>
      </c>
      <c r="AA7">
        <v>81147</v>
      </c>
      <c r="AB7" t="s">
        <v>137</v>
      </c>
      <c r="AC7">
        <v>1</v>
      </c>
      <c r="AD7">
        <v>2018</v>
      </c>
      <c r="AE7">
        <v>3</v>
      </c>
      <c r="AF7" t="s">
        <v>138</v>
      </c>
      <c r="AG7">
        <v>-27</v>
      </c>
      <c r="AH7">
        <v>19.734364139921102</v>
      </c>
      <c r="AI7">
        <v>0.70479871928289695</v>
      </c>
      <c r="AJ7" t="s">
        <v>61</v>
      </c>
      <c r="AK7" t="s">
        <v>139</v>
      </c>
      <c r="AL7">
        <v>53</v>
      </c>
      <c r="AM7">
        <v>3</v>
      </c>
      <c r="AN7">
        <v>60</v>
      </c>
      <c r="AO7">
        <v>0.05</v>
      </c>
      <c r="AP7" t="s">
        <v>63</v>
      </c>
      <c r="AQ7" t="s">
        <v>63</v>
      </c>
    </row>
    <row r="8" spans="1:43" x14ac:dyDescent="0.2">
      <c r="A8">
        <v>432165</v>
      </c>
      <c r="B8" t="s">
        <v>140</v>
      </c>
      <c r="C8">
        <v>6.5</v>
      </c>
      <c r="D8">
        <v>79</v>
      </c>
      <c r="E8" t="s">
        <v>44</v>
      </c>
      <c r="F8" s="1">
        <v>43117</v>
      </c>
      <c r="G8">
        <v>18598</v>
      </c>
      <c r="H8">
        <v>110</v>
      </c>
      <c r="I8">
        <v>2400000</v>
      </c>
      <c r="J8" t="s">
        <v>141</v>
      </c>
      <c r="K8" t="s">
        <v>142</v>
      </c>
      <c r="L8" t="s">
        <v>143</v>
      </c>
      <c r="M8" t="s">
        <v>144</v>
      </c>
      <c r="N8">
        <v>2.5710000000000002</v>
      </c>
      <c r="O8" t="s">
        <v>145</v>
      </c>
      <c r="P8" t="s">
        <v>146</v>
      </c>
      <c r="Q8" t="s">
        <v>147</v>
      </c>
      <c r="R8" t="s">
        <v>148</v>
      </c>
      <c r="S8" t="s">
        <v>52</v>
      </c>
      <c r="T8" t="s">
        <v>149</v>
      </c>
      <c r="U8" t="s">
        <v>150</v>
      </c>
      <c r="V8" t="s">
        <v>151</v>
      </c>
      <c r="W8" t="s">
        <v>152</v>
      </c>
      <c r="X8" t="s">
        <v>153</v>
      </c>
      <c r="Y8" t="s">
        <v>154</v>
      </c>
      <c r="Z8">
        <v>6</v>
      </c>
      <c r="AA8">
        <v>2654</v>
      </c>
      <c r="AB8" t="s">
        <v>155</v>
      </c>
      <c r="AC8">
        <v>1</v>
      </c>
      <c r="AD8">
        <v>2018</v>
      </c>
      <c r="AE8">
        <v>3</v>
      </c>
      <c r="AF8" t="s">
        <v>156</v>
      </c>
      <c r="AG8">
        <v>-27</v>
      </c>
      <c r="AH8">
        <v>9.8308630948151201</v>
      </c>
      <c r="AI8">
        <v>0.351102253386254</v>
      </c>
      <c r="AJ8" t="s">
        <v>61</v>
      </c>
      <c r="AK8" t="s">
        <v>157</v>
      </c>
      <c r="AL8">
        <v>4</v>
      </c>
      <c r="AM8">
        <v>1</v>
      </c>
      <c r="AN8">
        <v>10</v>
      </c>
      <c r="AO8">
        <v>0.1</v>
      </c>
      <c r="AP8" t="s">
        <v>63</v>
      </c>
      <c r="AQ8" t="s">
        <v>63</v>
      </c>
    </row>
    <row r="9" spans="1:43" x14ac:dyDescent="0.2">
      <c r="A9">
        <v>429351</v>
      </c>
      <c r="B9" t="s">
        <v>158</v>
      </c>
      <c r="C9">
        <v>6.3</v>
      </c>
      <c r="D9">
        <v>3093</v>
      </c>
      <c r="E9" t="s">
        <v>44</v>
      </c>
      <c r="F9" s="1">
        <v>43118</v>
      </c>
      <c r="G9">
        <v>67450815</v>
      </c>
      <c r="H9">
        <v>130</v>
      </c>
      <c r="I9">
        <v>35000000</v>
      </c>
      <c r="J9" t="s">
        <v>159</v>
      </c>
      <c r="K9" t="s">
        <v>46</v>
      </c>
      <c r="L9" t="s">
        <v>158</v>
      </c>
      <c r="M9" t="s">
        <v>160</v>
      </c>
      <c r="N9">
        <v>16.849399999999999</v>
      </c>
      <c r="O9" t="s">
        <v>161</v>
      </c>
      <c r="P9" t="s">
        <v>162</v>
      </c>
      <c r="Q9" t="s">
        <v>163</v>
      </c>
      <c r="R9" t="s">
        <v>51</v>
      </c>
      <c r="S9" t="s">
        <v>52</v>
      </c>
      <c r="T9" t="s">
        <v>164</v>
      </c>
      <c r="U9" t="s">
        <v>165</v>
      </c>
      <c r="V9" t="s">
        <v>166</v>
      </c>
      <c r="W9" t="s">
        <v>167</v>
      </c>
      <c r="X9" t="s">
        <v>168</v>
      </c>
      <c r="Y9" t="s">
        <v>169</v>
      </c>
      <c r="Z9">
        <v>6.5</v>
      </c>
      <c r="AA9">
        <v>99034</v>
      </c>
      <c r="AB9" t="s">
        <v>170</v>
      </c>
      <c r="AC9">
        <v>1</v>
      </c>
      <c r="AD9">
        <v>2018</v>
      </c>
      <c r="AE9">
        <v>3</v>
      </c>
      <c r="AF9" t="s">
        <v>171</v>
      </c>
      <c r="AG9">
        <v>-26</v>
      </c>
      <c r="AH9">
        <v>18.026909238395099</v>
      </c>
      <c r="AI9">
        <v>0.66766330512574501</v>
      </c>
      <c r="AJ9" t="s">
        <v>61</v>
      </c>
      <c r="AK9" t="s">
        <v>172</v>
      </c>
      <c r="AL9">
        <v>50</v>
      </c>
      <c r="AM9">
        <v>0</v>
      </c>
      <c r="AN9">
        <v>57</v>
      </c>
      <c r="AO9">
        <v>0</v>
      </c>
      <c r="AP9" t="s">
        <v>63</v>
      </c>
      <c r="AQ9" t="s">
        <v>63</v>
      </c>
    </row>
    <row r="10" spans="1:43" x14ac:dyDescent="0.2">
      <c r="A10">
        <v>449443</v>
      </c>
      <c r="B10" t="s">
        <v>173</v>
      </c>
      <c r="C10">
        <v>6.9</v>
      </c>
      <c r="D10">
        <v>3238</v>
      </c>
      <c r="E10" t="s">
        <v>44</v>
      </c>
      <c r="F10" s="1">
        <v>43118</v>
      </c>
      <c r="G10">
        <v>80509622</v>
      </c>
      <c r="H10">
        <v>140</v>
      </c>
      <c r="I10">
        <v>30000000</v>
      </c>
      <c r="J10" t="s">
        <v>174</v>
      </c>
      <c r="K10" t="s">
        <v>46</v>
      </c>
      <c r="L10" t="s">
        <v>173</v>
      </c>
      <c r="M10" t="s">
        <v>175</v>
      </c>
      <c r="N10">
        <v>5.2220000000000004</v>
      </c>
      <c r="O10" t="s">
        <v>176</v>
      </c>
      <c r="P10" t="s">
        <v>177</v>
      </c>
      <c r="Q10" t="s">
        <v>178</v>
      </c>
      <c r="R10" t="s">
        <v>51</v>
      </c>
      <c r="S10" t="s">
        <v>52</v>
      </c>
      <c r="T10" t="s">
        <v>179</v>
      </c>
      <c r="U10" t="s">
        <v>180</v>
      </c>
      <c r="V10" t="s">
        <v>181</v>
      </c>
      <c r="W10" t="s">
        <v>182</v>
      </c>
      <c r="X10" t="s">
        <v>183</v>
      </c>
      <c r="Y10" t="s">
        <v>184</v>
      </c>
      <c r="Z10">
        <v>7</v>
      </c>
      <c r="AA10">
        <v>149533</v>
      </c>
      <c r="AB10" t="s">
        <v>185</v>
      </c>
      <c r="AC10">
        <v>1</v>
      </c>
      <c r="AD10">
        <v>2018</v>
      </c>
      <c r="AE10">
        <v>3</v>
      </c>
      <c r="AF10" t="s">
        <v>186</v>
      </c>
      <c r="AG10">
        <v>-26</v>
      </c>
      <c r="AH10">
        <v>18.203887275616999</v>
      </c>
      <c r="AI10">
        <v>0.67421804724507695</v>
      </c>
      <c r="AJ10" t="s">
        <v>61</v>
      </c>
      <c r="AK10" t="s">
        <v>187</v>
      </c>
      <c r="AL10">
        <v>50</v>
      </c>
      <c r="AM10">
        <v>2</v>
      </c>
      <c r="AN10">
        <v>61</v>
      </c>
      <c r="AO10">
        <v>0.03</v>
      </c>
      <c r="AP10" t="s">
        <v>63</v>
      </c>
      <c r="AQ10" t="s">
        <v>63</v>
      </c>
    </row>
    <row r="11" spans="1:43" x14ac:dyDescent="0.2">
      <c r="A11">
        <v>454545</v>
      </c>
      <c r="B11" t="s">
        <v>188</v>
      </c>
      <c r="C11">
        <v>5.2</v>
      </c>
      <c r="D11">
        <v>45</v>
      </c>
      <c r="E11" t="s">
        <v>44</v>
      </c>
      <c r="F11" s="1">
        <v>43118</v>
      </c>
      <c r="G11">
        <v>8400000</v>
      </c>
      <c r="H11">
        <v>90</v>
      </c>
      <c r="I11">
        <v>7600000</v>
      </c>
      <c r="J11" t="s">
        <v>189</v>
      </c>
      <c r="K11" t="s">
        <v>190</v>
      </c>
      <c r="L11" t="s">
        <v>191</v>
      </c>
      <c r="M11" t="s">
        <v>192</v>
      </c>
      <c r="N11">
        <v>1.7343999999999999</v>
      </c>
      <c r="O11" t="s">
        <v>193</v>
      </c>
      <c r="P11" t="s">
        <v>194</v>
      </c>
      <c r="Q11" t="s">
        <v>195</v>
      </c>
      <c r="R11" t="s">
        <v>196</v>
      </c>
      <c r="S11" t="s">
        <v>197</v>
      </c>
      <c r="T11" t="s">
        <v>198</v>
      </c>
      <c r="U11" t="s">
        <v>199</v>
      </c>
      <c r="V11" t="s">
        <v>200</v>
      </c>
      <c r="W11" t="s">
        <v>201</v>
      </c>
      <c r="X11" t="s">
        <v>202</v>
      </c>
      <c r="Y11" t="s">
        <v>203</v>
      </c>
      <c r="Z11">
        <v>5</v>
      </c>
      <c r="AA11">
        <v>488</v>
      </c>
      <c r="AB11" t="s">
        <v>204</v>
      </c>
      <c r="AC11">
        <v>1</v>
      </c>
      <c r="AD11">
        <v>2018</v>
      </c>
      <c r="AE11">
        <v>3</v>
      </c>
      <c r="AF11" t="s">
        <v>205</v>
      </c>
      <c r="AG11">
        <v>-26</v>
      </c>
      <c r="AH11">
        <v>15.9437423828611</v>
      </c>
      <c r="AI11">
        <v>0.59050897714300499</v>
      </c>
      <c r="AJ11" t="s">
        <v>61</v>
      </c>
      <c r="AK11" t="s">
        <v>206</v>
      </c>
      <c r="AL11">
        <v>8</v>
      </c>
      <c r="AM11">
        <v>0</v>
      </c>
      <c r="AN11">
        <v>10</v>
      </c>
      <c r="AO11">
        <v>0</v>
      </c>
      <c r="AP11" t="s">
        <v>63</v>
      </c>
      <c r="AQ11" t="s">
        <v>63</v>
      </c>
    </row>
    <row r="12" spans="1:43" x14ac:dyDescent="0.2">
      <c r="A12">
        <v>391714</v>
      </c>
      <c r="B12" t="s">
        <v>207</v>
      </c>
      <c r="C12">
        <v>6.2</v>
      </c>
      <c r="D12">
        <v>373</v>
      </c>
      <c r="E12" t="s">
        <v>44</v>
      </c>
      <c r="F12" s="1">
        <v>43119</v>
      </c>
      <c r="G12">
        <v>3335913</v>
      </c>
      <c r="H12">
        <v>110</v>
      </c>
      <c r="I12">
        <v>745971</v>
      </c>
      <c r="J12" t="s">
        <v>208</v>
      </c>
      <c r="K12" t="s">
        <v>46</v>
      </c>
      <c r="L12" t="s">
        <v>207</v>
      </c>
      <c r="M12" t="s">
        <v>209</v>
      </c>
      <c r="N12">
        <v>2.9336000000000002</v>
      </c>
      <c r="O12" t="s">
        <v>210</v>
      </c>
      <c r="P12" t="s">
        <v>129</v>
      </c>
      <c r="Q12" t="s">
        <v>211</v>
      </c>
      <c r="R12" t="s">
        <v>212</v>
      </c>
      <c r="S12" t="s">
        <v>52</v>
      </c>
      <c r="T12" t="s">
        <v>213</v>
      </c>
      <c r="U12" t="s">
        <v>214</v>
      </c>
      <c r="V12" t="s">
        <v>215</v>
      </c>
      <c r="W12" t="s">
        <v>216</v>
      </c>
      <c r="X12" t="s">
        <v>217</v>
      </c>
      <c r="Y12" t="s">
        <v>218</v>
      </c>
      <c r="Z12">
        <v>6.3</v>
      </c>
      <c r="AA12">
        <v>13347</v>
      </c>
      <c r="AB12" t="s">
        <v>219</v>
      </c>
      <c r="AC12">
        <v>1</v>
      </c>
      <c r="AD12">
        <v>2018</v>
      </c>
      <c r="AE12">
        <v>3</v>
      </c>
      <c r="AF12" t="s">
        <v>220</v>
      </c>
      <c r="AG12">
        <v>-25</v>
      </c>
      <c r="AH12">
        <v>15.020257262751899</v>
      </c>
      <c r="AI12">
        <v>0.57770220241353698</v>
      </c>
      <c r="AJ12" t="s">
        <v>61</v>
      </c>
      <c r="AK12" t="s">
        <v>221</v>
      </c>
      <c r="AL12">
        <v>27</v>
      </c>
      <c r="AM12">
        <v>1</v>
      </c>
      <c r="AN12">
        <v>45</v>
      </c>
      <c r="AO12">
        <v>0.02</v>
      </c>
      <c r="AP12" t="s">
        <v>63</v>
      </c>
      <c r="AQ12" t="s">
        <v>63</v>
      </c>
    </row>
    <row r="13" spans="1:43" x14ac:dyDescent="0.2">
      <c r="A13">
        <v>489925</v>
      </c>
      <c r="B13" t="s">
        <v>222</v>
      </c>
      <c r="C13">
        <v>7.1619999999999999</v>
      </c>
      <c r="D13">
        <v>1576</v>
      </c>
      <c r="E13" t="s">
        <v>44</v>
      </c>
      <c r="F13" s="1">
        <v>43119</v>
      </c>
      <c r="G13">
        <v>13539709</v>
      </c>
      <c r="H13">
        <v>94</v>
      </c>
      <c r="I13">
        <v>2000000</v>
      </c>
      <c r="J13" t="s">
        <v>223</v>
      </c>
      <c r="K13" t="s">
        <v>46</v>
      </c>
      <c r="L13" t="s">
        <v>222</v>
      </c>
      <c r="M13" t="s">
        <v>224</v>
      </c>
      <c r="N13">
        <v>2.4914000000000001</v>
      </c>
      <c r="O13" t="s">
        <v>225</v>
      </c>
      <c r="P13" t="s">
        <v>226</v>
      </c>
      <c r="Q13" t="s">
        <v>227</v>
      </c>
      <c r="R13" t="s">
        <v>51</v>
      </c>
      <c r="S13" t="s">
        <v>52</v>
      </c>
      <c r="T13" t="s">
        <v>228</v>
      </c>
      <c r="U13" t="s">
        <v>229</v>
      </c>
      <c r="V13" t="s">
        <v>230</v>
      </c>
      <c r="W13" t="s">
        <v>229</v>
      </c>
      <c r="X13" t="s">
        <v>231</v>
      </c>
      <c r="Y13" t="s">
        <v>232</v>
      </c>
      <c r="Z13">
        <v>7.3</v>
      </c>
      <c r="AA13">
        <v>85820</v>
      </c>
      <c r="AB13" t="s">
        <v>233</v>
      </c>
      <c r="AC13">
        <v>1</v>
      </c>
      <c r="AD13">
        <v>2018</v>
      </c>
      <c r="AE13">
        <v>3</v>
      </c>
      <c r="AF13" t="s">
        <v>234</v>
      </c>
      <c r="AG13">
        <v>-25</v>
      </c>
      <c r="AH13">
        <v>16.421137407198302</v>
      </c>
      <c r="AI13">
        <v>0.63158220796916698</v>
      </c>
      <c r="AJ13" t="s">
        <v>61</v>
      </c>
      <c r="AK13" t="s">
        <v>235</v>
      </c>
      <c r="AL13">
        <v>10</v>
      </c>
      <c r="AM13">
        <v>7</v>
      </c>
      <c r="AN13">
        <v>44</v>
      </c>
      <c r="AO13">
        <v>0.16</v>
      </c>
      <c r="AP13" t="s">
        <v>63</v>
      </c>
      <c r="AQ13" t="s">
        <v>63</v>
      </c>
    </row>
    <row r="14" spans="1:43" hidden="1" x14ac:dyDescent="0.2">
      <c r="A14">
        <v>420634</v>
      </c>
      <c r="B14" t="s">
        <v>236</v>
      </c>
      <c r="C14">
        <v>6.33</v>
      </c>
      <c r="D14">
        <v>2817</v>
      </c>
      <c r="E14" t="s">
        <v>44</v>
      </c>
      <c r="F14" s="1">
        <v>43125</v>
      </c>
      <c r="G14">
        <v>421798</v>
      </c>
      <c r="H14">
        <v>84</v>
      </c>
      <c r="I14">
        <v>35000</v>
      </c>
      <c r="J14" t="s">
        <v>237</v>
      </c>
      <c r="K14" t="s">
        <v>46</v>
      </c>
      <c r="L14" t="s">
        <v>236</v>
      </c>
      <c r="M14" t="s">
        <v>238</v>
      </c>
      <c r="N14">
        <v>10.66</v>
      </c>
      <c r="O14" t="s">
        <v>239</v>
      </c>
      <c r="P14" t="s">
        <v>49</v>
      </c>
      <c r="Q14" t="s">
        <v>240</v>
      </c>
      <c r="R14" t="s">
        <v>51</v>
      </c>
      <c r="S14" t="s">
        <v>52</v>
      </c>
      <c r="T14" t="s">
        <v>241</v>
      </c>
      <c r="U14" t="s">
        <v>242</v>
      </c>
      <c r="V14" t="s">
        <v>243</v>
      </c>
      <c r="W14" t="s">
        <v>242</v>
      </c>
      <c r="X14" t="s">
        <v>244</v>
      </c>
      <c r="Y14" t="s">
        <v>245</v>
      </c>
      <c r="Z14">
        <v>5.5</v>
      </c>
      <c r="AA14">
        <v>91025</v>
      </c>
      <c r="AB14" t="s">
        <v>246</v>
      </c>
      <c r="AC14">
        <v>1</v>
      </c>
      <c r="AD14">
        <v>2018</v>
      </c>
      <c r="AE14">
        <v>4</v>
      </c>
      <c r="AF14" t="s">
        <v>247</v>
      </c>
      <c r="AG14">
        <v>-19</v>
      </c>
      <c r="AH14">
        <v>12.9522841762321</v>
      </c>
      <c r="AI14">
        <v>0.64761420881160703</v>
      </c>
      <c r="AJ14" t="s">
        <v>61</v>
      </c>
      <c r="AK14" t="s">
        <v>248</v>
      </c>
      <c r="AL14">
        <v>6</v>
      </c>
      <c r="AM14">
        <v>12</v>
      </c>
      <c r="AN14">
        <v>36</v>
      </c>
      <c r="AO14">
        <v>0.33</v>
      </c>
      <c r="AP14" t="s">
        <v>124</v>
      </c>
      <c r="AQ14" t="s">
        <v>63</v>
      </c>
    </row>
    <row r="15" spans="1:43" x14ac:dyDescent="0.2">
      <c r="A15">
        <v>432527</v>
      </c>
      <c r="B15" t="s">
        <v>249</v>
      </c>
      <c r="C15">
        <v>6.9</v>
      </c>
      <c r="D15">
        <v>288</v>
      </c>
      <c r="E15" t="s">
        <v>44</v>
      </c>
      <c r="F15" s="1">
        <v>43125</v>
      </c>
      <c r="G15">
        <v>81673897</v>
      </c>
      <c r="H15">
        <v>163</v>
      </c>
      <c r="I15">
        <v>31000000</v>
      </c>
      <c r="J15" t="s">
        <v>250</v>
      </c>
      <c r="K15" t="s">
        <v>251</v>
      </c>
      <c r="L15" t="s">
        <v>252</v>
      </c>
      <c r="M15" t="s">
        <v>253</v>
      </c>
      <c r="N15">
        <v>3.7818000000000001</v>
      </c>
      <c r="O15" t="s">
        <v>254</v>
      </c>
      <c r="P15" t="s">
        <v>255</v>
      </c>
      <c r="Q15" t="s">
        <v>256</v>
      </c>
      <c r="R15" t="s">
        <v>257</v>
      </c>
      <c r="S15" t="s">
        <v>258</v>
      </c>
      <c r="T15" t="s">
        <v>259</v>
      </c>
      <c r="U15" t="s">
        <v>260</v>
      </c>
      <c r="V15" t="s">
        <v>261</v>
      </c>
      <c r="W15" t="s">
        <v>262</v>
      </c>
      <c r="X15" t="s">
        <v>263</v>
      </c>
      <c r="Y15" t="s">
        <v>264</v>
      </c>
      <c r="Z15">
        <v>7.1</v>
      </c>
      <c r="AA15">
        <v>39781</v>
      </c>
      <c r="AB15" t="s">
        <v>265</v>
      </c>
      <c r="AC15">
        <v>1</v>
      </c>
      <c r="AD15">
        <v>2018</v>
      </c>
      <c r="AE15">
        <v>4</v>
      </c>
      <c r="AF15" t="s">
        <v>266</v>
      </c>
      <c r="AG15">
        <v>-19</v>
      </c>
      <c r="AH15">
        <v>18.218245022859598</v>
      </c>
      <c r="AI15">
        <v>0.91091225114298102</v>
      </c>
      <c r="AJ15" t="s">
        <v>61</v>
      </c>
      <c r="AK15" t="s">
        <v>267</v>
      </c>
      <c r="AL15">
        <v>16</v>
      </c>
      <c r="AM15">
        <v>0</v>
      </c>
      <c r="AN15">
        <v>23</v>
      </c>
      <c r="AO15">
        <v>0</v>
      </c>
      <c r="AP15" t="s">
        <v>63</v>
      </c>
      <c r="AQ15" t="s">
        <v>63</v>
      </c>
    </row>
    <row r="16" spans="1:43" x14ac:dyDescent="0.2">
      <c r="A16">
        <v>387592</v>
      </c>
      <c r="B16" t="s">
        <v>268</v>
      </c>
      <c r="C16">
        <v>6.1</v>
      </c>
      <c r="D16">
        <v>838</v>
      </c>
      <c r="E16" t="s">
        <v>44</v>
      </c>
      <c r="F16" s="1">
        <v>43126</v>
      </c>
      <c r="G16">
        <v>53431158</v>
      </c>
      <c r="H16">
        <v>89</v>
      </c>
      <c r="I16">
        <v>50000000</v>
      </c>
      <c r="J16" t="s">
        <v>269</v>
      </c>
      <c r="K16" t="s">
        <v>46</v>
      </c>
      <c r="L16" t="s">
        <v>268</v>
      </c>
      <c r="M16" t="s">
        <v>270</v>
      </c>
      <c r="N16">
        <v>5.6349</v>
      </c>
      <c r="O16" t="s">
        <v>271</v>
      </c>
      <c r="P16" t="s">
        <v>272</v>
      </c>
      <c r="Q16" t="s">
        <v>273</v>
      </c>
      <c r="R16" t="s">
        <v>274</v>
      </c>
      <c r="S16" t="s">
        <v>52</v>
      </c>
      <c r="T16" t="s">
        <v>275</v>
      </c>
      <c r="U16" t="s">
        <v>276</v>
      </c>
      <c r="V16" t="s">
        <v>277</v>
      </c>
      <c r="W16" t="s">
        <v>278</v>
      </c>
      <c r="X16" t="s">
        <v>279</v>
      </c>
      <c r="Y16" t="s">
        <v>280</v>
      </c>
      <c r="Z16">
        <v>6.1</v>
      </c>
      <c r="AA16">
        <v>25062</v>
      </c>
      <c r="AB16" t="s">
        <v>281</v>
      </c>
      <c r="AC16">
        <v>1</v>
      </c>
      <c r="AD16">
        <v>2018</v>
      </c>
      <c r="AE16">
        <v>4</v>
      </c>
      <c r="AF16" t="s">
        <v>282</v>
      </c>
      <c r="AG16">
        <v>-18</v>
      </c>
      <c r="AH16">
        <v>17.793904635632</v>
      </c>
      <c r="AI16">
        <v>0.93652129661221295</v>
      </c>
      <c r="AJ16" t="s">
        <v>61</v>
      </c>
      <c r="AK16" t="s">
        <v>283</v>
      </c>
      <c r="AL16">
        <v>50</v>
      </c>
      <c r="AM16">
        <v>0</v>
      </c>
      <c r="AN16">
        <v>53</v>
      </c>
      <c r="AO16">
        <v>0</v>
      </c>
      <c r="AP16" t="s">
        <v>63</v>
      </c>
      <c r="AQ16" t="s">
        <v>63</v>
      </c>
    </row>
    <row r="17" spans="1:43" x14ac:dyDescent="0.2">
      <c r="A17">
        <v>417261</v>
      </c>
      <c r="B17" t="s">
        <v>284</v>
      </c>
      <c r="C17">
        <v>7.6</v>
      </c>
      <c r="D17">
        <v>1308</v>
      </c>
      <c r="E17" t="s">
        <v>44</v>
      </c>
      <c r="F17" s="1">
        <v>43126</v>
      </c>
      <c r="G17">
        <v>16367326</v>
      </c>
      <c r="H17">
        <v>104</v>
      </c>
      <c r="I17">
        <v>3500000</v>
      </c>
      <c r="J17" t="s">
        <v>285</v>
      </c>
      <c r="K17" t="s">
        <v>46</v>
      </c>
      <c r="L17" t="s">
        <v>284</v>
      </c>
      <c r="M17" t="s">
        <v>286</v>
      </c>
      <c r="N17">
        <v>6.2842000000000002</v>
      </c>
      <c r="O17" t="s">
        <v>287</v>
      </c>
      <c r="P17" t="s">
        <v>288</v>
      </c>
      <c r="Q17" t="s">
        <v>289</v>
      </c>
      <c r="R17" t="s">
        <v>51</v>
      </c>
      <c r="S17" t="s">
        <v>52</v>
      </c>
      <c r="T17" t="s">
        <v>290</v>
      </c>
      <c r="U17" t="s">
        <v>291</v>
      </c>
      <c r="V17" t="s">
        <v>292</v>
      </c>
      <c r="W17" t="s">
        <v>293</v>
      </c>
      <c r="X17" t="s">
        <v>294</v>
      </c>
      <c r="Y17" t="s">
        <v>295</v>
      </c>
      <c r="Z17">
        <v>6.6</v>
      </c>
      <c r="AA17">
        <v>24311</v>
      </c>
      <c r="AB17" t="s">
        <v>296</v>
      </c>
      <c r="AC17">
        <v>1</v>
      </c>
      <c r="AD17">
        <v>2018</v>
      </c>
      <c r="AE17">
        <v>4</v>
      </c>
      <c r="AF17" t="s">
        <v>297</v>
      </c>
      <c r="AG17">
        <v>-18</v>
      </c>
      <c r="AH17">
        <v>16.6107976495149</v>
      </c>
      <c r="AI17">
        <v>0.87425250786920605</v>
      </c>
      <c r="AJ17" t="s">
        <v>61</v>
      </c>
      <c r="AK17" t="s">
        <v>298</v>
      </c>
      <c r="AL17">
        <v>4</v>
      </c>
      <c r="AM17">
        <v>1</v>
      </c>
      <c r="AN17">
        <v>25</v>
      </c>
      <c r="AO17">
        <v>0.04</v>
      </c>
      <c r="AP17" t="s">
        <v>63</v>
      </c>
      <c r="AQ17" t="s">
        <v>63</v>
      </c>
    </row>
    <row r="18" spans="1:43" x14ac:dyDescent="0.2">
      <c r="A18">
        <v>418879</v>
      </c>
      <c r="B18" t="s">
        <v>299</v>
      </c>
      <c r="C18">
        <v>6.6980000000000004</v>
      </c>
      <c r="D18">
        <v>1113</v>
      </c>
      <c r="E18" t="s">
        <v>44</v>
      </c>
      <c r="F18" s="1">
        <v>43132</v>
      </c>
      <c r="G18">
        <v>12217160</v>
      </c>
      <c r="H18">
        <v>108</v>
      </c>
      <c r="I18">
        <v>30000000</v>
      </c>
      <c r="J18" t="s">
        <v>300</v>
      </c>
      <c r="K18" t="s">
        <v>46</v>
      </c>
      <c r="L18" t="s">
        <v>299</v>
      </c>
      <c r="M18" t="s">
        <v>301</v>
      </c>
      <c r="N18">
        <v>2.7082000000000002</v>
      </c>
      <c r="O18" t="s">
        <v>302</v>
      </c>
      <c r="P18" t="s">
        <v>303</v>
      </c>
      <c r="Q18" t="s">
        <v>304</v>
      </c>
      <c r="R18" t="s">
        <v>305</v>
      </c>
      <c r="S18" t="s">
        <v>52</v>
      </c>
      <c r="T18" t="s">
        <v>306</v>
      </c>
      <c r="U18" t="s">
        <v>307</v>
      </c>
      <c r="V18" t="s">
        <v>308</v>
      </c>
      <c r="W18" t="s">
        <v>309</v>
      </c>
      <c r="X18" t="s">
        <v>310</v>
      </c>
      <c r="Y18" t="s">
        <v>311</v>
      </c>
      <c r="Z18">
        <v>6.5</v>
      </c>
      <c r="AA18">
        <v>32843</v>
      </c>
      <c r="AB18" t="s">
        <v>312</v>
      </c>
      <c r="AC18">
        <v>2</v>
      </c>
      <c r="AD18">
        <v>2018</v>
      </c>
      <c r="AE18">
        <v>5</v>
      </c>
      <c r="AF18" t="s">
        <v>313</v>
      </c>
      <c r="AG18">
        <v>-12</v>
      </c>
      <c r="AH18">
        <v>16.318352160657302</v>
      </c>
      <c r="AI18">
        <v>1.2552578585120999</v>
      </c>
      <c r="AJ18" t="s">
        <v>61</v>
      </c>
      <c r="AK18" t="s">
        <v>314</v>
      </c>
      <c r="AL18">
        <v>36</v>
      </c>
      <c r="AM18">
        <v>2</v>
      </c>
      <c r="AN18">
        <v>53</v>
      </c>
      <c r="AO18">
        <v>0.04</v>
      </c>
      <c r="AP18" t="s">
        <v>63</v>
      </c>
      <c r="AQ18" t="s">
        <v>63</v>
      </c>
    </row>
    <row r="19" spans="1:43" x14ac:dyDescent="0.2">
      <c r="A19">
        <v>416234</v>
      </c>
      <c r="B19" t="s">
        <v>315</v>
      </c>
      <c r="C19">
        <v>5.9</v>
      </c>
      <c r="D19">
        <v>1783</v>
      </c>
      <c r="E19" t="s">
        <v>44</v>
      </c>
      <c r="F19" s="1">
        <v>43133</v>
      </c>
      <c r="G19">
        <v>44019588</v>
      </c>
      <c r="H19">
        <v>100</v>
      </c>
      <c r="I19">
        <v>3500000</v>
      </c>
      <c r="J19" t="s">
        <v>316</v>
      </c>
      <c r="K19" t="s">
        <v>46</v>
      </c>
      <c r="L19" t="s">
        <v>315</v>
      </c>
      <c r="M19" t="s">
        <v>317</v>
      </c>
      <c r="N19">
        <v>3.1903999999999999</v>
      </c>
      <c r="O19" t="s">
        <v>318</v>
      </c>
      <c r="P19" t="s">
        <v>49</v>
      </c>
      <c r="Q19" t="s">
        <v>319</v>
      </c>
      <c r="R19" t="s">
        <v>320</v>
      </c>
      <c r="S19" t="s">
        <v>52</v>
      </c>
      <c r="T19" t="s">
        <v>321</v>
      </c>
      <c r="U19" t="s">
        <v>322</v>
      </c>
      <c r="V19" t="s">
        <v>323</v>
      </c>
      <c r="W19" t="s">
        <v>324</v>
      </c>
      <c r="X19" t="s">
        <v>325</v>
      </c>
      <c r="Y19" t="s">
        <v>326</v>
      </c>
      <c r="Z19">
        <v>5.5</v>
      </c>
      <c r="AA19">
        <v>38832</v>
      </c>
      <c r="AB19" t="s">
        <v>327</v>
      </c>
      <c r="AC19">
        <v>2</v>
      </c>
      <c r="AD19">
        <v>2018</v>
      </c>
      <c r="AE19">
        <v>5</v>
      </c>
      <c r="AF19" t="s">
        <v>328</v>
      </c>
      <c r="AG19">
        <v>-11</v>
      </c>
      <c r="AH19">
        <v>17.600145297353802</v>
      </c>
      <c r="AI19">
        <v>1.4666787747794801</v>
      </c>
      <c r="AJ19" t="s">
        <v>61</v>
      </c>
      <c r="AK19" t="s">
        <v>329</v>
      </c>
      <c r="AL19">
        <v>41</v>
      </c>
      <c r="AM19">
        <v>2</v>
      </c>
      <c r="AN19">
        <v>47</v>
      </c>
      <c r="AO19">
        <v>0.04</v>
      </c>
      <c r="AP19" t="s">
        <v>63</v>
      </c>
      <c r="AQ19" t="s">
        <v>63</v>
      </c>
    </row>
    <row r="20" spans="1:43" x14ac:dyDescent="0.2">
      <c r="A20">
        <v>381719</v>
      </c>
      <c r="B20" t="s">
        <v>330</v>
      </c>
      <c r="C20">
        <v>6.7</v>
      </c>
      <c r="D20">
        <v>1857</v>
      </c>
      <c r="E20" t="s">
        <v>44</v>
      </c>
      <c r="F20" s="1">
        <v>43138</v>
      </c>
      <c r="G20">
        <v>351266433</v>
      </c>
      <c r="H20">
        <v>93</v>
      </c>
      <c r="I20">
        <v>50000000</v>
      </c>
      <c r="J20" t="s">
        <v>331</v>
      </c>
      <c r="K20" t="s">
        <v>46</v>
      </c>
      <c r="L20" t="s">
        <v>330</v>
      </c>
      <c r="M20" t="s">
        <v>332</v>
      </c>
      <c r="N20">
        <v>5.4028</v>
      </c>
      <c r="O20" t="s">
        <v>333</v>
      </c>
      <c r="P20" t="s">
        <v>334</v>
      </c>
      <c r="Q20" t="s">
        <v>335</v>
      </c>
      <c r="R20" t="s">
        <v>320</v>
      </c>
      <c r="S20" t="s">
        <v>52</v>
      </c>
      <c r="T20" t="s">
        <v>336</v>
      </c>
      <c r="U20" t="s">
        <v>337</v>
      </c>
      <c r="V20" t="s">
        <v>338</v>
      </c>
      <c r="W20" t="s">
        <v>339</v>
      </c>
      <c r="X20" t="s">
        <v>340</v>
      </c>
      <c r="Y20" t="s">
        <v>341</v>
      </c>
      <c r="Z20">
        <v>6.6</v>
      </c>
      <c r="AA20">
        <v>51703</v>
      </c>
      <c r="AB20" t="s">
        <v>342</v>
      </c>
      <c r="AC20">
        <v>2</v>
      </c>
      <c r="AD20">
        <v>2018</v>
      </c>
      <c r="AE20">
        <v>6</v>
      </c>
      <c r="AF20" t="s">
        <v>343</v>
      </c>
      <c r="AG20">
        <v>-6</v>
      </c>
      <c r="AH20">
        <v>19.677055564706301</v>
      </c>
      <c r="AI20">
        <v>2.81100793781519</v>
      </c>
      <c r="AJ20" t="s">
        <v>61</v>
      </c>
      <c r="AK20" t="s">
        <v>344</v>
      </c>
      <c r="AL20">
        <v>56</v>
      </c>
      <c r="AM20">
        <v>2</v>
      </c>
      <c r="AN20">
        <v>62</v>
      </c>
      <c r="AO20">
        <v>0.03</v>
      </c>
      <c r="AP20" t="s">
        <v>63</v>
      </c>
      <c r="AQ20" t="s">
        <v>63</v>
      </c>
    </row>
    <row r="21" spans="1:43" x14ac:dyDescent="0.2">
      <c r="A21">
        <v>453201</v>
      </c>
      <c r="B21" t="s">
        <v>345</v>
      </c>
      <c r="C21">
        <v>5.4269999999999996</v>
      </c>
      <c r="D21">
        <v>1633</v>
      </c>
      <c r="E21" t="s">
        <v>44</v>
      </c>
      <c r="F21" s="1">
        <v>43138</v>
      </c>
      <c r="G21">
        <v>57076286</v>
      </c>
      <c r="H21">
        <v>94</v>
      </c>
      <c r="I21">
        <v>30000000</v>
      </c>
      <c r="J21" t="s">
        <v>346</v>
      </c>
      <c r="K21" t="s">
        <v>46</v>
      </c>
      <c r="L21" t="s">
        <v>345</v>
      </c>
      <c r="M21" t="s">
        <v>347</v>
      </c>
      <c r="N21">
        <v>1.8854</v>
      </c>
      <c r="O21" t="s">
        <v>348</v>
      </c>
      <c r="P21" t="s">
        <v>349</v>
      </c>
      <c r="Q21" t="s">
        <v>350</v>
      </c>
      <c r="R21" t="s">
        <v>51</v>
      </c>
      <c r="S21" t="s">
        <v>52</v>
      </c>
      <c r="T21" t="s">
        <v>351</v>
      </c>
      <c r="U21" t="s">
        <v>352</v>
      </c>
      <c r="V21" t="s">
        <v>353</v>
      </c>
      <c r="W21" t="s">
        <v>354</v>
      </c>
      <c r="X21" t="s">
        <v>355</v>
      </c>
      <c r="Y21" t="s">
        <v>356</v>
      </c>
      <c r="Z21">
        <v>5.3</v>
      </c>
      <c r="AA21">
        <v>36839</v>
      </c>
      <c r="AB21" t="s">
        <v>357</v>
      </c>
      <c r="AC21">
        <v>2</v>
      </c>
      <c r="AD21">
        <v>2018</v>
      </c>
      <c r="AE21">
        <v>6</v>
      </c>
      <c r="AF21" t="s">
        <v>358</v>
      </c>
      <c r="AG21">
        <v>-6</v>
      </c>
      <c r="AH21">
        <v>17.8598992994031</v>
      </c>
      <c r="AI21">
        <v>2.55141418562902</v>
      </c>
      <c r="AJ21" t="s">
        <v>61</v>
      </c>
      <c r="AK21" t="s">
        <v>359</v>
      </c>
      <c r="AL21">
        <v>41</v>
      </c>
      <c r="AM21">
        <v>1</v>
      </c>
      <c r="AN21">
        <v>53</v>
      </c>
      <c r="AO21">
        <v>0.02</v>
      </c>
      <c r="AP21" t="s">
        <v>63</v>
      </c>
      <c r="AQ21" t="s">
        <v>63</v>
      </c>
    </row>
    <row r="22" spans="1:43" x14ac:dyDescent="0.2">
      <c r="A22">
        <v>467938</v>
      </c>
      <c r="B22" t="s">
        <v>360</v>
      </c>
      <c r="C22">
        <v>6.5069999999999997</v>
      </c>
      <c r="D22">
        <v>1993</v>
      </c>
      <c r="E22" t="s">
        <v>44</v>
      </c>
      <c r="F22" s="1">
        <v>43138</v>
      </c>
      <c r="G22">
        <v>938055</v>
      </c>
      <c r="H22">
        <v>109</v>
      </c>
      <c r="I22">
        <v>2900000</v>
      </c>
      <c r="J22" t="s">
        <v>361</v>
      </c>
      <c r="K22" t="s">
        <v>362</v>
      </c>
      <c r="L22" t="s">
        <v>360</v>
      </c>
      <c r="M22" t="s">
        <v>363</v>
      </c>
      <c r="N22">
        <v>8.5652000000000008</v>
      </c>
      <c r="O22" t="s">
        <v>364</v>
      </c>
      <c r="P22" t="s">
        <v>365</v>
      </c>
      <c r="Q22" t="s">
        <v>366</v>
      </c>
      <c r="R22" t="s">
        <v>367</v>
      </c>
      <c r="S22" t="s">
        <v>368</v>
      </c>
      <c r="T22" t="s">
        <v>369</v>
      </c>
      <c r="U22" t="s">
        <v>370</v>
      </c>
      <c r="V22" t="s">
        <v>371</v>
      </c>
      <c r="W22" t="s">
        <v>370</v>
      </c>
      <c r="X22" t="s">
        <v>372</v>
      </c>
      <c r="Y22" t="s">
        <v>373</v>
      </c>
      <c r="Z22">
        <v>6.4</v>
      </c>
      <c r="AA22">
        <v>62671</v>
      </c>
      <c r="AB22" t="s">
        <v>374</v>
      </c>
      <c r="AC22">
        <v>2</v>
      </c>
      <c r="AD22">
        <v>2018</v>
      </c>
      <c r="AE22">
        <v>6</v>
      </c>
      <c r="AF22" t="s">
        <v>375</v>
      </c>
      <c r="AG22">
        <v>-6</v>
      </c>
      <c r="AH22">
        <v>13.7515649276988</v>
      </c>
      <c r="AI22">
        <v>1.96450927538554</v>
      </c>
      <c r="AJ22" t="s">
        <v>61</v>
      </c>
      <c r="AK22" t="s">
        <v>376</v>
      </c>
      <c r="AL22">
        <v>22</v>
      </c>
      <c r="AM22">
        <v>7</v>
      </c>
      <c r="AN22">
        <v>65</v>
      </c>
      <c r="AO22">
        <v>0.11</v>
      </c>
      <c r="AP22" t="s">
        <v>63</v>
      </c>
      <c r="AQ22" t="s">
        <v>63</v>
      </c>
    </row>
    <row r="23" spans="1:43" x14ac:dyDescent="0.2">
      <c r="A23">
        <v>414001</v>
      </c>
      <c r="B23" t="s">
        <v>377</v>
      </c>
      <c r="C23">
        <v>5.9550000000000001</v>
      </c>
      <c r="D23">
        <v>290</v>
      </c>
      <c r="E23" t="s">
        <v>44</v>
      </c>
      <c r="F23" s="1">
        <v>43140</v>
      </c>
      <c r="G23">
        <v>4536348</v>
      </c>
      <c r="H23">
        <v>102</v>
      </c>
      <c r="I23">
        <v>18000000</v>
      </c>
      <c r="J23" t="s">
        <v>378</v>
      </c>
      <c r="K23" t="s">
        <v>46</v>
      </c>
      <c r="L23" t="s">
        <v>377</v>
      </c>
      <c r="M23" t="s">
        <v>379</v>
      </c>
      <c r="N23">
        <v>2.1989000000000001</v>
      </c>
      <c r="O23" t="s">
        <v>380</v>
      </c>
      <c r="P23" t="s">
        <v>381</v>
      </c>
      <c r="Q23" t="s">
        <v>382</v>
      </c>
      <c r="R23" t="s">
        <v>212</v>
      </c>
      <c r="S23" t="s">
        <v>383</v>
      </c>
      <c r="T23" t="s">
        <v>384</v>
      </c>
      <c r="U23" t="s">
        <v>385</v>
      </c>
      <c r="V23" t="s">
        <v>386</v>
      </c>
      <c r="W23" t="s">
        <v>387</v>
      </c>
      <c r="X23" t="s">
        <v>388</v>
      </c>
      <c r="Y23" t="s">
        <v>389</v>
      </c>
      <c r="Z23">
        <v>6</v>
      </c>
      <c r="AA23">
        <v>10230</v>
      </c>
      <c r="AB23" t="s">
        <v>390</v>
      </c>
      <c r="AC23">
        <v>2</v>
      </c>
      <c r="AD23">
        <v>2018</v>
      </c>
      <c r="AE23">
        <v>6</v>
      </c>
      <c r="AF23" t="s">
        <v>391</v>
      </c>
      <c r="AG23">
        <v>-4</v>
      </c>
      <c r="AH23">
        <v>15.3276330614652</v>
      </c>
      <c r="AI23">
        <v>3.0655266122930498</v>
      </c>
      <c r="AJ23" t="s">
        <v>61</v>
      </c>
      <c r="AK23" t="s">
        <v>392</v>
      </c>
      <c r="AL23">
        <v>33</v>
      </c>
      <c r="AM23">
        <v>0</v>
      </c>
      <c r="AN23">
        <v>42</v>
      </c>
      <c r="AO23">
        <v>0</v>
      </c>
      <c r="AP23" t="s">
        <v>63</v>
      </c>
      <c r="AQ23" t="s">
        <v>63</v>
      </c>
    </row>
    <row r="24" spans="1:43" x14ac:dyDescent="0.2">
      <c r="A24">
        <v>401981</v>
      </c>
      <c r="B24" t="s">
        <v>393</v>
      </c>
      <c r="C24">
        <v>6.532</v>
      </c>
      <c r="D24">
        <v>6196</v>
      </c>
      <c r="E24" t="s">
        <v>44</v>
      </c>
      <c r="F24" s="1">
        <v>43146</v>
      </c>
      <c r="G24">
        <v>151572634</v>
      </c>
      <c r="H24">
        <v>140</v>
      </c>
      <c r="I24">
        <v>69000000</v>
      </c>
      <c r="J24" t="s">
        <v>394</v>
      </c>
      <c r="K24" t="s">
        <v>46</v>
      </c>
      <c r="L24" t="s">
        <v>393</v>
      </c>
      <c r="M24" t="s">
        <v>395</v>
      </c>
      <c r="N24">
        <v>4.5537000000000001</v>
      </c>
      <c r="O24" t="s">
        <v>396</v>
      </c>
      <c r="P24" t="s">
        <v>397</v>
      </c>
      <c r="Q24" t="s">
        <v>398</v>
      </c>
      <c r="R24" t="s">
        <v>51</v>
      </c>
      <c r="S24" t="s">
        <v>52</v>
      </c>
      <c r="T24" t="s">
        <v>399</v>
      </c>
      <c r="U24" t="s">
        <v>400</v>
      </c>
      <c r="V24" t="s">
        <v>401</v>
      </c>
      <c r="W24" t="s">
        <v>402</v>
      </c>
      <c r="X24" t="s">
        <v>403</v>
      </c>
      <c r="Y24" t="s">
        <v>404</v>
      </c>
      <c r="Z24">
        <v>6.6</v>
      </c>
      <c r="AA24">
        <v>214778</v>
      </c>
      <c r="AB24" t="s">
        <v>405</v>
      </c>
      <c r="AC24">
        <v>2</v>
      </c>
      <c r="AD24">
        <v>2018</v>
      </c>
      <c r="AE24">
        <v>7</v>
      </c>
      <c r="AF24" t="s">
        <v>406</v>
      </c>
      <c r="AG24">
        <v>2</v>
      </c>
      <c r="AH24">
        <v>18.836575506963399</v>
      </c>
      <c r="AI24">
        <v>6.2788585023211496</v>
      </c>
      <c r="AJ24" t="s">
        <v>61</v>
      </c>
      <c r="AK24" t="s">
        <v>407</v>
      </c>
      <c r="AL24">
        <v>60</v>
      </c>
      <c r="AM24">
        <v>2</v>
      </c>
      <c r="AN24">
        <v>67</v>
      </c>
      <c r="AO24">
        <v>0.03</v>
      </c>
      <c r="AP24" t="s">
        <v>63</v>
      </c>
      <c r="AQ24" t="s">
        <v>63</v>
      </c>
    </row>
    <row r="25" spans="1:43" x14ac:dyDescent="0.2">
      <c r="A25">
        <v>445571</v>
      </c>
      <c r="B25" t="s">
        <v>408</v>
      </c>
      <c r="C25">
        <v>6.8460000000000001</v>
      </c>
      <c r="D25">
        <v>6057</v>
      </c>
      <c r="E25" t="s">
        <v>44</v>
      </c>
      <c r="F25" s="1">
        <v>43146</v>
      </c>
      <c r="G25">
        <v>117501013</v>
      </c>
      <c r="H25">
        <v>100</v>
      </c>
      <c r="I25">
        <v>37000000</v>
      </c>
      <c r="J25" t="s">
        <v>409</v>
      </c>
      <c r="K25" t="s">
        <v>46</v>
      </c>
      <c r="L25" t="s">
        <v>408</v>
      </c>
      <c r="M25" t="s">
        <v>410</v>
      </c>
      <c r="N25">
        <v>7.9386999999999999</v>
      </c>
      <c r="O25" t="s">
        <v>411</v>
      </c>
      <c r="P25" t="s">
        <v>412</v>
      </c>
      <c r="Q25" t="s">
        <v>413</v>
      </c>
      <c r="R25" t="s">
        <v>51</v>
      </c>
      <c r="S25" t="s">
        <v>52</v>
      </c>
      <c r="T25" t="s">
        <v>414</v>
      </c>
      <c r="U25" t="s">
        <v>415</v>
      </c>
      <c r="V25" t="s">
        <v>416</v>
      </c>
      <c r="W25" t="s">
        <v>417</v>
      </c>
      <c r="X25" t="s">
        <v>418</v>
      </c>
      <c r="Y25" t="s">
        <v>184</v>
      </c>
      <c r="Z25">
        <v>6.9</v>
      </c>
      <c r="AA25">
        <v>271255</v>
      </c>
      <c r="AB25" t="s">
        <v>419</v>
      </c>
      <c r="AC25">
        <v>2</v>
      </c>
      <c r="AD25">
        <v>2018</v>
      </c>
      <c r="AE25">
        <v>7</v>
      </c>
      <c r="AF25" t="s">
        <v>420</v>
      </c>
      <c r="AG25">
        <v>2</v>
      </c>
      <c r="AH25">
        <v>18.581957521298399</v>
      </c>
      <c r="AI25">
        <v>6.1939858404328199</v>
      </c>
      <c r="AJ25" t="s">
        <v>61</v>
      </c>
      <c r="AK25" t="s">
        <v>421</v>
      </c>
      <c r="AL25">
        <v>50</v>
      </c>
      <c r="AM25">
        <v>3</v>
      </c>
      <c r="AN25">
        <v>54</v>
      </c>
      <c r="AO25">
        <v>0.06</v>
      </c>
      <c r="AP25" t="s">
        <v>63</v>
      </c>
      <c r="AQ25" t="s">
        <v>63</v>
      </c>
    </row>
    <row r="26" spans="1:43" x14ac:dyDescent="0.2">
      <c r="A26">
        <v>449176</v>
      </c>
      <c r="B26" t="s">
        <v>422</v>
      </c>
      <c r="C26">
        <v>8</v>
      </c>
      <c r="D26">
        <v>6161</v>
      </c>
      <c r="E26" t="s">
        <v>44</v>
      </c>
      <c r="F26" s="1">
        <v>43147</v>
      </c>
      <c r="G26">
        <v>66316289</v>
      </c>
      <c r="H26">
        <v>110</v>
      </c>
      <c r="I26">
        <v>17000000</v>
      </c>
      <c r="J26" t="s">
        <v>423</v>
      </c>
      <c r="K26" t="s">
        <v>46</v>
      </c>
      <c r="L26" t="s">
        <v>422</v>
      </c>
      <c r="M26" t="s">
        <v>424</v>
      </c>
      <c r="N26">
        <v>3.5127000000000002</v>
      </c>
      <c r="O26" t="s">
        <v>425</v>
      </c>
      <c r="P26" t="s">
        <v>426</v>
      </c>
      <c r="Q26" t="s">
        <v>427</v>
      </c>
      <c r="R26" t="s">
        <v>51</v>
      </c>
      <c r="S26" t="s">
        <v>52</v>
      </c>
      <c r="T26" t="s">
        <v>428</v>
      </c>
      <c r="U26" t="s">
        <v>429</v>
      </c>
      <c r="V26" t="s">
        <v>430</v>
      </c>
      <c r="W26" t="s">
        <v>431</v>
      </c>
      <c r="X26" t="s">
        <v>432</v>
      </c>
      <c r="Y26" t="s">
        <v>433</v>
      </c>
      <c r="Z26">
        <v>7.5</v>
      </c>
      <c r="AA26">
        <v>132225</v>
      </c>
      <c r="AB26" t="s">
        <v>434</v>
      </c>
      <c r="AC26">
        <v>2</v>
      </c>
      <c r="AD26">
        <v>2018</v>
      </c>
      <c r="AE26">
        <v>7</v>
      </c>
      <c r="AF26" t="s">
        <v>435</v>
      </c>
      <c r="AG26">
        <v>3</v>
      </c>
      <c r="AH26">
        <v>18.009946126333901</v>
      </c>
      <c r="AI26">
        <v>4.5024865315834797</v>
      </c>
      <c r="AJ26" t="s">
        <v>61</v>
      </c>
      <c r="AK26" t="s">
        <v>436</v>
      </c>
      <c r="AL26">
        <v>44</v>
      </c>
      <c r="AM26">
        <v>1</v>
      </c>
      <c r="AN26">
        <v>64</v>
      </c>
      <c r="AO26">
        <v>0.02</v>
      </c>
      <c r="AP26" t="s">
        <v>63</v>
      </c>
      <c r="AQ26" t="s">
        <v>63</v>
      </c>
    </row>
    <row r="27" spans="1:43" x14ac:dyDescent="0.2">
      <c r="A27">
        <v>474392</v>
      </c>
      <c r="B27" t="s">
        <v>437</v>
      </c>
      <c r="C27">
        <v>5.7</v>
      </c>
      <c r="D27">
        <v>241</v>
      </c>
      <c r="E27" t="s">
        <v>44</v>
      </c>
      <c r="F27" s="1">
        <v>43147</v>
      </c>
      <c r="G27">
        <v>4900000</v>
      </c>
      <c r="H27">
        <v>110</v>
      </c>
      <c r="I27">
        <v>3500000</v>
      </c>
      <c r="J27" t="s">
        <v>438</v>
      </c>
      <c r="K27" t="s">
        <v>46</v>
      </c>
      <c r="L27" t="s">
        <v>437</v>
      </c>
      <c r="M27" t="s">
        <v>439</v>
      </c>
      <c r="N27">
        <v>2.5872999999999999</v>
      </c>
      <c r="O27" t="s">
        <v>440</v>
      </c>
      <c r="P27" t="s">
        <v>441</v>
      </c>
      <c r="Q27" t="s">
        <v>442</v>
      </c>
      <c r="R27" t="s">
        <v>51</v>
      </c>
      <c r="S27" t="s">
        <v>52</v>
      </c>
      <c r="T27" t="s">
        <v>443</v>
      </c>
      <c r="U27" t="s">
        <v>444</v>
      </c>
      <c r="V27" t="s">
        <v>445</v>
      </c>
      <c r="W27" t="s">
        <v>446</v>
      </c>
      <c r="X27" t="s">
        <v>447</v>
      </c>
      <c r="Y27" t="s">
        <v>448</v>
      </c>
      <c r="Z27">
        <v>4.5</v>
      </c>
      <c r="AA27">
        <v>5199</v>
      </c>
      <c r="AB27" t="s">
        <v>449</v>
      </c>
      <c r="AC27">
        <v>2</v>
      </c>
      <c r="AD27">
        <v>2018</v>
      </c>
      <c r="AE27">
        <v>7</v>
      </c>
      <c r="AF27" t="s">
        <v>450</v>
      </c>
      <c r="AG27">
        <v>3</v>
      </c>
      <c r="AH27">
        <v>15.4047459671624</v>
      </c>
      <c r="AI27">
        <v>3.8511864917906098</v>
      </c>
      <c r="AJ27" t="s">
        <v>61</v>
      </c>
      <c r="AK27" t="s">
        <v>451</v>
      </c>
      <c r="AL27">
        <v>16</v>
      </c>
      <c r="AM27">
        <v>0</v>
      </c>
      <c r="AN27">
        <v>20</v>
      </c>
      <c r="AO27">
        <v>0</v>
      </c>
      <c r="AP27" t="s">
        <v>63</v>
      </c>
      <c r="AQ27" t="s">
        <v>63</v>
      </c>
    </row>
    <row r="28" spans="1:43" hidden="1" x14ac:dyDescent="0.2">
      <c r="A28">
        <v>300668</v>
      </c>
      <c r="B28" t="s">
        <v>452</v>
      </c>
      <c r="C28">
        <v>6.4329999999999998</v>
      </c>
      <c r="D28">
        <v>9062</v>
      </c>
      <c r="E28" t="s">
        <v>44</v>
      </c>
      <c r="F28" s="1">
        <v>43153</v>
      </c>
      <c r="G28">
        <v>43070915</v>
      </c>
      <c r="H28">
        <v>115</v>
      </c>
      <c r="I28">
        <v>40000000</v>
      </c>
      <c r="J28" t="s">
        <v>453</v>
      </c>
      <c r="K28" t="s">
        <v>46</v>
      </c>
      <c r="L28" t="s">
        <v>452</v>
      </c>
      <c r="M28" t="s">
        <v>454</v>
      </c>
      <c r="N28">
        <v>5.7557</v>
      </c>
      <c r="O28" t="s">
        <v>455</v>
      </c>
      <c r="P28" t="s">
        <v>456</v>
      </c>
      <c r="Q28" t="s">
        <v>457</v>
      </c>
      <c r="R28" t="s">
        <v>458</v>
      </c>
      <c r="S28" t="s">
        <v>52</v>
      </c>
      <c r="T28" t="s">
        <v>459</v>
      </c>
      <c r="U28" t="s">
        <v>460</v>
      </c>
      <c r="V28" t="s">
        <v>461</v>
      </c>
      <c r="W28" t="s">
        <v>462</v>
      </c>
      <c r="X28" t="s">
        <v>463</v>
      </c>
      <c r="Y28" t="s">
        <v>464</v>
      </c>
      <c r="Z28">
        <v>6.8</v>
      </c>
      <c r="AA28">
        <v>387031</v>
      </c>
      <c r="AB28" t="s">
        <v>465</v>
      </c>
      <c r="AC28">
        <v>2</v>
      </c>
      <c r="AD28">
        <v>2018</v>
      </c>
      <c r="AE28">
        <v>8</v>
      </c>
      <c r="AF28" t="s">
        <v>466</v>
      </c>
      <c r="AG28">
        <v>9</v>
      </c>
      <c r="AH28">
        <v>17.578358524507799</v>
      </c>
      <c r="AI28">
        <v>1.75783585245078</v>
      </c>
      <c r="AJ28" t="s">
        <v>61</v>
      </c>
      <c r="AK28" t="s">
        <v>467</v>
      </c>
      <c r="AL28">
        <v>5</v>
      </c>
      <c r="AM28">
        <v>30</v>
      </c>
      <c r="AN28">
        <v>45</v>
      </c>
      <c r="AO28">
        <v>0.67</v>
      </c>
      <c r="AP28" t="s">
        <v>124</v>
      </c>
      <c r="AQ28" t="s">
        <v>63</v>
      </c>
    </row>
    <row r="29" spans="1:43" x14ac:dyDescent="0.2">
      <c r="A29">
        <v>430040</v>
      </c>
      <c r="B29" t="s">
        <v>468</v>
      </c>
      <c r="C29">
        <v>5.7</v>
      </c>
      <c r="D29">
        <v>1042</v>
      </c>
      <c r="E29" t="s">
        <v>44</v>
      </c>
      <c r="F29" s="1">
        <v>43159</v>
      </c>
      <c r="G29">
        <v>32517248</v>
      </c>
      <c r="H29">
        <v>103</v>
      </c>
      <c r="I29">
        <v>35000000</v>
      </c>
      <c r="J29" t="s">
        <v>469</v>
      </c>
      <c r="K29" t="s">
        <v>46</v>
      </c>
      <c r="L29" t="s">
        <v>468</v>
      </c>
      <c r="M29" t="s">
        <v>470</v>
      </c>
      <c r="N29">
        <v>5.9932999999999996</v>
      </c>
      <c r="O29" t="s">
        <v>471</v>
      </c>
      <c r="P29" t="s">
        <v>472</v>
      </c>
      <c r="Q29" t="s">
        <v>473</v>
      </c>
      <c r="R29" t="s">
        <v>458</v>
      </c>
      <c r="S29" t="s">
        <v>52</v>
      </c>
      <c r="T29" t="s">
        <v>474</v>
      </c>
      <c r="U29" t="s">
        <v>475</v>
      </c>
      <c r="V29" t="s">
        <v>476</v>
      </c>
      <c r="W29" t="s">
        <v>477</v>
      </c>
      <c r="X29" t="s">
        <v>478</v>
      </c>
      <c r="Y29" t="s">
        <v>169</v>
      </c>
      <c r="Z29">
        <v>5.0999999999999996</v>
      </c>
      <c r="AA29">
        <v>23438</v>
      </c>
      <c r="AB29" t="s">
        <v>479</v>
      </c>
      <c r="AC29">
        <v>2</v>
      </c>
      <c r="AD29">
        <v>2018</v>
      </c>
      <c r="AE29">
        <v>9</v>
      </c>
      <c r="AF29" t="s">
        <v>480</v>
      </c>
      <c r="AG29">
        <v>15</v>
      </c>
      <c r="AH29">
        <v>17.2972812449696</v>
      </c>
      <c r="AI29">
        <v>1.0810800778106</v>
      </c>
      <c r="AJ29" t="s">
        <v>61</v>
      </c>
      <c r="AK29" t="s">
        <v>481</v>
      </c>
      <c r="AL29">
        <v>41</v>
      </c>
      <c r="AM29">
        <v>3</v>
      </c>
      <c r="AN29">
        <v>47</v>
      </c>
      <c r="AO29">
        <v>0.06</v>
      </c>
      <c r="AP29" t="s">
        <v>63</v>
      </c>
      <c r="AQ29" t="s">
        <v>63</v>
      </c>
    </row>
    <row r="30" spans="1:43" x14ac:dyDescent="0.2">
      <c r="A30">
        <v>395990</v>
      </c>
      <c r="B30" t="s">
        <v>482</v>
      </c>
      <c r="C30">
        <v>6.2</v>
      </c>
      <c r="D30">
        <v>2652</v>
      </c>
      <c r="E30" t="s">
        <v>44</v>
      </c>
      <c r="F30" s="1">
        <v>43160</v>
      </c>
      <c r="G30">
        <v>34017028</v>
      </c>
      <c r="H30">
        <v>107</v>
      </c>
      <c r="I30">
        <v>30000000</v>
      </c>
      <c r="J30" t="s">
        <v>483</v>
      </c>
      <c r="K30" t="s">
        <v>46</v>
      </c>
      <c r="L30" t="s">
        <v>482</v>
      </c>
      <c r="M30" t="s">
        <v>484</v>
      </c>
      <c r="N30">
        <v>5.56</v>
      </c>
      <c r="O30" t="s">
        <v>485</v>
      </c>
      <c r="P30" t="s">
        <v>486</v>
      </c>
      <c r="Q30" t="s">
        <v>487</v>
      </c>
      <c r="R30" t="s">
        <v>51</v>
      </c>
      <c r="S30" t="s">
        <v>52</v>
      </c>
      <c r="T30" t="s">
        <v>488</v>
      </c>
      <c r="U30" t="s">
        <v>489</v>
      </c>
      <c r="V30" t="s">
        <v>490</v>
      </c>
      <c r="W30" t="s">
        <v>491</v>
      </c>
      <c r="X30" t="s">
        <v>492</v>
      </c>
      <c r="Y30" t="s">
        <v>493</v>
      </c>
      <c r="Z30">
        <v>6.3</v>
      </c>
      <c r="AA30">
        <v>80718</v>
      </c>
      <c r="AB30" t="s">
        <v>494</v>
      </c>
      <c r="AC30">
        <v>3</v>
      </c>
      <c r="AD30">
        <v>2018</v>
      </c>
      <c r="AE30">
        <v>9</v>
      </c>
      <c r="AF30" t="s">
        <v>495</v>
      </c>
      <c r="AG30">
        <v>16</v>
      </c>
      <c r="AH30">
        <v>17.342371810136601</v>
      </c>
      <c r="AI30">
        <v>1.0201395182433299</v>
      </c>
      <c r="AJ30" t="s">
        <v>61</v>
      </c>
      <c r="AK30" t="s">
        <v>496</v>
      </c>
      <c r="AL30">
        <v>51</v>
      </c>
      <c r="AM30">
        <v>0</v>
      </c>
      <c r="AN30">
        <v>53</v>
      </c>
      <c r="AO30">
        <v>0</v>
      </c>
      <c r="AP30" t="s">
        <v>63</v>
      </c>
      <c r="AQ30" t="s">
        <v>63</v>
      </c>
    </row>
    <row r="31" spans="1:43" x14ac:dyDescent="0.2">
      <c r="A31">
        <v>461649</v>
      </c>
      <c r="B31" t="s">
        <v>497</v>
      </c>
      <c r="C31">
        <v>6.4589999999999996</v>
      </c>
      <c r="D31">
        <v>49</v>
      </c>
      <c r="E31" t="s">
        <v>44</v>
      </c>
      <c r="F31" s="1">
        <v>43161</v>
      </c>
      <c r="G31">
        <v>6000000</v>
      </c>
      <c r="H31">
        <v>135</v>
      </c>
      <c r="I31">
        <v>2600000</v>
      </c>
      <c r="J31" t="s">
        <v>498</v>
      </c>
      <c r="K31" t="s">
        <v>251</v>
      </c>
      <c r="L31" t="s">
        <v>499</v>
      </c>
      <c r="M31" t="s">
        <v>500</v>
      </c>
      <c r="N31">
        <v>0.52769999999999995</v>
      </c>
      <c r="O31" t="s">
        <v>501</v>
      </c>
      <c r="P31" t="s">
        <v>502</v>
      </c>
      <c r="Q31" t="s">
        <v>503</v>
      </c>
      <c r="R31" t="s">
        <v>257</v>
      </c>
      <c r="S31" t="s">
        <v>258</v>
      </c>
      <c r="T31" t="s">
        <v>504</v>
      </c>
      <c r="U31" t="s">
        <v>505</v>
      </c>
      <c r="V31" t="s">
        <v>506</v>
      </c>
      <c r="W31" t="s">
        <v>507</v>
      </c>
      <c r="X31" t="s">
        <v>508</v>
      </c>
      <c r="Y31" t="s">
        <v>509</v>
      </c>
      <c r="Z31">
        <v>6.6</v>
      </c>
      <c r="AA31">
        <v>7814</v>
      </c>
      <c r="AB31" t="s">
        <v>510</v>
      </c>
      <c r="AC31">
        <v>3</v>
      </c>
      <c r="AD31">
        <v>2018</v>
      </c>
      <c r="AE31">
        <v>9</v>
      </c>
      <c r="AF31" t="s">
        <v>511</v>
      </c>
      <c r="AG31">
        <v>17</v>
      </c>
      <c r="AH31">
        <v>15.6072701938589</v>
      </c>
      <c r="AI31">
        <v>0.86707056632549895</v>
      </c>
      <c r="AJ31" t="s">
        <v>61</v>
      </c>
      <c r="AK31" t="s">
        <v>512</v>
      </c>
      <c r="AL31">
        <v>7</v>
      </c>
      <c r="AM31">
        <v>2</v>
      </c>
      <c r="AN31">
        <v>10</v>
      </c>
      <c r="AO31">
        <v>0.2</v>
      </c>
      <c r="AP31" t="s">
        <v>63</v>
      </c>
      <c r="AQ31" t="s">
        <v>63</v>
      </c>
    </row>
    <row r="32" spans="1:43" x14ac:dyDescent="0.2">
      <c r="A32">
        <v>338970</v>
      </c>
      <c r="B32" t="s">
        <v>513</v>
      </c>
      <c r="C32">
        <v>6.3659999999999997</v>
      </c>
      <c r="D32">
        <v>8132</v>
      </c>
      <c r="E32" t="s">
        <v>44</v>
      </c>
      <c r="F32" s="1">
        <v>43164</v>
      </c>
      <c r="G32">
        <v>274650803</v>
      </c>
      <c r="H32">
        <v>118</v>
      </c>
      <c r="I32">
        <v>94000000</v>
      </c>
      <c r="J32" t="s">
        <v>514</v>
      </c>
      <c r="K32" t="s">
        <v>46</v>
      </c>
      <c r="L32" t="s">
        <v>513</v>
      </c>
      <c r="M32" t="s">
        <v>515</v>
      </c>
      <c r="N32">
        <v>5.3169000000000004</v>
      </c>
      <c r="O32" t="s">
        <v>516</v>
      </c>
      <c r="P32" t="s">
        <v>517</v>
      </c>
      <c r="Q32" t="s">
        <v>518</v>
      </c>
      <c r="R32" t="s">
        <v>519</v>
      </c>
      <c r="S32" t="s">
        <v>52</v>
      </c>
      <c r="T32" t="s">
        <v>520</v>
      </c>
      <c r="U32" t="s">
        <v>521</v>
      </c>
      <c r="V32" t="s">
        <v>522</v>
      </c>
      <c r="W32" t="s">
        <v>523</v>
      </c>
      <c r="X32" t="s">
        <v>524</v>
      </c>
      <c r="Y32" t="s">
        <v>525</v>
      </c>
      <c r="Z32">
        <v>6.3</v>
      </c>
      <c r="AA32">
        <v>237927</v>
      </c>
      <c r="AB32" t="s">
        <v>526</v>
      </c>
      <c r="AC32">
        <v>3</v>
      </c>
      <c r="AD32">
        <v>2018</v>
      </c>
      <c r="AE32">
        <v>10</v>
      </c>
      <c r="AF32" t="s">
        <v>527</v>
      </c>
      <c r="AG32">
        <v>20</v>
      </c>
      <c r="AH32">
        <v>19.431011045110701</v>
      </c>
      <c r="AI32">
        <v>0.92528624024336703</v>
      </c>
      <c r="AJ32" t="s">
        <v>61</v>
      </c>
      <c r="AK32" t="s">
        <v>528</v>
      </c>
      <c r="AL32">
        <v>74</v>
      </c>
      <c r="AM32">
        <v>0</v>
      </c>
      <c r="AN32">
        <v>81</v>
      </c>
      <c r="AO32">
        <v>0</v>
      </c>
      <c r="AP32" t="s">
        <v>63</v>
      </c>
      <c r="AQ32" t="s">
        <v>63</v>
      </c>
    </row>
    <row r="33" spans="1:43" x14ac:dyDescent="0.2">
      <c r="A33">
        <v>371608</v>
      </c>
      <c r="B33" t="s">
        <v>529</v>
      </c>
      <c r="C33">
        <v>5.7</v>
      </c>
      <c r="D33">
        <v>1445</v>
      </c>
      <c r="E33" t="s">
        <v>44</v>
      </c>
      <c r="F33" s="1">
        <v>43166</v>
      </c>
      <c r="G33">
        <v>32144262</v>
      </c>
      <c r="H33">
        <v>86</v>
      </c>
      <c r="I33">
        <v>12500000</v>
      </c>
      <c r="J33" t="s">
        <v>530</v>
      </c>
      <c r="K33" t="s">
        <v>46</v>
      </c>
      <c r="L33" t="s">
        <v>529</v>
      </c>
      <c r="M33" t="s">
        <v>531</v>
      </c>
      <c r="N33">
        <v>4.5995999999999997</v>
      </c>
      <c r="O33" t="s">
        <v>532</v>
      </c>
      <c r="P33" t="s">
        <v>49</v>
      </c>
      <c r="Q33" t="s">
        <v>533</v>
      </c>
      <c r="R33" t="s">
        <v>534</v>
      </c>
      <c r="S33" t="s">
        <v>52</v>
      </c>
      <c r="T33" t="s">
        <v>535</v>
      </c>
      <c r="U33" t="s">
        <v>536</v>
      </c>
      <c r="V33" t="s">
        <v>537</v>
      </c>
      <c r="W33" t="s">
        <v>538</v>
      </c>
      <c r="X33" t="s">
        <v>539</v>
      </c>
      <c r="Y33" t="s">
        <v>540</v>
      </c>
      <c r="Z33">
        <v>5.3</v>
      </c>
      <c r="AA33">
        <v>39343</v>
      </c>
      <c r="AB33" t="s">
        <v>541</v>
      </c>
      <c r="AC33">
        <v>3</v>
      </c>
      <c r="AD33">
        <v>2018</v>
      </c>
      <c r="AE33">
        <v>10</v>
      </c>
      <c r="AF33" t="s">
        <v>542</v>
      </c>
      <c r="AG33">
        <v>22</v>
      </c>
      <c r="AH33">
        <v>17.285744547934598</v>
      </c>
      <c r="AI33">
        <v>0.75155411077976897</v>
      </c>
      <c r="AJ33" t="s">
        <v>61</v>
      </c>
      <c r="AK33" t="s">
        <v>543</v>
      </c>
      <c r="AL33">
        <v>47</v>
      </c>
      <c r="AM33">
        <v>0</v>
      </c>
      <c r="AN33">
        <v>51</v>
      </c>
      <c r="AO33">
        <v>0</v>
      </c>
      <c r="AP33" t="s">
        <v>63</v>
      </c>
      <c r="AQ33" t="s">
        <v>63</v>
      </c>
    </row>
    <row r="34" spans="1:43" x14ac:dyDescent="0.2">
      <c r="A34">
        <v>407451</v>
      </c>
      <c r="B34" t="s">
        <v>544</v>
      </c>
      <c r="C34">
        <v>5.0659999999999998</v>
      </c>
      <c r="D34">
        <v>1822</v>
      </c>
      <c r="E34" t="s">
        <v>44</v>
      </c>
      <c r="F34" s="1">
        <v>43167</v>
      </c>
      <c r="G34">
        <v>132675864</v>
      </c>
      <c r="H34">
        <v>109</v>
      </c>
      <c r="I34">
        <v>103000000</v>
      </c>
      <c r="J34" t="s">
        <v>545</v>
      </c>
      <c r="K34" t="s">
        <v>46</v>
      </c>
      <c r="L34" t="s">
        <v>544</v>
      </c>
      <c r="M34" t="s">
        <v>546</v>
      </c>
      <c r="N34">
        <v>3.8241000000000001</v>
      </c>
      <c r="O34" t="s">
        <v>547</v>
      </c>
      <c r="P34" t="s">
        <v>548</v>
      </c>
      <c r="Q34" t="s">
        <v>549</v>
      </c>
      <c r="R34" t="s">
        <v>51</v>
      </c>
      <c r="S34" t="s">
        <v>52</v>
      </c>
      <c r="T34" t="s">
        <v>550</v>
      </c>
      <c r="U34" t="s">
        <v>551</v>
      </c>
      <c r="V34" t="s">
        <v>552</v>
      </c>
      <c r="W34" t="s">
        <v>553</v>
      </c>
      <c r="X34" t="s">
        <v>554</v>
      </c>
      <c r="Y34" t="s">
        <v>555</v>
      </c>
      <c r="Z34">
        <v>4.3</v>
      </c>
      <c r="AA34">
        <v>49343</v>
      </c>
      <c r="AB34" t="s">
        <v>556</v>
      </c>
      <c r="AC34">
        <v>3</v>
      </c>
      <c r="AD34">
        <v>2018</v>
      </c>
      <c r="AE34">
        <v>10</v>
      </c>
      <c r="AF34" t="s">
        <v>557</v>
      </c>
      <c r="AG34">
        <v>23</v>
      </c>
      <c r="AH34">
        <v>18.7034196063479</v>
      </c>
      <c r="AI34">
        <v>0.77930915026449799</v>
      </c>
      <c r="AJ34" t="s">
        <v>61</v>
      </c>
      <c r="AK34" t="s">
        <v>558</v>
      </c>
      <c r="AL34">
        <v>41</v>
      </c>
      <c r="AM34">
        <v>1</v>
      </c>
      <c r="AN34">
        <v>51</v>
      </c>
      <c r="AO34">
        <v>0.02</v>
      </c>
      <c r="AP34" t="s">
        <v>63</v>
      </c>
      <c r="AQ34" t="s">
        <v>63</v>
      </c>
    </row>
    <row r="35" spans="1:43" x14ac:dyDescent="0.2">
      <c r="A35">
        <v>397722</v>
      </c>
      <c r="B35" t="s">
        <v>559</v>
      </c>
      <c r="C35">
        <v>6.4</v>
      </c>
      <c r="D35">
        <v>1202</v>
      </c>
      <c r="E35" t="s">
        <v>44</v>
      </c>
      <c r="F35" s="1">
        <v>43168</v>
      </c>
      <c r="G35">
        <v>2830775</v>
      </c>
      <c r="H35">
        <v>92</v>
      </c>
      <c r="I35">
        <v>5000000</v>
      </c>
      <c r="J35" t="s">
        <v>560</v>
      </c>
      <c r="K35" t="s">
        <v>46</v>
      </c>
      <c r="L35" t="s">
        <v>559</v>
      </c>
      <c r="M35" t="s">
        <v>561</v>
      </c>
      <c r="N35">
        <v>3.3098000000000001</v>
      </c>
      <c r="O35" t="s">
        <v>562</v>
      </c>
      <c r="P35" t="s">
        <v>349</v>
      </c>
      <c r="Q35" t="s">
        <v>563</v>
      </c>
      <c r="R35" t="s">
        <v>51</v>
      </c>
      <c r="S35" t="s">
        <v>52</v>
      </c>
      <c r="T35" t="s">
        <v>564</v>
      </c>
      <c r="U35" t="s">
        <v>565</v>
      </c>
      <c r="V35" t="s">
        <v>566</v>
      </c>
      <c r="W35" t="s">
        <v>565</v>
      </c>
      <c r="X35" t="s">
        <v>567</v>
      </c>
      <c r="Y35" t="s">
        <v>568</v>
      </c>
      <c r="Z35">
        <v>6.6</v>
      </c>
      <c r="AA35">
        <v>48295</v>
      </c>
      <c r="AB35" t="s">
        <v>569</v>
      </c>
      <c r="AC35">
        <v>3</v>
      </c>
      <c r="AD35">
        <v>2018</v>
      </c>
      <c r="AE35">
        <v>10</v>
      </c>
      <c r="AF35" t="s">
        <v>570</v>
      </c>
      <c r="AG35">
        <v>24</v>
      </c>
      <c r="AH35">
        <v>14.8560614369791</v>
      </c>
      <c r="AI35">
        <v>0.59424245747916404</v>
      </c>
      <c r="AJ35" t="s">
        <v>61</v>
      </c>
      <c r="AK35" t="s">
        <v>571</v>
      </c>
      <c r="AL35">
        <v>8</v>
      </c>
      <c r="AM35">
        <v>3</v>
      </c>
      <c r="AN35">
        <v>37</v>
      </c>
      <c r="AO35">
        <v>0.08</v>
      </c>
      <c r="AP35" t="s">
        <v>63</v>
      </c>
      <c r="AQ35" t="s">
        <v>63</v>
      </c>
    </row>
    <row r="36" spans="1:43" x14ac:dyDescent="0.2">
      <c r="A36">
        <v>450766</v>
      </c>
      <c r="B36" t="s">
        <v>572</v>
      </c>
      <c r="C36">
        <v>6.2</v>
      </c>
      <c r="D36">
        <v>87</v>
      </c>
      <c r="E36" t="s">
        <v>44</v>
      </c>
      <c r="F36" s="1">
        <v>43168</v>
      </c>
      <c r="G36">
        <v>42213</v>
      </c>
      <c r="H36">
        <v>115</v>
      </c>
      <c r="I36">
        <v>15000000</v>
      </c>
      <c r="J36" t="s">
        <v>573</v>
      </c>
      <c r="K36" t="s">
        <v>46</v>
      </c>
      <c r="L36" t="s">
        <v>572</v>
      </c>
      <c r="M36" t="s">
        <v>574</v>
      </c>
      <c r="N36">
        <v>9.1120000000000001</v>
      </c>
      <c r="O36" t="s">
        <v>575</v>
      </c>
      <c r="P36" t="s">
        <v>576</v>
      </c>
      <c r="Q36" t="s">
        <v>577</v>
      </c>
      <c r="R36" t="s">
        <v>578</v>
      </c>
      <c r="S36" t="s">
        <v>52</v>
      </c>
      <c r="T36" t="s">
        <v>579</v>
      </c>
      <c r="U36" t="s">
        <v>580</v>
      </c>
      <c r="V36" t="s">
        <v>581</v>
      </c>
      <c r="W36" t="s">
        <v>582</v>
      </c>
      <c r="X36" t="s">
        <v>583</v>
      </c>
      <c r="Y36" t="s">
        <v>584</v>
      </c>
      <c r="Z36">
        <v>6</v>
      </c>
      <c r="AA36">
        <v>3174</v>
      </c>
      <c r="AB36" t="s">
        <v>585</v>
      </c>
      <c r="AC36">
        <v>3</v>
      </c>
      <c r="AD36">
        <v>2018</v>
      </c>
      <c r="AE36">
        <v>10</v>
      </c>
      <c r="AF36" t="s">
        <v>586</v>
      </c>
      <c r="AG36">
        <v>24</v>
      </c>
      <c r="AH36">
        <v>10.650507198560501</v>
      </c>
      <c r="AI36">
        <v>0.42602028794242203</v>
      </c>
      <c r="AJ36" t="s">
        <v>61</v>
      </c>
      <c r="AK36" t="s">
        <v>587</v>
      </c>
      <c r="AL36">
        <v>6</v>
      </c>
      <c r="AM36">
        <v>1</v>
      </c>
      <c r="AN36">
        <v>14</v>
      </c>
      <c r="AO36">
        <v>7.0000000000000007E-2</v>
      </c>
      <c r="AP36" t="s">
        <v>63</v>
      </c>
      <c r="AQ36" t="s">
        <v>63</v>
      </c>
    </row>
    <row r="37" spans="1:43" x14ac:dyDescent="0.2">
      <c r="A37">
        <v>501192</v>
      </c>
      <c r="B37" t="s">
        <v>588</v>
      </c>
      <c r="C37">
        <v>5.3</v>
      </c>
      <c r="D37">
        <v>16</v>
      </c>
      <c r="E37" t="s">
        <v>44</v>
      </c>
      <c r="F37" s="1">
        <v>43168</v>
      </c>
      <c r="G37">
        <v>3200000</v>
      </c>
      <c r="H37">
        <v>131</v>
      </c>
      <c r="I37">
        <v>2900000</v>
      </c>
      <c r="J37" t="s">
        <v>589</v>
      </c>
      <c r="K37" t="s">
        <v>251</v>
      </c>
      <c r="L37" t="s">
        <v>588</v>
      </c>
      <c r="M37" t="s">
        <v>590</v>
      </c>
      <c r="N37">
        <v>1.496</v>
      </c>
      <c r="O37" t="s">
        <v>591</v>
      </c>
      <c r="P37" t="s">
        <v>592</v>
      </c>
      <c r="Q37" t="s">
        <v>593</v>
      </c>
      <c r="R37" t="s">
        <v>257</v>
      </c>
      <c r="S37" t="s">
        <v>258</v>
      </c>
      <c r="T37" t="s">
        <v>594</v>
      </c>
      <c r="U37" t="s">
        <v>595</v>
      </c>
      <c r="V37" t="s">
        <v>596</v>
      </c>
      <c r="W37" t="s">
        <v>597</v>
      </c>
      <c r="X37" t="s">
        <v>598</v>
      </c>
      <c r="Y37" t="s">
        <v>599</v>
      </c>
      <c r="Z37">
        <v>3.4</v>
      </c>
      <c r="AA37">
        <v>1975</v>
      </c>
      <c r="AB37" t="s">
        <v>600</v>
      </c>
      <c r="AC37">
        <v>3</v>
      </c>
      <c r="AD37">
        <v>2018</v>
      </c>
      <c r="AE37">
        <v>10</v>
      </c>
      <c r="AF37" t="s">
        <v>601</v>
      </c>
      <c r="AG37">
        <v>24</v>
      </c>
      <c r="AH37">
        <v>14.9786616802699</v>
      </c>
      <c r="AI37">
        <v>0.59914646721079601</v>
      </c>
      <c r="AJ37" t="s">
        <v>61</v>
      </c>
      <c r="AK37" t="s">
        <v>602</v>
      </c>
      <c r="AL37">
        <v>2</v>
      </c>
      <c r="AM37">
        <v>0</v>
      </c>
      <c r="AN37">
        <v>2</v>
      </c>
      <c r="AO37">
        <v>0</v>
      </c>
      <c r="AP37" t="s">
        <v>63</v>
      </c>
      <c r="AQ37" t="s">
        <v>63</v>
      </c>
    </row>
    <row r="38" spans="1:43" x14ac:dyDescent="0.2">
      <c r="A38">
        <v>437557</v>
      </c>
      <c r="B38" t="s">
        <v>603</v>
      </c>
      <c r="C38">
        <v>6.3</v>
      </c>
      <c r="D38">
        <v>2051</v>
      </c>
      <c r="E38" t="s">
        <v>44</v>
      </c>
      <c r="F38" s="1">
        <v>43173</v>
      </c>
      <c r="G38">
        <v>94017294</v>
      </c>
      <c r="H38">
        <v>102</v>
      </c>
      <c r="I38">
        <v>21000000</v>
      </c>
      <c r="J38" t="s">
        <v>604</v>
      </c>
      <c r="K38" t="s">
        <v>46</v>
      </c>
      <c r="L38" t="s">
        <v>603</v>
      </c>
      <c r="M38" t="s">
        <v>605</v>
      </c>
      <c r="N38">
        <v>3.6518000000000002</v>
      </c>
      <c r="O38" t="s">
        <v>606</v>
      </c>
      <c r="P38" t="s">
        <v>607</v>
      </c>
      <c r="Q38" t="s">
        <v>608</v>
      </c>
      <c r="R38" t="s">
        <v>609</v>
      </c>
      <c r="S38" t="s">
        <v>52</v>
      </c>
      <c r="T38" t="s">
        <v>610</v>
      </c>
      <c r="U38" t="s">
        <v>611</v>
      </c>
      <c r="V38" t="s">
        <v>612</v>
      </c>
      <c r="W38" t="s">
        <v>613</v>
      </c>
      <c r="X38" t="s">
        <v>614</v>
      </c>
      <c r="Y38" t="s">
        <v>615</v>
      </c>
      <c r="Z38">
        <v>6.2</v>
      </c>
      <c r="AA38">
        <v>90952</v>
      </c>
      <c r="AB38" t="s">
        <v>616</v>
      </c>
      <c r="AC38">
        <v>3</v>
      </c>
      <c r="AD38">
        <v>2018</v>
      </c>
      <c r="AE38">
        <v>11</v>
      </c>
      <c r="AF38" t="s">
        <v>617</v>
      </c>
      <c r="AG38">
        <v>29</v>
      </c>
      <c r="AH38">
        <v>18.358989312672001</v>
      </c>
      <c r="AI38">
        <v>0.61196631042240002</v>
      </c>
      <c r="AJ38" t="s">
        <v>61</v>
      </c>
      <c r="AK38" t="s">
        <v>618</v>
      </c>
      <c r="AL38">
        <v>43</v>
      </c>
      <c r="AM38">
        <v>1</v>
      </c>
      <c r="AN38">
        <v>46</v>
      </c>
      <c r="AO38">
        <v>0.02</v>
      </c>
      <c r="AP38" t="s">
        <v>63</v>
      </c>
      <c r="AQ38" t="s">
        <v>63</v>
      </c>
    </row>
    <row r="39" spans="1:43" x14ac:dyDescent="0.2">
      <c r="A39">
        <v>370567</v>
      </c>
      <c r="B39" t="s">
        <v>619</v>
      </c>
      <c r="C39">
        <v>5.7</v>
      </c>
      <c r="D39">
        <v>751</v>
      </c>
      <c r="E39" t="s">
        <v>44</v>
      </c>
      <c r="F39" s="1">
        <v>43174</v>
      </c>
      <c r="G39">
        <v>90497778</v>
      </c>
      <c r="H39">
        <v>86</v>
      </c>
      <c r="I39">
        <v>59000000</v>
      </c>
      <c r="J39" t="s">
        <v>620</v>
      </c>
      <c r="K39" t="s">
        <v>46</v>
      </c>
      <c r="L39" t="s">
        <v>619</v>
      </c>
      <c r="M39" t="s">
        <v>621</v>
      </c>
      <c r="N39">
        <v>5.1795999999999998</v>
      </c>
      <c r="O39" t="s">
        <v>622</v>
      </c>
      <c r="P39" t="s">
        <v>623</v>
      </c>
      <c r="Q39" t="s">
        <v>624</v>
      </c>
      <c r="R39" t="s">
        <v>458</v>
      </c>
      <c r="S39" t="s">
        <v>52</v>
      </c>
      <c r="T39" t="s">
        <v>625</v>
      </c>
      <c r="U39" t="s">
        <v>626</v>
      </c>
      <c r="W39" t="s">
        <v>627</v>
      </c>
      <c r="X39" t="s">
        <v>628</v>
      </c>
      <c r="Y39" t="s">
        <v>629</v>
      </c>
      <c r="Z39">
        <v>5.3</v>
      </c>
      <c r="AA39">
        <v>15262</v>
      </c>
      <c r="AB39" t="s">
        <v>630</v>
      </c>
      <c r="AC39">
        <v>3</v>
      </c>
      <c r="AD39">
        <v>2018</v>
      </c>
      <c r="AE39">
        <v>11</v>
      </c>
      <c r="AF39" t="s">
        <v>631</v>
      </c>
      <c r="AG39">
        <v>30</v>
      </c>
      <c r="AH39">
        <v>18.320835866932502</v>
      </c>
      <c r="AI39">
        <v>0.59099470538492005</v>
      </c>
      <c r="AJ39" t="s">
        <v>61</v>
      </c>
      <c r="AK39" t="s">
        <v>632</v>
      </c>
      <c r="AL39">
        <v>48</v>
      </c>
      <c r="AM39">
        <v>0</v>
      </c>
      <c r="AN39">
        <v>50</v>
      </c>
      <c r="AO39">
        <v>0</v>
      </c>
      <c r="AP39" t="s">
        <v>63</v>
      </c>
      <c r="AQ39" t="s">
        <v>63</v>
      </c>
    </row>
    <row r="40" spans="1:43" x14ac:dyDescent="0.2">
      <c r="A40">
        <v>407439</v>
      </c>
      <c r="B40" t="s">
        <v>633</v>
      </c>
      <c r="C40">
        <v>6.3</v>
      </c>
      <c r="D40">
        <v>558</v>
      </c>
      <c r="E40" t="s">
        <v>44</v>
      </c>
      <c r="F40" s="1">
        <v>43174</v>
      </c>
      <c r="G40">
        <v>11710110</v>
      </c>
      <c r="H40">
        <v>120</v>
      </c>
      <c r="I40">
        <v>20000000</v>
      </c>
      <c r="J40" t="s">
        <v>634</v>
      </c>
      <c r="K40" t="s">
        <v>46</v>
      </c>
      <c r="L40" t="s">
        <v>633</v>
      </c>
      <c r="M40" t="s">
        <v>635</v>
      </c>
      <c r="N40">
        <v>2.2709000000000001</v>
      </c>
      <c r="O40" t="s">
        <v>636</v>
      </c>
      <c r="P40" t="s">
        <v>637</v>
      </c>
      <c r="Q40" t="s">
        <v>638</v>
      </c>
      <c r="R40" t="s">
        <v>639</v>
      </c>
      <c r="S40" t="s">
        <v>52</v>
      </c>
      <c r="T40" t="s">
        <v>640</v>
      </c>
      <c r="U40" t="s">
        <v>641</v>
      </c>
      <c r="V40" t="s">
        <v>642</v>
      </c>
      <c r="W40" t="s">
        <v>643</v>
      </c>
      <c r="X40" t="s">
        <v>644</v>
      </c>
      <c r="Y40" t="s">
        <v>645</v>
      </c>
      <c r="Z40">
        <v>5.9</v>
      </c>
      <c r="AA40">
        <v>12120</v>
      </c>
      <c r="AB40" t="s">
        <v>646</v>
      </c>
      <c r="AC40">
        <v>3</v>
      </c>
      <c r="AD40">
        <v>2018</v>
      </c>
      <c r="AE40">
        <v>11</v>
      </c>
      <c r="AF40" t="s">
        <v>647</v>
      </c>
      <c r="AG40">
        <v>30</v>
      </c>
      <c r="AH40">
        <v>16.275963214606598</v>
      </c>
      <c r="AI40">
        <v>0.52503107143892502</v>
      </c>
      <c r="AJ40" t="s">
        <v>61</v>
      </c>
      <c r="AK40" t="s">
        <v>648</v>
      </c>
      <c r="AL40">
        <v>37</v>
      </c>
      <c r="AM40">
        <v>0</v>
      </c>
      <c r="AN40">
        <v>44</v>
      </c>
      <c r="AO40">
        <v>0</v>
      </c>
      <c r="AP40" t="s">
        <v>63</v>
      </c>
      <c r="AQ40" t="s">
        <v>63</v>
      </c>
    </row>
    <row r="41" spans="1:43" hidden="1" x14ac:dyDescent="0.2">
      <c r="A41">
        <v>495193</v>
      </c>
      <c r="B41" t="s">
        <v>649</v>
      </c>
      <c r="C41">
        <v>6.9189999999999996</v>
      </c>
      <c r="D41">
        <v>311</v>
      </c>
      <c r="E41" t="s">
        <v>44</v>
      </c>
      <c r="F41" s="1">
        <v>43175</v>
      </c>
      <c r="G41">
        <v>585333</v>
      </c>
      <c r="H41">
        <v>87</v>
      </c>
      <c r="I41">
        <v>6000000</v>
      </c>
      <c r="J41" t="s">
        <v>650</v>
      </c>
      <c r="K41" t="s">
        <v>46</v>
      </c>
      <c r="L41" t="s">
        <v>649</v>
      </c>
      <c r="M41" t="s">
        <v>651</v>
      </c>
      <c r="N41">
        <v>1.8652</v>
      </c>
      <c r="O41" t="s">
        <v>652</v>
      </c>
      <c r="P41" t="s">
        <v>653</v>
      </c>
      <c r="Q41" t="s">
        <v>654</v>
      </c>
      <c r="R41" t="s">
        <v>655</v>
      </c>
      <c r="S41" t="s">
        <v>52</v>
      </c>
      <c r="T41" t="s">
        <v>656</v>
      </c>
      <c r="U41" t="s">
        <v>657</v>
      </c>
      <c r="V41" t="s">
        <v>658</v>
      </c>
      <c r="W41" t="s">
        <v>659</v>
      </c>
      <c r="X41" t="s">
        <v>660</v>
      </c>
      <c r="Y41" t="s">
        <v>661</v>
      </c>
      <c r="Z41">
        <v>6.4</v>
      </c>
      <c r="AA41">
        <v>5983</v>
      </c>
      <c r="AB41" t="s">
        <v>662</v>
      </c>
      <c r="AC41">
        <v>3</v>
      </c>
      <c r="AD41">
        <v>2018</v>
      </c>
      <c r="AE41">
        <v>11</v>
      </c>
      <c r="AF41" t="s">
        <v>663</v>
      </c>
      <c r="AG41">
        <v>31</v>
      </c>
      <c r="AH41">
        <v>13.279937903460601</v>
      </c>
      <c r="AI41">
        <v>0.414998059483143</v>
      </c>
      <c r="AJ41" t="s">
        <v>61</v>
      </c>
      <c r="AK41" t="s">
        <v>664</v>
      </c>
      <c r="AL41">
        <v>2</v>
      </c>
      <c r="AM41">
        <v>14</v>
      </c>
      <c r="AN41">
        <v>16</v>
      </c>
      <c r="AO41">
        <v>0.88</v>
      </c>
      <c r="AP41" t="s">
        <v>124</v>
      </c>
      <c r="AQ41" t="s">
        <v>63</v>
      </c>
    </row>
    <row r="42" spans="1:43" x14ac:dyDescent="0.2">
      <c r="A42">
        <v>503838</v>
      </c>
      <c r="B42" t="s">
        <v>665</v>
      </c>
      <c r="C42">
        <v>7.2</v>
      </c>
      <c r="D42">
        <v>106</v>
      </c>
      <c r="E42" t="s">
        <v>44</v>
      </c>
      <c r="F42" s="1">
        <v>43175</v>
      </c>
      <c r="G42">
        <v>18000000</v>
      </c>
      <c r="H42">
        <v>120</v>
      </c>
      <c r="I42">
        <v>4700000</v>
      </c>
      <c r="J42" t="s">
        <v>666</v>
      </c>
      <c r="K42" t="s">
        <v>251</v>
      </c>
      <c r="L42" t="s">
        <v>665</v>
      </c>
      <c r="M42" t="s">
        <v>667</v>
      </c>
      <c r="N42">
        <v>2.7709000000000001</v>
      </c>
      <c r="O42" t="s">
        <v>668</v>
      </c>
      <c r="P42" t="s">
        <v>669</v>
      </c>
      <c r="Q42" t="s">
        <v>670</v>
      </c>
      <c r="R42" t="s">
        <v>257</v>
      </c>
      <c r="S42" t="s">
        <v>258</v>
      </c>
      <c r="T42" t="s">
        <v>671</v>
      </c>
      <c r="U42" t="s">
        <v>672</v>
      </c>
      <c r="V42" t="s">
        <v>673</v>
      </c>
      <c r="W42" t="s">
        <v>674</v>
      </c>
      <c r="X42" t="s">
        <v>675</v>
      </c>
      <c r="Y42" t="s">
        <v>676</v>
      </c>
      <c r="Z42">
        <v>7.4</v>
      </c>
      <c r="AA42">
        <v>22916</v>
      </c>
      <c r="AB42" t="s">
        <v>677</v>
      </c>
      <c r="AC42">
        <v>3</v>
      </c>
      <c r="AD42">
        <v>2018</v>
      </c>
      <c r="AE42">
        <v>11</v>
      </c>
      <c r="AF42" t="s">
        <v>678</v>
      </c>
      <c r="AG42">
        <v>31</v>
      </c>
      <c r="AH42">
        <v>16.7058823714159</v>
      </c>
      <c r="AI42">
        <v>0.52205882410674898</v>
      </c>
      <c r="AJ42" t="s">
        <v>61</v>
      </c>
      <c r="AK42" t="s">
        <v>679</v>
      </c>
      <c r="AL42">
        <v>15</v>
      </c>
      <c r="AM42">
        <v>0</v>
      </c>
      <c r="AN42">
        <v>19</v>
      </c>
      <c r="AO42">
        <v>0</v>
      </c>
      <c r="AP42" t="s">
        <v>63</v>
      </c>
      <c r="AQ42" t="s">
        <v>63</v>
      </c>
    </row>
    <row r="43" spans="1:43" x14ac:dyDescent="0.2">
      <c r="A43">
        <v>268896</v>
      </c>
      <c r="B43" t="s">
        <v>680</v>
      </c>
      <c r="C43">
        <v>6.1</v>
      </c>
      <c r="D43">
        <v>5163</v>
      </c>
      <c r="E43" t="s">
        <v>44</v>
      </c>
      <c r="F43" s="1">
        <v>43180</v>
      </c>
      <c r="G43">
        <v>290061297</v>
      </c>
      <c r="H43">
        <v>111</v>
      </c>
      <c r="I43">
        <v>150000000</v>
      </c>
      <c r="J43" t="s">
        <v>681</v>
      </c>
      <c r="K43" t="s">
        <v>46</v>
      </c>
      <c r="L43" t="s">
        <v>680</v>
      </c>
      <c r="M43" t="s">
        <v>682</v>
      </c>
      <c r="N43">
        <v>6.8048000000000002</v>
      </c>
      <c r="O43" t="s">
        <v>683</v>
      </c>
      <c r="P43" t="s">
        <v>684</v>
      </c>
      <c r="Q43" t="s">
        <v>685</v>
      </c>
      <c r="R43" t="s">
        <v>51</v>
      </c>
      <c r="S43" t="s">
        <v>52</v>
      </c>
      <c r="T43" t="s">
        <v>686</v>
      </c>
      <c r="U43" t="s">
        <v>687</v>
      </c>
      <c r="V43" t="s">
        <v>688</v>
      </c>
      <c r="W43" t="s">
        <v>689</v>
      </c>
      <c r="X43" t="s">
        <v>690</v>
      </c>
      <c r="Y43" t="s">
        <v>169</v>
      </c>
      <c r="Z43">
        <v>5.6</v>
      </c>
      <c r="AA43">
        <v>134896</v>
      </c>
      <c r="AB43" t="s">
        <v>691</v>
      </c>
      <c r="AC43">
        <v>3</v>
      </c>
      <c r="AD43">
        <v>2018</v>
      </c>
      <c r="AE43">
        <v>12</v>
      </c>
      <c r="AF43" t="s">
        <v>692</v>
      </c>
      <c r="AG43">
        <v>36</v>
      </c>
      <c r="AH43">
        <v>19.485602831022501</v>
      </c>
      <c r="AI43">
        <v>0.52663791435196095</v>
      </c>
      <c r="AJ43" t="s">
        <v>61</v>
      </c>
      <c r="AK43" t="s">
        <v>693</v>
      </c>
      <c r="AL43">
        <v>56</v>
      </c>
      <c r="AM43">
        <v>1</v>
      </c>
      <c r="AN43">
        <v>62</v>
      </c>
      <c r="AO43">
        <v>0.02</v>
      </c>
      <c r="AP43" t="s">
        <v>63</v>
      </c>
      <c r="AQ43" t="s">
        <v>63</v>
      </c>
    </row>
    <row r="44" spans="1:43" x14ac:dyDescent="0.2">
      <c r="A44">
        <v>419478</v>
      </c>
      <c r="B44" t="s">
        <v>694</v>
      </c>
      <c r="C44">
        <v>7.8</v>
      </c>
      <c r="D44">
        <v>3491</v>
      </c>
      <c r="E44" t="s">
        <v>44</v>
      </c>
      <c r="F44" s="1">
        <v>43181</v>
      </c>
      <c r="G44">
        <v>27365467</v>
      </c>
      <c r="H44">
        <v>91</v>
      </c>
      <c r="I44">
        <v>2800000</v>
      </c>
      <c r="J44" t="s">
        <v>695</v>
      </c>
      <c r="K44" t="s">
        <v>46</v>
      </c>
      <c r="L44" t="s">
        <v>694</v>
      </c>
      <c r="M44" t="s">
        <v>696</v>
      </c>
      <c r="N44">
        <v>5.7930999999999999</v>
      </c>
      <c r="O44" t="s">
        <v>697</v>
      </c>
      <c r="P44" t="s">
        <v>288</v>
      </c>
      <c r="Q44" t="s">
        <v>698</v>
      </c>
      <c r="R44" t="s">
        <v>51</v>
      </c>
      <c r="S44" t="s">
        <v>52</v>
      </c>
      <c r="T44" t="s">
        <v>699</v>
      </c>
      <c r="U44" t="s">
        <v>700</v>
      </c>
      <c r="V44" t="s">
        <v>701</v>
      </c>
      <c r="W44" t="s">
        <v>702</v>
      </c>
      <c r="X44" t="s">
        <v>703</v>
      </c>
      <c r="Y44" t="s">
        <v>704</v>
      </c>
      <c r="Z44">
        <v>6.6</v>
      </c>
      <c r="AA44">
        <v>39181</v>
      </c>
      <c r="AB44" t="s">
        <v>705</v>
      </c>
      <c r="AC44">
        <v>3</v>
      </c>
      <c r="AD44">
        <v>2018</v>
      </c>
      <c r="AE44">
        <v>12</v>
      </c>
      <c r="AF44" t="s">
        <v>706</v>
      </c>
      <c r="AG44">
        <v>37</v>
      </c>
      <c r="AH44">
        <v>17.124792484551602</v>
      </c>
      <c r="AI44">
        <v>0.450652433803991</v>
      </c>
      <c r="AJ44" t="s">
        <v>61</v>
      </c>
      <c r="AK44" t="s">
        <v>707</v>
      </c>
      <c r="AL44">
        <v>46</v>
      </c>
      <c r="AM44">
        <v>2</v>
      </c>
      <c r="AN44">
        <v>50</v>
      </c>
      <c r="AO44">
        <v>0.04</v>
      </c>
      <c r="AP44" t="s">
        <v>63</v>
      </c>
      <c r="AQ44" t="s">
        <v>63</v>
      </c>
    </row>
    <row r="45" spans="1:43" x14ac:dyDescent="0.2">
      <c r="A45">
        <v>467660</v>
      </c>
      <c r="B45" t="s">
        <v>708</v>
      </c>
      <c r="C45">
        <v>6.2469999999999999</v>
      </c>
      <c r="D45">
        <v>1601</v>
      </c>
      <c r="E45" t="s">
        <v>44</v>
      </c>
      <c r="F45" s="1">
        <v>43181</v>
      </c>
      <c r="G45">
        <v>14293601</v>
      </c>
      <c r="H45">
        <v>98</v>
      </c>
      <c r="I45">
        <v>1500000</v>
      </c>
      <c r="J45" t="s">
        <v>709</v>
      </c>
      <c r="K45" t="s">
        <v>46</v>
      </c>
      <c r="L45" t="s">
        <v>708</v>
      </c>
      <c r="M45" t="s">
        <v>710</v>
      </c>
      <c r="N45">
        <v>3.8393999999999999</v>
      </c>
      <c r="O45" t="s">
        <v>711</v>
      </c>
      <c r="P45" t="s">
        <v>49</v>
      </c>
      <c r="Q45" t="s">
        <v>712</v>
      </c>
      <c r="R45" t="s">
        <v>51</v>
      </c>
      <c r="S45" t="s">
        <v>52</v>
      </c>
      <c r="T45" t="s">
        <v>713</v>
      </c>
      <c r="U45" t="s">
        <v>714</v>
      </c>
      <c r="V45" t="s">
        <v>714</v>
      </c>
      <c r="W45" t="s">
        <v>715</v>
      </c>
      <c r="X45" t="s">
        <v>716</v>
      </c>
      <c r="Y45" t="s">
        <v>717</v>
      </c>
      <c r="Z45">
        <v>6.4</v>
      </c>
      <c r="AA45">
        <v>52834</v>
      </c>
      <c r="AB45" t="s">
        <v>718</v>
      </c>
      <c r="AC45">
        <v>3</v>
      </c>
      <c r="AD45">
        <v>2018</v>
      </c>
      <c r="AE45">
        <v>12</v>
      </c>
      <c r="AF45" t="s">
        <v>719</v>
      </c>
      <c r="AG45">
        <v>37</v>
      </c>
      <c r="AH45">
        <v>16.475322582523798</v>
      </c>
      <c r="AI45">
        <v>0.433561120592732</v>
      </c>
      <c r="AJ45" t="s">
        <v>61</v>
      </c>
      <c r="AK45" t="s">
        <v>720</v>
      </c>
      <c r="AL45">
        <v>25</v>
      </c>
      <c r="AM45">
        <v>2</v>
      </c>
      <c r="AN45">
        <v>47</v>
      </c>
      <c r="AO45">
        <v>0.04</v>
      </c>
      <c r="AP45" t="s">
        <v>63</v>
      </c>
      <c r="AQ45" t="s">
        <v>63</v>
      </c>
    </row>
    <row r="46" spans="1:43" x14ac:dyDescent="0.2">
      <c r="A46">
        <v>399174</v>
      </c>
      <c r="B46" t="s">
        <v>721</v>
      </c>
      <c r="C46">
        <v>7.8</v>
      </c>
      <c r="D46">
        <v>5179</v>
      </c>
      <c r="E46" t="s">
        <v>44</v>
      </c>
      <c r="F46" s="1">
        <v>43182</v>
      </c>
      <c r="G46">
        <v>64337744</v>
      </c>
      <c r="H46">
        <v>101</v>
      </c>
      <c r="I46">
        <v>62770198</v>
      </c>
      <c r="J46" t="s">
        <v>722</v>
      </c>
      <c r="K46" t="s">
        <v>46</v>
      </c>
      <c r="L46" t="s">
        <v>721</v>
      </c>
      <c r="M46" t="s">
        <v>723</v>
      </c>
      <c r="N46">
        <v>4.9673999999999996</v>
      </c>
      <c r="O46" t="s">
        <v>724</v>
      </c>
      <c r="P46" t="s">
        <v>725</v>
      </c>
      <c r="Q46" t="s">
        <v>726</v>
      </c>
      <c r="R46" t="s">
        <v>727</v>
      </c>
      <c r="S46" t="s">
        <v>728</v>
      </c>
      <c r="T46" t="s">
        <v>729</v>
      </c>
      <c r="U46" t="s">
        <v>730</v>
      </c>
      <c r="V46" t="s">
        <v>731</v>
      </c>
      <c r="W46" t="s">
        <v>732</v>
      </c>
      <c r="X46" t="s">
        <v>733</v>
      </c>
      <c r="Y46" t="s">
        <v>734</v>
      </c>
      <c r="Z46">
        <v>7.8</v>
      </c>
      <c r="AA46">
        <v>205945</v>
      </c>
      <c r="AB46" t="s">
        <v>735</v>
      </c>
      <c r="AC46">
        <v>3</v>
      </c>
      <c r="AD46">
        <v>2018</v>
      </c>
      <c r="AE46">
        <v>12</v>
      </c>
      <c r="AF46" t="s">
        <v>736</v>
      </c>
      <c r="AG46">
        <v>38</v>
      </c>
      <c r="AH46">
        <v>17.9796570309794</v>
      </c>
      <c r="AI46">
        <v>0.46101684694819001</v>
      </c>
      <c r="AJ46" t="s">
        <v>61</v>
      </c>
      <c r="AK46" t="s">
        <v>737</v>
      </c>
      <c r="AL46">
        <v>51</v>
      </c>
      <c r="AM46">
        <v>0</v>
      </c>
      <c r="AN46">
        <v>69</v>
      </c>
      <c r="AO46">
        <v>0</v>
      </c>
      <c r="AP46" t="s">
        <v>63</v>
      </c>
      <c r="AQ46" t="s">
        <v>63</v>
      </c>
    </row>
    <row r="47" spans="1:43" x14ac:dyDescent="0.2">
      <c r="A47">
        <v>476968</v>
      </c>
      <c r="B47" t="s">
        <v>738</v>
      </c>
      <c r="C47">
        <v>7.6</v>
      </c>
      <c r="D47">
        <v>384</v>
      </c>
      <c r="E47" t="s">
        <v>44</v>
      </c>
      <c r="F47" s="1">
        <v>43182</v>
      </c>
      <c r="G47">
        <v>25915966</v>
      </c>
      <c r="H47">
        <v>108</v>
      </c>
      <c r="I47">
        <v>5000000</v>
      </c>
      <c r="J47" t="s">
        <v>739</v>
      </c>
      <c r="K47" t="s">
        <v>46</v>
      </c>
      <c r="L47" t="s">
        <v>738</v>
      </c>
      <c r="M47" t="s">
        <v>740</v>
      </c>
      <c r="N47">
        <v>3.0526</v>
      </c>
      <c r="O47" t="s">
        <v>741</v>
      </c>
      <c r="P47" t="s">
        <v>637</v>
      </c>
      <c r="Q47" t="s">
        <v>742</v>
      </c>
      <c r="R47" t="s">
        <v>51</v>
      </c>
      <c r="S47" t="s">
        <v>383</v>
      </c>
      <c r="T47" t="s">
        <v>743</v>
      </c>
      <c r="U47" t="s">
        <v>744</v>
      </c>
      <c r="W47" t="s">
        <v>745</v>
      </c>
      <c r="X47" t="s">
        <v>746</v>
      </c>
      <c r="Y47" t="s">
        <v>747</v>
      </c>
      <c r="Z47">
        <v>6.7</v>
      </c>
      <c r="AA47">
        <v>11020</v>
      </c>
      <c r="AB47" t="s">
        <v>748</v>
      </c>
      <c r="AC47">
        <v>3</v>
      </c>
      <c r="AD47">
        <v>2018</v>
      </c>
      <c r="AE47">
        <v>12</v>
      </c>
      <c r="AF47" t="s">
        <v>749</v>
      </c>
      <c r="AG47">
        <v>38</v>
      </c>
      <c r="AH47">
        <v>17.070369823206502</v>
      </c>
      <c r="AI47">
        <v>0.43770179033862799</v>
      </c>
      <c r="AJ47" t="s">
        <v>61</v>
      </c>
      <c r="AK47" t="s">
        <v>750</v>
      </c>
      <c r="AL47">
        <v>18</v>
      </c>
      <c r="AM47">
        <v>2</v>
      </c>
      <c r="AN47">
        <v>27</v>
      </c>
      <c r="AO47">
        <v>7.0000000000000007E-2</v>
      </c>
      <c r="AP47" t="s">
        <v>63</v>
      </c>
      <c r="AQ47" t="s">
        <v>63</v>
      </c>
    </row>
    <row r="48" spans="1:43" x14ac:dyDescent="0.2">
      <c r="A48">
        <v>333339</v>
      </c>
      <c r="B48" t="s">
        <v>751</v>
      </c>
      <c r="C48">
        <v>7.585</v>
      </c>
      <c r="D48">
        <v>16351</v>
      </c>
      <c r="E48" t="s">
        <v>44</v>
      </c>
      <c r="F48" s="1">
        <v>43187</v>
      </c>
      <c r="G48">
        <v>607274134</v>
      </c>
      <c r="H48">
        <v>140</v>
      </c>
      <c r="I48">
        <v>175000000</v>
      </c>
      <c r="J48" t="s">
        <v>752</v>
      </c>
      <c r="K48" t="s">
        <v>46</v>
      </c>
      <c r="L48" t="s">
        <v>751</v>
      </c>
      <c r="M48" t="s">
        <v>753</v>
      </c>
      <c r="N48">
        <v>8.8733000000000004</v>
      </c>
      <c r="O48" t="s">
        <v>754</v>
      </c>
      <c r="P48" t="s">
        <v>755</v>
      </c>
      <c r="Q48" t="s">
        <v>756</v>
      </c>
      <c r="R48" t="s">
        <v>757</v>
      </c>
      <c r="S48" t="s">
        <v>52</v>
      </c>
      <c r="T48" t="s">
        <v>758</v>
      </c>
      <c r="U48" t="s">
        <v>759</v>
      </c>
      <c r="V48" t="s">
        <v>760</v>
      </c>
      <c r="W48" t="s">
        <v>761</v>
      </c>
      <c r="X48" t="s">
        <v>762</v>
      </c>
      <c r="Y48" t="s">
        <v>763</v>
      </c>
      <c r="Z48">
        <v>7.4</v>
      </c>
      <c r="AA48">
        <v>529692</v>
      </c>
      <c r="AB48" t="s">
        <v>764</v>
      </c>
      <c r="AC48">
        <v>3</v>
      </c>
      <c r="AD48">
        <v>2018</v>
      </c>
      <c r="AE48">
        <v>13</v>
      </c>
      <c r="AF48" t="s">
        <v>765</v>
      </c>
      <c r="AG48">
        <v>43</v>
      </c>
      <c r="AH48">
        <v>20.2244908698076</v>
      </c>
      <c r="AI48">
        <v>0.45964751976835599</v>
      </c>
      <c r="AJ48" t="s">
        <v>61</v>
      </c>
      <c r="AK48" t="s">
        <v>766</v>
      </c>
      <c r="AL48">
        <v>60</v>
      </c>
      <c r="AM48">
        <v>2</v>
      </c>
      <c r="AN48">
        <v>78</v>
      </c>
      <c r="AO48">
        <v>0.03</v>
      </c>
      <c r="AP48" t="s">
        <v>63</v>
      </c>
      <c r="AQ48" t="s">
        <v>63</v>
      </c>
    </row>
    <row r="49" spans="1:43" x14ac:dyDescent="0.2">
      <c r="A49">
        <v>464502</v>
      </c>
      <c r="B49" t="s">
        <v>767</v>
      </c>
      <c r="C49">
        <v>6.7</v>
      </c>
      <c r="D49">
        <v>387</v>
      </c>
      <c r="E49" t="s">
        <v>44</v>
      </c>
      <c r="F49" s="1">
        <v>43189</v>
      </c>
      <c r="G49">
        <v>34800000</v>
      </c>
      <c r="H49">
        <v>120</v>
      </c>
      <c r="I49">
        <v>20000000</v>
      </c>
      <c r="J49" t="s">
        <v>768</v>
      </c>
      <c r="K49" t="s">
        <v>46</v>
      </c>
      <c r="L49" t="s">
        <v>767</v>
      </c>
      <c r="M49" t="s">
        <v>769</v>
      </c>
      <c r="N49">
        <v>2.4964</v>
      </c>
      <c r="O49" t="s">
        <v>770</v>
      </c>
      <c r="P49" t="s">
        <v>349</v>
      </c>
      <c r="Q49" t="s">
        <v>771</v>
      </c>
      <c r="R49" t="s">
        <v>51</v>
      </c>
      <c r="S49" t="s">
        <v>52</v>
      </c>
      <c r="T49" t="s">
        <v>772</v>
      </c>
      <c r="U49" t="s">
        <v>773</v>
      </c>
      <c r="V49" t="s">
        <v>774</v>
      </c>
      <c r="W49" t="s">
        <v>773</v>
      </c>
      <c r="X49" t="s">
        <v>775</v>
      </c>
      <c r="Y49" t="s">
        <v>776</v>
      </c>
      <c r="Z49">
        <v>5.9</v>
      </c>
      <c r="AA49">
        <v>10727</v>
      </c>
      <c r="AB49" t="s">
        <v>777</v>
      </c>
      <c r="AC49">
        <v>3</v>
      </c>
      <c r="AD49">
        <v>2018</v>
      </c>
      <c r="AE49">
        <v>13</v>
      </c>
      <c r="AF49" t="s">
        <v>778</v>
      </c>
      <c r="AG49">
        <v>45</v>
      </c>
      <c r="AH49">
        <v>17.365127973480298</v>
      </c>
      <c r="AI49">
        <v>0.37750278203218102</v>
      </c>
      <c r="AJ49" t="s">
        <v>61</v>
      </c>
      <c r="AK49" t="s">
        <v>779</v>
      </c>
      <c r="AL49">
        <v>5</v>
      </c>
      <c r="AM49">
        <v>5</v>
      </c>
      <c r="AN49">
        <v>13</v>
      </c>
      <c r="AO49">
        <v>0.38</v>
      </c>
      <c r="AP49" t="s">
        <v>63</v>
      </c>
      <c r="AQ49" t="s">
        <v>63</v>
      </c>
    </row>
    <row r="50" spans="1:43" x14ac:dyDescent="0.2">
      <c r="A50" t="s">
        <v>780</v>
      </c>
      <c r="AI50">
        <f>SUBTOTAL(109,Table1[score])</f>
        <v>55.368062517857503</v>
      </c>
      <c r="AQ50">
        <f>SUBTOTAL(103,Table1[error])</f>
        <v>44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Black_Panther_attributes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2026-02-17T16:53:19Z</dcterms:created>
  <dcterms:modified xsi:type="dcterms:W3CDTF">2026-02-17T17:55:09Z</dcterms:modified>
</cp:coreProperties>
</file>