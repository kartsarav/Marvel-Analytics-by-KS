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A2E46F0F-878F-BC45-8882-76831713D7BC}" xr6:coauthVersionLast="47" xr6:coauthVersionMax="47" xr10:uidLastSave="{00000000-0000-0000-0000-000000000000}"/>
  <bookViews>
    <workbookView xWindow="0" yWindow="0" windowWidth="14420" windowHeight="18000" xr2:uid="{AD2A7955-46D8-AA40-A729-76E512E3FDC6}"/>
  </bookViews>
  <sheets>
    <sheet name="Ant-Man_and_the_Wasp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5" i="1" l="1"/>
  <c r="AQ45" i="1"/>
</calcChain>
</file>

<file path=xl/sharedStrings.xml><?xml version="1.0" encoding="utf-8"?>
<sst xmlns="http://schemas.openxmlformats.org/spreadsheetml/2006/main" count="1072" uniqueCount="766">
  <si>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</si>
  <si>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</si>
  <si>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</si>
  <si>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</si>
  <si>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</si>
  <si>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</si>
  <si>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</si>
  <si>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</si>
  <si>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</si>
  <si>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</si>
  <si>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</si>
  <si>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</si>
  <si>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</si>
  <si>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</si>
  <si>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</si>
  <si>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</si>
  <si>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</si>
  <si>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</si>
  <si>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</si>
  <si>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</si>
  <si>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</si>
  <si>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</si>
  <si>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</si>
  <si>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</si>
  <si>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</si>
  <si>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</si>
  <si>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</si>
  <si>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</si>
  <si>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</si>
  <si>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</si>
  <si>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</si>
  <si>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</si>
  <si>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</si>
  <si>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</si>
  <si>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</si>
  <si>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</si>
  <si>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</si>
  <si>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</si>
  <si>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</si>
  <si>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</si>
  <si>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</si>
  <si>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</si>
  <si>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</si>
  <si>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Tag</t>
  </si>
  <si>
    <t>Released</t>
  </si>
  <si>
    <t>tt2854926</t>
  </si>
  <si>
    <t>en</t>
  </si>
  <si>
    <t>For one month every year, five highly competitive friends hit the ground running in a no-holds-barred game of tag they‚Äö√Ñ√¥ve been playing since the first grade. This year, the game coincides with the wedding of their only undefeated player, which should finally make him an easy target. But he knows they‚Äö√Ñ√¥re coming...and he‚Äö√Ñ√¥s ready.</t>
  </si>
  <si>
    <t>We don't stop playing because we grow old, we grow old because we stop playing.</t>
  </si>
  <si>
    <t>Comedy, Action</t>
  </si>
  <si>
    <t>new line cinema, broken road productions, warner bros. pictures</t>
  </si>
  <si>
    <t>United States of America</t>
  </si>
  <si>
    <t>English</t>
  </si>
  <si>
    <t>Xavion Shelton, Legend Williams, Trayce Malachi, Elijah Marcano, Nora Dunn, Th'Yana Star, Melissa LeEllen, Donald K. Overstreet, Leslie Sides, Joey Thurmond, Ed Helms, Jock McKissic, Jaren Lewison, Kella Raines, Grace Pippas, Carrie Brownstein, Doug Sinclair, Steve Berg, Maxwell Ross, Brayden Benson, Braxton Bjerken, Brian Dennehy, Courtney Brown, Jake Johnson, Lil Rel Howery, Jeremy Renner, Leslie Bibb, Hannibal Buress, Kate Kneeland, Kevin Tyler Moody, Braxton Alexander, Sebastian Maniscalco, Jon Hamm, Isla Fisher, Jim Esposito, Indiana Sifuentes, Al Mitchell, Vince Pisani, Kurt Yue, Thomas Middleditch, Tatum Price, Andrew Tran, Tyler Crumley, Loren Lott, Annabelle Wallis, Rashida Jones</t>
  </si>
  <si>
    <t>Jeff Tomsic</t>
  </si>
  <si>
    <t>Larry Blanford</t>
  </si>
  <si>
    <t>Rob McKittrick, Mark Steilen</t>
  </si>
  <si>
    <t>Walter Hamada, Richard Brener, Todd Garner, Hans Ritter, Dave Neustadter, Mark Steilen</t>
  </si>
  <si>
    <t>Germaine Franco</t>
  </si>
  <si>
    <t>/eXXpuW2xaq5Aen9N5prFlARVIvr.jpg</t>
  </si>
  <si>
    <t>tag</t>
  </si>
  <si>
    <t>18.134331130049944</t>
  </si>
  <si>
    <t>ant-man and the wasp</t>
  </si>
  <si>
    <t>blank (40), internet (3), dvd premiere (3)</t>
  </si>
  <si>
    <t>no</t>
  </si>
  <si>
    <t>Upgrade</t>
  </si>
  <si>
    <t>tt6499752</t>
  </si>
  <si>
    <t>A brutal mugging leaves Grey Trace paralyzed in the hospital and his beloved wife dead. A billionaire inventor soon offers Trace a cure ‚Äö√Ñ√Æ an artificial intelligence implant called STEM that will enhance his body. Now able to walk, Grey finds that he also has superhuman strength and agility ‚Äö√Ñ√Æ skills he uses to seek revenge against the thugs who destroyed his life.</t>
  </si>
  <si>
    <t>Not man. Not machine. More.</t>
  </si>
  <si>
    <t>Action, Thriller, Science Fiction</t>
  </si>
  <si>
    <t>goalpost pictures, automatik entertainment, blumhouse productions, nervous tick productions, film victoria, bh tilt, fulcrum media finance</t>
  </si>
  <si>
    <t>Australia, United States of America</t>
  </si>
  <si>
    <t>Kylie Azzopardi, Yasemin Islek, Richard Anastasios, Abby Craden, Kenny Low, Liam Howarth, Steve Danielsen, Ri-Jie Kwok, Sachin Joab, Linda Cropper, Betty Gabriel, Zia Kelly, Cat Franke, Douglas Embry, Dave Mondon, Harrison Gilbertson, Stephanie Demkiw, Emily Havea, Clayton Jacobson, Arthur Angel, Puven Pather, Christopher Kirby, Matt Davis, Mark Doggett, Melanie Vallejo, Yuki Nagashima, Rosco Campbell, Logan Marshall-Green, Michael M. Foster, David Lieu, James Ao, Manjot Jassal, Thomas Banda, Kai Bradley, Simon Maiden, Benedict Hardie, Esther Joseph, Savannah Gail, Ming-Zhu Hii, Lorie Raymundo, Richard Cawthorne</t>
  </si>
  <si>
    <t>Leigh Whannell</t>
  </si>
  <si>
    <t>Stefan Duscio</t>
  </si>
  <si>
    <t>Rosemary Blight, Ben Grant, Kylie du Fresne, Jeanette Volturno, Brian Kavanaugh-Jones, Charles Layton, Leigh Whannell, Couper Samuelson, Jason Blum</t>
  </si>
  <si>
    <t>Jed Palmer</t>
  </si>
  <si>
    <t>/woLGROUdPWdBnLVFKYdGD3kFkPY.jpg</t>
  </si>
  <si>
    <t>upgrade</t>
  </si>
  <si>
    <t>16.647344244848718</t>
  </si>
  <si>
    <t>south by southwest film festival (1), the overlook film festival (1), blank (23), sydney film festival (1), suddenly this summer festival (1), bifan - bucheon international fantastic film festival (1), jerusalem film festival (1), motelx - lisbon international horror film festival (1), l'√©trange festival (1), night visions film festival (1), dvd premiere (8), dvd and blu-ray premiere (1), imagine film festival (1), golden horse fantastic film festival (1), tv premiere (2), internet (4)</t>
  </si>
  <si>
    <t>American Animals</t>
  </si>
  <si>
    <t>tt6212478</t>
  </si>
  <si>
    <t>Lexington, Kentucky, 2004. Four young men attempt to execute one of the most audacious art heists in the history of the United States.</t>
  </si>
  <si>
    <t>Nobody wants to be ordinary.</t>
  </si>
  <si>
    <t>Drama, Crime, Documentary</t>
  </si>
  <si>
    <t>film4 productions, raw, lava bear films, ai film</t>
  </si>
  <si>
    <t>United Kingdom, United States of America</t>
  </si>
  <si>
    <t>Jared Abrahamson, William Cowboy Reed, Ann Dowd, James Rackley, Al Mitchell, Sophia Alongi, Jack Landry, Tiffany Alice, Gretchen Koerner, Eric Borsuk, Karen Wheeling Reynolds, Dorothy Reynolds, Chas Allen, Cody Taylor, Ben McIntire, Fedor Steer, Jane McNeill, Debby Handolescu, Wayne Duvall, Stacy Rabon, Josh Royston, Brian Cole, Barry Keoghan, Evan Peters, Kareem J. Alston, Anthony J. Police, Whitney Goin, Lara Grice, Pamela Bell Mitchell, Abigail Dolan, Spencer Reinhard, Jason Caceres, James R. Wiley, Liam Marcy, Hannah Hoyt, Gary Basaraba, Warren Lipka, Udo Kier, Kevin L. Johnson, Kelly Borgnis, Stephen Royal Phillips, Alec Heroux, Morgan Prewitt, Eddie King, Grayson Nickel, Lauran Foster, Elijah Everett, Drew Starkey, Blake Jenner, Jesse Truesdell, Marlo Scheitler, Josh Jordan, JD Demers, Steven 'Trainset' Curtis</t>
  </si>
  <si>
    <t>Bart Layton</t>
  </si>
  <si>
    <t>Ole Bratt Birkeland</t>
  </si>
  <si>
    <t>Bart Layton, Claudia Zie, Ian Sellar, Jacob Secher Schulsinger</t>
  </si>
  <si>
    <t>Aviv Giladi, Derrin Schlesinger, Dimitri Doganis, Tory Metzger, Ben Giladi, Len Blavatnik, Daniel Battsek, Toby Hill, Katherine Butler, Piers Vellacott, Poppy Dixon, Mary Jane Skalski, Darren M. Demetre, David Kosse, Sam Lavender</t>
  </si>
  <si>
    <t>Anne Nikitin</t>
  </si>
  <si>
    <t>/aLbdKxgxuOPvs6CTlmzoOQ4Yg3j.jpg</t>
  </si>
  <si>
    <t>american animals</t>
  </si>
  <si>
    <t>14.861888758960388</t>
  </si>
  <si>
    <t>sundance film festival (1), true/false film festival (1), south by southwest film festival (1), sun valley film festival (1), san francisco international film festival (1), florida film festival (1), atlanta film and video festival (1), cleveland international film festival (1), sarasota film festival (1), riverrun international film festival (1), louisiana international film festival (1), newport beach international film festival (1), montclair film festival (1), chicago critics film festival (1), seattle international film festival (1), san diego international film festival (1), limited (2), sydney film festival (1), blank (17), galway film fleadh (1), new zealand international film festival (1), deauville film festival (1), leiden international film festival (1), stockholm international film festival (1), los cabos international film festival (1), video premiere (2), brussels international fantastic film festival (1), new horizons film festival (1), thessaloniki international film festival (1), internet (1), tv release (2), dvd premiere (1)</t>
  </si>
  <si>
    <t>Jurassic World: Fallen Kingdom</t>
  </si>
  <si>
    <t>tt4881806</t>
  </si>
  <si>
    <t>Three years after Jurassic World was destroyed, Isla Nublar now sits abandoned. When the island's dormant volcano begins roaring to life, Owen and Claire mount a campaign to rescue the remaining dinosaurs from this extinction-level event.</t>
  </si>
  <si>
    <t>The park is gone.</t>
  </si>
  <si>
    <t>Action, Adventure, Science Fiction, Thriller</t>
  </si>
  <si>
    <t>amblin entertainment, universal pictures</t>
  </si>
  <si>
    <t>English, P‚Äî√â‚Äî√Ö‚Äî√Ö‚Äì‚à´‚Äì‚àè‚ÄìœÄ</t>
  </si>
  <si>
    <t>Jeff Goldblum, Bryan Phillips, Neil Bishop, Toby Jones, BD Wong, Ronan Summers, Karl Farrer, James Cromwell, Kevin Layne, Daniel Stisen, Justice Smith, Charlie Rawes, Mark Griffin, Peter Jason, Patrick Crowley, Daniella Pineda, Philippa Thomas, John Schwab, Sam Redford, Daryl Kwan, Robert Emms, Mitchell L. Johnson, Douglas Robson, Ben Peel, Ted Levine, Eric Kofi Abrefa, Cory Peterson, Geraldine Chaplin, Bryce Dallas Howard, Isabella Sermon, Jeremy Gilbert, Paul Sockett, Victor Gardener, Mark Addison, Alex Dower, Rafe Spall, Nathan Florence, Michael Papajohn, Chris Pratt, Honey Holmes, Gil Kolirin</t>
  </si>
  <si>
    <t>J.A. Bayona</t>
  </si>
  <si>
    <t>‚àö√¨scar Faura</t>
  </si>
  <si>
    <t>Michael Crichton, Colin Trevorrow, Derek Connolly</t>
  </si>
  <si>
    <t>Thomas Hayslip, Colin Trevorrow, Frank Marshall, Thomas Tull, Steven Spielberg, Bel‚àö¬©n Atienza, Patrick Crowley</t>
  </si>
  <si>
    <t>Michael Giacchino</t>
  </si>
  <si>
    <t>/x8cLgs0uXlb9rmpuVIxopoRGnCr.jpg</t>
  </si>
  <si>
    <t>jurassic world: fallen kingdom</t>
  </si>
  <si>
    <t>20.993650954351725</t>
  </si>
  <si>
    <t>madrid (1), premiere (1), german speaking region (1), blank (63), blu-ray release (1), shanghai international film festival (1), internet (1)</t>
  </si>
  <si>
    <t>Ocean's Eight</t>
  </si>
  <si>
    <t>tt5164214</t>
  </si>
  <si>
    <t>Debbie Ocean, a criminal mastermind, gathers a crew of female thieves to pull off the heist of the century at New York's annual Met Gala.</t>
  </si>
  <si>
    <t>Every con has its pros</t>
  </si>
  <si>
    <t>Crime, Comedy, Action</t>
  </si>
  <si>
    <t>village roadshow pictures, warner bros. pictures, larger than life productions, rahway road productions</t>
  </si>
  <si>
    <t>Deutsch, English</t>
  </si>
  <si>
    <t>Shannon Freyer, Katie Holmes, Brian Anthony Wilson, Charlotte Kirk, Jaime King, Daniel May Wong, Linda Atkinson, Sandra Bullock, Alexander Wang, Lily Aldridge, Mary Louise Wilson, Matt Harvey, Kylie Jenner, Naheed Khan, Nina Cuso, Sofia Richie, Tatiana Spottiswoode, Clark Carmichael, Dakota Fanning, Amy Robach, Whitney White, McNally Sagal, Liana Wright-Mark, Leon Bridges, Kendall Jenner, James Corden, John McEnroe, Alexander Blaise, Aerin Lauder, Mindy Kaling, Rainey Qualley, Michael Gandolfini, Will Stephen, Derek Blasberg, Hamish Bowles, Midori Francis, Caitlin Mehner, Dennis Basso, Talia Cuomo, Sofia Sanchez de Betak, Sas Goldberg, David Gibson, Alexandre De Betak, Zac Posen, Common, Gemma Forbes, Migs Govea, Richard Armitage, Katherine Hozier-Adams, Prabal Gurung, Grant Hyun, Jimmy Kieffer, Edward Barsamian, Sophia Slaysman, Jill Marie Lawrence, Sarah Paulson, Richard Robichaux, Griffin Dunne, James Hindman, Liu Wen, Elizabeth Ashley, Brian J. Carter, Andrew Bolton, Rihanna, Soraya Butler, Tonne Goodman, Steven Hauck, Cate Blanchett, Bianca LaVerne Jones, Serena Williams, Hailey Bieber, Conor Donovan, Desiigner, Anne Hathaway, James Biberi, Daniella Rabbani, David Little, Craig Waletzko, Anna Ewers, Lauren Santo Domingo, Jonathan Simkhai, Timothy Woods, Kevin Dotcom Brown, Wes Gordon, Helena Bonham Carter, Gideon Glick, Francesca Calo, Nick Mangold, Waris Ahluwalia, Gigi Hadid, Tyler Winklevoss, Cindy Bruna, Whit Anderson, Anna Wintour, Cameron Winklevoss, Tommy Hilfiger, Asher Bailey, Elliott Gould, Deidre Goodwin, Adriana Lima, Shaobo Qin, Marlo Thomas, Maria Sharapova, Simon Feil, Eaddy Kiernan, Suzanne Jaehne, Charles Prendergast, Dee Ocleppo, Wendi Murdoch, Doug Yasuda, Natasha Harper, Nancy Lemenager, Kim Kardashian, Georgia Witkin, Awkwafina, Heidi Klum, Jason Wu, Christopher Batyr, Nathanya Alexander, Dana Ivey, Olivia Munn, Robert G. McKay, Damian Young, Kimberly Pauley, Freddy J. Davila</t>
  </si>
  <si>
    <t>Gary Ross</t>
  </si>
  <si>
    <t>Eigil Bryld</t>
  </si>
  <si>
    <t>Olivia Milch, George Clayton Johnson, Jack Golden Russell, Gary Ross</t>
  </si>
  <si>
    <t>Jesse Ehrman, Michael Tadross, Diana Alvarez, Bruce Berman, Susan Ekins, Steven Soderbergh, George Clooney</t>
  </si>
  <si>
    <t>Daniel Pemberton</t>
  </si>
  <si>
    <t>/MvYpKlpFukTivnlBhizGbkAe3v.jpg</t>
  </si>
  <si>
    <t>ocean's eight</t>
  </si>
  <si>
    <t>19.51165967923408</t>
  </si>
  <si>
    <t>new york city, new york (1), premiere (1), dvd premiere (2), blank (57), colombo (1), biografilm festival (1), cine&amp;comic fest genova (1), blu-ray release (1), internet (2)</t>
  </si>
  <si>
    <t>Hotel Artemis</t>
  </si>
  <si>
    <t>tt5834262</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</si>
  <si>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</si>
  <si>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No guns. No cops. No killing the other patients.</t>
  </si>
  <si>
    <t>Thriller, Science Fiction, Action, Crime, Drama</t>
  </si>
  <si>
    <t>the ink factory, marc platt productions, point of no return, 127 wall</t>
  </si>
  <si>
    <t>Espa‚àö¬±ol, English, Fran‚àö√üais</t>
  </si>
  <si>
    <t>Sandra Rosko, Jeff Goldblum, Dave Bautista, Lozoya Jr., Kit Meyering, Ramses Jimenez, Lloyd Sherr, Brian Tyree Henry, Lily Von Isenberg, Mason Shea Joyce, Luis Richard Gomez, Tanner Gill, Lee John Gilligan, Elizabeth Laime, Matt Morgan, Noelle Therese Mulligan, Jodie Foster, Jenny Slate, James Rackstraw, Alonzo Duncan, Lee Coc, Fatimah Hassan, Sterling K. Brown, JLouis Mills, Lauren Sivan, Kate Higgins, Takahiro Fukuda, Angela Sprinkle, Zachary Quinto, Andrew Morgado, Charlie Day, Father John Misty, Travis Parker, Evan Jones, Bruce Concepcion, Antal Kalik, Adam Burnette, Sofia Boutella, Kenneth Choi, Sarah Shankman, Max Valentine, Ed Gage, Emmet Flores, Geraldine Moreno, Brandon Morales, Khafre King, Nathan Davis Jr., Baldeep Singh, Mark Kubr</t>
  </si>
  <si>
    <t>Drew Pearce</t>
  </si>
  <si>
    <t>Chung Chung-hoon</t>
  </si>
  <si>
    <t>Marc Platt, Joe Tsai, Simon Cornwell, Drew Pearce, Adam Siegel, Jeffrey Stott, Arthur Wang, Stephen Cornwell</t>
  </si>
  <si>
    <t>Cliff Martinez</t>
  </si>
  <si>
    <t>/vaZMpZOhhkKOYz0MHCx4vDABwgP.jpg</t>
  </si>
  <si>
    <t>hotel artemis</t>
  </si>
  <si>
    <t>16.33087633273698</t>
  </si>
  <si>
    <t>dvd premiere (3), blank (41), cine &amp; comic fest genova (1), rtp 1 (1), tv premiere (1)</t>
  </si>
  <si>
    <t>Hereditary</t>
  </si>
  <si>
    <t>tt7784604</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</si>
  <si>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</si>
  <si>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Every family tree hides a secret.</t>
  </si>
  <si>
    <t>Horror, Mystery, Thriller</t>
  </si>
  <si>
    <t>palmstar media, pulse films, finch entertainment, windy hill pictures</t>
  </si>
  <si>
    <t>United States of America, United Kingdom</t>
  </si>
  <si>
    <t>Gabriel Monroe Eckert, Alexis Long, Bus Riley, Gabriel Byrne, Alex Wolff, BriAnn Rachele, Moises L. Tovar, Mallory Bechtel, Jake Brown, Mark Blockovich, Zachary Arthur, Toni Collette, Heidi Mendez, Harrison Nell, Rachelle Hardy, Ari Aster, Morgan Lund, Pat Barnett Carr, Milly Shapiro, Jason Miyagi, Christy Summerhays, Brock McKinney, David Stanley, Ann Dowd, Lorenzo Silva, Austin R. Grant, Marilyn Miller, Jarrod Phillips</t>
  </si>
  <si>
    <t>Ari Aster</t>
  </si>
  <si>
    <t>Pawel Pogorzelski</t>
  </si>
  <si>
    <t>Brandon Tamburri, Lars Knudsen, Toni Collette, Buddy Patrick, Ryan Kreston, Jonathan Gardner, Gabriel Byrne, Kevin Scott Frakes, William Kay</t>
  </si>
  <si>
    <t>Colin Stetson</t>
  </si>
  <si>
    <t>/hjlZSXM86wJrfCv5VKfR5DI2VeU.jpg</t>
  </si>
  <si>
    <t>hereditary</t>
  </si>
  <si>
    <t>18.29052883443657</t>
  </si>
  <si>
    <t>sundance film festival (1), south by southwest film festival (1), the overlook film festival (1), blank (51), limited (1), haifa film festival (1), moma - the contenders (1), dvd premiere (2), imax (1)</t>
  </si>
  <si>
    <t>Hearts Beat Loud</t>
  </si>
  <si>
    <t>tt7158430</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</si>
  <si>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</si>
  <si>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Music runs in the family</t>
  </si>
  <si>
    <t>Music, Drama, Comedy, Family</t>
  </si>
  <si>
    <t>burn later productions, houston king productions, park pictures features, stage 6 films</t>
  </si>
  <si>
    <t>Robert Reed Murphy, Jesse Patch, Blythe Danner, Nick Offerman, Will Rogers, McManus Woodend, Michael Abbott Jr., Skyler Marshall, Linda Lee McBride, Jeff Tweedy, Rafael Poueriet, Toni Collette, Quincy Dunn-Baker, Kim Ramirez, Kiersey Clemons, Ted Danson, Sasha Lane, Harrison Chad, Alex Reznik, Andrea Morales</t>
  </si>
  <si>
    <t>Brett Haley</t>
  </si>
  <si>
    <t>Eric Lin</t>
  </si>
  <si>
    <t>Brett Haley, Marc Basch</t>
  </si>
  <si>
    <t>Theodora Dunlap, Danny Rifkin, Amy Jarvela, Jackie Kelman Bisbee, Paul Bernon, Lance Acord, David Bernon, Sam Slater, Frank Brenner, Nick Offerman, Sam Bisbee, Franklin Carson, Houston King</t>
  </si>
  <si>
    <t>Keegan DeWitt</t>
  </si>
  <si>
    <t>/h1wKptD8iXJbtAUSz9OlXS3q4Co.jpg</t>
  </si>
  <si>
    <t>hearts beat loud</t>
  </si>
  <si>
    <t>sundance film festival (1), south by southwest film festival (1), cleveland international film festival (1), buenos aires international festival of independent cinema (1), sarasota film festival (1), atlanta film and video festival (1), louisiana international film festival (1), riverrun international film festival (1), montclair film festival (1), seattle international film festival (1), los angeles, california (1), provincetown film festival (1), blank (6), sydney film festival (1), toronto (1), edinburgh international film festival (1), dvd premiere (3), festiwal kamera akcja (1), taipei golden horse film festival (1), tv premiere (2), internet (1)</t>
  </si>
  <si>
    <t>Zoo</t>
  </si>
  <si>
    <t>tt3688342</t>
  </si>
  <si>
    <t>Young Tom and his misfit friends fight to save 'Buster' the baby elephant during the German air raid bombings of Belfast in 1941.</t>
  </si>
  <si>
    <t>The true story of a larger than life friendship</t>
  </si>
  <si>
    <t>Family, War, History</t>
  </si>
  <si>
    <t>ripple world pictures, wee buns films</t>
  </si>
  <si>
    <t>United Kingdom, Ireland</t>
  </si>
  <si>
    <t>Andrew McNeill, Toby Jones, Noah Balmer, Ian McElhinney, Clare McMahon, Seamus O'Hara, Art Parkinson, Gary Walker, Stephen Hagan, Barry Ward, Emily Flain, Glen Nee, Maggie Cronin, Cl‚àö‚â†odhna McGoldrick, Colin Carnegie, Michael Stuart, Penelope Wilton, James Stockdale, Thomas McQuillan, Corey Millar, Charlie Bonner, Oliver Wilson, Frank Cannon, Alan Watts, Sarah McKnight, Damian O'Hare, Pauline Hutton, Lalor Roddy, Simon Finlay, Shane McCaffrey, Donna Mariea Vaughan, Amy Huberman, Paul Clancey, Geraldine McAlinden, Donncha Crowley, Ian O'Reilly, Ciaran Nolan</t>
  </si>
  <si>
    <t>Colin McIvor</t>
  </si>
  <si>
    <t>Damien Elliott</t>
  </si>
  <si>
    <t>Katy Jackson, Dominic Wright, Robert Whitehouse, Christopher Figg, Kevin Jackson, Lisa Lambert, John Leslie, Thomas Vencelides, Jacqueline Kerrin</t>
  </si>
  <si>
    <t>Mark Thomas</t>
  </si>
  <si>
    <t>/tUlO39EcZzPlKS4JOhlUansgKFJ.jpg</t>
  </si>
  <si>
    <t>zoo</t>
  </si>
  <si>
    <t>12.35328502521056</t>
  </si>
  <si>
    <t>chicago international film festival (1), new york international children's film festival (1), premiere (1), tiff kids film festival (1), newport beach international film festival (1), blank (7), shanghai international film festival (1), dvd premiere (1), internet (1), children kinofest (1), dvd and blu-ray and premiere (1)</t>
  </si>
  <si>
    <t>Incredibles 2</t>
  </si>
  <si>
    <t>tt3606756</t>
  </si>
  <si>
    <t>Elastigirl springs into action to save the day, while Mr. Incredible faces his greatest challenge yet ‚Äö√Ñ√¨ taking care of the problems of his three children.</t>
  </si>
  <si>
    <t>It's been too long, dahlings.</t>
  </si>
  <si>
    <t>Action, Adventure, Animation, Family</t>
  </si>
  <si>
    <t>pixar</t>
  </si>
  <si>
    <t>Eli Fucile, Nina Ozier, Patricia Lentz, David Cowgill, Kimberly Adair Clark, Jackie Gonneau, Austin Madison, Scott Menville, Richie Gordon, Phil LaMarr, Barry Bostwick, Scott Whyte, Robert Clotworthy, Cathy Cavadini, Terri Douglas, Michael B. Johnson, Greg Dykstra, Joe Zieja, Maeve Andrews, Samuel L. Jackson, Alyson Stoner, Noelle Zuber, Bob Odenkirk, Nicholas Bird, Michael Ralph, Kimberly Bailey, Jeff Lapensee, Debi Derryberry, Grace Geller, Marcella Lentz-Pope, Sophia Bush, Diamond White, June Christopher, Sola Bamis, Paul Pape, Andrew Kishino, Usher, Yuri Lowenthal, Catherine Keener, John Ratzenberger, Brad Bird, Melanie Minichino, Jere Burns, Robin Atkin Downes, Michael Bird, Jennifer Crystal Foley, Pepper Sweeney, Adam Rodriguez, A.J. LoCascio, Wendy Cutler, Jonathan Banks, Ted Evans, Justine Huxley, Max Mittelman, Dennis Singletary, Karen Huie, Jean Gilpin, Craig T. Nelson, Lynwood Robinson, Teddy Newton, Bryan Dluhy, Piotr Michael, Jonathan Nichols-Navarro, Jacqueline Pinol, Matthew Wood, Wally Wingert, Steve Blum, Huck Milner, Adam Gates, Kelly Bonbright, Kitty Newton, Holly Hunter, Paul Eiding, Toya Turner, Isabella Rossellini, Stephen Apostolina, Dave Fennoy, Bill Wise, Rebecca Davis, Fred Tatasciore, Sarah Vowell, Shane Sweet, Paula Tiso, Eddie Frierson</t>
  </si>
  <si>
    <t>Brad Bird</t>
  </si>
  <si>
    <t>Erik Smitt, Mahyar Abousaeedi</t>
  </si>
  <si>
    <t>Ted Mathot, Peter Sohn, Kathryn Hendrickson, Michael Arndt, Dean Kelly, Bill Presing, Octavio E. Rodriguez, Brad Bird, Megan Bartel, Austin Madison, Mark Andrews, Bobby Rubio, Rosana Sullivan, Brian Kalin O'Connell, Sanjay Patel, Melody Cisinski, Michael Daley</t>
  </si>
  <si>
    <t>John Walker, Nicole Paradis Grindle, John Lasseter</t>
  </si>
  <si>
    <t>/9lFKBtaVIhP7E2Pk0IY1CwTKTMZ.jpg</t>
  </si>
  <si>
    <t>incredibles 2</t>
  </si>
  <si>
    <t>20.940975184082664</t>
  </si>
  <si>
    <t>los angeles, california (1), premiere (3), blank (78), annecy international animation film festival (1), paris (1)</t>
  </si>
  <si>
    <t>Gotti</t>
  </si>
  <si>
    <t>tt1801552</t>
  </si>
  <si>
    <t>John Gotti rises to the top of the New York underworld to become the boss of the Gambino crime family. His life takes a tumultuous turn as he faces tragedy, multiple trials and a prison sentence.</t>
  </si>
  <si>
    <t>He showed the world who's boss.</t>
  </si>
  <si>
    <t>Crime, Drama, History, Thriller</t>
  </si>
  <si>
    <t>highland film group, fiore films, efo films, jtp films, river bay films, riversdale films, the fyzz</t>
  </si>
  <si>
    <t>William DeMeo, Ken Strunk, John Newsom, Nico Bustamante, John W. Harden, Megan Leonard, Leo Rossi, Michael Woods, Ashley Cusato, Michael Cipiti, John Merolla, John E. Brownlee, Kealy Welage, Shawn P. Farrell, Robert Pavlovich, Adam Hicks, Tony Luke Jr., Robert Gerding, Jim Gloyd, Jordan Trovillion, Bryan Kruse, Kelly Preston, Jonathan Rau, Chris Kerson, Rhys Coiro, Michael Compton, Nick Loren, Michael Lee Bailey, Courtney Abbiati, Donald John Volpenhein, Shea Buckner, Ruthy Froch, Brian 'Wolfman Black' Bowman, Chris Mulkey, Peter Gaudio, Charles Poole, Nick Stanner, Chase Dunnette, Ming Wang, Alanna Tremblay, Tyler Jon Olson, Patrick Borriello, Lea Hutton Beasmore, Alec Usleaman, Stacy Keach, John Travolta, Jordan Jacinto, Andrew Fiscella, Anita Farmer Bergman, Kyle Stefanski, Sal Rendino, Tonya Roberts, Ashley Drew Fisher, Lydia Hull, Luis Da Silva, Jr., Hickory Taylor, Joe Gelchion, Michael Spagnoli, Derek Polen, Jay Seals, Kathlene Ashcraft, Spencer Rocco Lofranco, Victor Gojcaj, Carter Anderson, James Siderits, Pruitt Taylor Vince, Nik Pajic, Chris Victor, Greg Procaccino</t>
  </si>
  <si>
    <t>Kevin Connolly</t>
  </si>
  <si>
    <t>Michael Barrett</t>
  </si>
  <si>
    <t>Leo Rossi, Lem Dobbs</t>
  </si>
  <si>
    <t>Marty Ingels, Tarek Anthony Jabre, Corey Large, Maurice Fadida, Michael Froch, Noel Ashman, Wayne Marc Godfrey, Thomas Fiore, Vince P. Maggio, Edward Norton, Mitch Lowe, Mark Stewart, Rob Logozio, Kirk Shaw, Robert Jones, Anson Downes, Linda Favila, Steven Saxton, Stan Wertlieb, Ted Fox, Marc Fiore, Norton Herrick, Peter Capozzi, Fay Devlin, George Furla, Barry Brooker, Ted Farnsworth, Randall Emmett</t>
  </si>
  <si>
    <t>Pitbull</t>
  </si>
  <si>
    <t>/cUCX6B0FGTsHC5D8L2CF0gJrQCm.jpg</t>
  </si>
  <si>
    <t>gotti</t>
  </si>
  <si>
    <t>15.284128408412055</t>
  </si>
  <si>
    <t>cannes film festival (1), blank (18), limited (1), dvd and blu-ray premiere (2), dvd premiere (7), digital platforms (1), tv premiere (1), internet (1)</t>
  </si>
  <si>
    <t>Office Uprising</t>
  </si>
  <si>
    <t>tt6251024</t>
  </si>
  <si>
    <t>The compound of an arms manufacturer turns into a zombie nightmare when its workers are given the wrong formula.</t>
  </si>
  <si>
    <t>Work can be killer.</t>
  </si>
  <si>
    <t>Comedy, Horror, Action</t>
  </si>
  <si>
    <t>mind the gap productions, lydiard films, rumble riot pictures</t>
  </si>
  <si>
    <t>Ashton McClearin, Amanda Johnson, Felicia Sherrell, Angie Slaughter, Corey Winston, Ravi Kapoor, Bob Kuykendall, D. Lee Hodges, Shelby Moore, Morgan Lindholm, Wendy Morgan, Kenji Hundley, Stephen Oyoung, Sam Daly, Rhoda Griffis, Jef Holbrook, Travis Berens, Travis Gomez, Becky Ray, Kevin Harrison, Jen Baker, Mary Passeri, Kevin Wehby, Roger J. Timber, Gregg Henry, Roderick Macon, Acory‚àö¬© White, Ian Harding, Rob Wolfe, Zachary Levi, Kurt Fuller, Chesta Drake, Karan Soni, Mickey Gooch Jr., David Orange, Kenneth Choi, Barry Shabaka Henley, Tristan Lindsey, Leif Gantvoort, Tracey Rooney, Bryan Rasmussen, Brenton Thwaites, Eric Brown, Chris Grace, Alan Ritchson, Lawrence Johnson, Fred Minix, Lawrence Hinkle, Carine Rice, Tyron Woodley, Jane Levy, Brendan Patrick Connor, Jimothy Beckholt, Alisa Allapach</t>
  </si>
  <si>
    <t>Lin Oeding</t>
  </si>
  <si>
    <t>Robert Brinkmann</t>
  </si>
  <si>
    <t>Peter Gamble, Ian Shorr</t>
  </si>
  <si>
    <t>Tracey Rooney, Sean Lydiard, Brenton Thwaites, David Boies III, William Clevinger, Chris Conover, Giulia Prenna, Sean E. DeMott, Brian O'Shea, Stephanie Pinola, Jim Steele, Nat McCormick</t>
  </si>
  <si>
    <t>Tim Jones</t>
  </si>
  <si>
    <t>/fcRAOCmDcFYivMNM5ink3OMMe0V.jpg</t>
  </si>
  <si>
    <t>office uprising</t>
  </si>
  <si>
    <t>12.017475437968548</t>
  </si>
  <si>
    <t>blank (7), grimmfest international festival of fantastic film (1), dvd premiere (2), dvd and blu-ray premiere (1), internet (1)</t>
  </si>
  <si>
    <t>The Catcher Was a Spy</t>
  </si>
  <si>
    <t>tt4602066</t>
  </si>
  <si>
    <t>Former major league baseball player Moe Berg lives a double life working for the Office of Strategic Services in World War II Europe.</t>
  </si>
  <si>
    <t>Based on the true story of Moe Berg</t>
  </si>
  <si>
    <t>Drama, War, Thriller, History</t>
  </si>
  <si>
    <t>serena films, animus films, palmstar media, finch entertainment, windy hill pictures</t>
  </si>
  <si>
    <t>English, Fran‚àö√üais, Deutsch, ‚óä¬¢√∑¬•‚óä√´√∑‚àû‚óä¬Æ√∑¬•‚óä√¥‚óä‚Ñ¢, Italiano, √ä√≥‚Ä¢√ä√∫¬®√ã‚Ñ¢√ª</t>
  </si>
  <si>
    <t>Bobby Schofield, Sienna Miller, Dean Littlefield, Paul Giamatti, H‚àö¬©l‚àö¬Æne Cardona, Guy Pearce, Dave Quay, Roman Vangeli, Joe Oliveira, Karel Dobr‚àöŒ©, Karoline Patrick, James McVan, Timur Sibatov, Jordan Long, Anna Geislerov‚àö¬∞, Shea Whigham, Kristen Anne Ferraro, Connie Nielsen, Pierfrancesco Favino, Mark Strong, Matt Lindquist, Petr Meissel, William Hope, Tim Hackney, Rob L‚àö¬©vesque, Jeff Fritz, Jan Slov‚àö¬∞k, Hiroyuki Sanada, Jimmy LeBlanc, Thomas Brogan, Joseph Oliveira, Cristiano Donati, John Schwab, Tom Wilkinson, Agnese Nano, Giancarlo Giannini, Zuzana Hodkov‚àö¬∞, Marco Velutti, Martin Janou‚âà¬∞, Petr Opava, Ted Otis, Gabriel Andrews, Paul Rudd, Benjamin Crocker, Demetri Goritsas, Brian Caspe, Du‚âà¬∞an Ki‚âà¬∞, Scott Sederquist, Marc Cram, Jeff Daniels, Susan Garfield, Scott Lipman, Roy McCrerey, Philip Lenkowsky</t>
  </si>
  <si>
    <t>Ben Lewin</t>
  </si>
  <si>
    <t>Andrij Parekh</t>
  </si>
  <si>
    <t>Robert Rodat, Nicholas Dawidoff</t>
  </si>
  <si>
    <t>Buddy Patrick, William Kay, Tatiana Kelly, Kevin Scott Frakes, Jonathan Gardner, Jim Young, Robert Ogden Barnum, Vaclav Mottl</t>
  </si>
  <si>
    <t>Howard Shore</t>
  </si>
  <si>
    <t>/3aBv9Oln0aoBrEbkMabHIVat6CY.jpg</t>
  </si>
  <si>
    <t>the catcher was a spy</t>
  </si>
  <si>
    <t>13.768370731238546</t>
  </si>
  <si>
    <t>sundance film festival (1), blank (8), internet (6), dvd premiere (3), tv release (1)</t>
  </si>
  <si>
    <t>Sicario: Day of the Soldado</t>
  </si>
  <si>
    <t>tt5052474</t>
  </si>
  <si>
    <t>Agent Matt Graver teams up with operative Alejandro Gillick to prevent Mexican drug cartels from smuggling terrorists across the United States border.</t>
  </si>
  <si>
    <t>Some missions need a hitman...others need a soldier.</t>
  </si>
  <si>
    <t>Action, Crime, Thriller</t>
  </si>
  <si>
    <t>thunder road, black label media, columbia pictures, lionsgate, redrum</t>
  </si>
  <si>
    <t>Mexico, United States of America</t>
  </si>
  <si>
    <t>English, Espa‚àö¬±ol</t>
  </si>
  <si>
    <t>Michael Love Toliver, Elijah Rodriguez, Gary Anthony Castro, Brian Reynolds, Lawrence Gilligan, Mario Moreno, Jon Kristian Moore, Alan Humphrey, Sandra L. Velez, Alex Cacho, David Manzanares, Ian Bohen, Lloyd Voights, Tsailii Rogers, Ibrahim Renno, Catherine Haun, Chris Adams, Sherman Allen, Mickey Dolan, Jose B. Martinez, Shea Whigham, Thang Khan Gin, Pari Shimoyama, Tasha Ames, Brett Maul, Diane Villegas, Fernando Urquides, Connor Skific, Andrea Good, Alejandro de la Pe‚àö¬±a, J.D. Garfield, Tenzin Marco-Taylor, Graham Beckel, J.D. Marmion, Tamir Elbassir, Luca De Massis, Aaron Mastriani, Karen Baxter, Raoul Max Trujillo, James Devoti, Lourdes del Rio Garcia, Paul Adkins, Dan Davidson, Matthew Modine, Mang Khai, Stafford Douglas, Carlos Carreon, David Casta‚àö¬±eda, Sakariya Ali, Kelly V. Lucio, Michael E. Stogner, Iliana Donatl‚àö¬∞n, Manuel Garcia-Rulfo, Cruz Castillo, Alfredo Quiroz, Braden Wilcox, Hector Dez, Catherine Keener, Cassandra Rochelle Fetters, Narupornkamol Chaisang, Jay Moore, Jeffrey Donovan, Isabela Merced, Ruben Bugayong, Paul Venable, Rachel de la Torre, Benicio del Toro, Jackamoe Buzzell, Howard Ferguson Jr., Rick Anglada, Fr‚àö¬©d‚àö¬©ric North, Tim Aydelott, Ryan Begay, Jack Jackson, Johnnie Hector, Billy R. Sanchez, Victoria L. Moya, Barrett James, Gregory Paul Valdez, Ryan Jason Cook, Gonzalo Robles, Zaw Tan, Alison Grainger, Rob Franco, Faysal  Ahmed, Rick Vargas, Arturo Maese Bernal, Oscar Avila, Jake Picking, Micheal Thomas Angel, Sarrett Williams, Nathan V. Baker, Michael Slusher, Manny Rubio, Carolyn Borbon Schademan, Christian Pedersen, Josh Brolin, Lyle Sandoval, Leedy Corbin, Cheo Tapia, Nick Shakoour, Jacqueline Torres, Beth Bailey, DezBaa', Bruno Bichir, Christopher Heyerdahl, Joseph A. Garcia, Chrissy Beyerlein</t>
  </si>
  <si>
    <t>Stefano Sollima</t>
  </si>
  <si>
    <t>Dariusz Wolski</t>
  </si>
  <si>
    <t>Taylor Sheridan</t>
  </si>
  <si>
    <t>Edward McDonnell, Molly Smith, Erica Lee, Trent Luckinbill, Richard Middleton, Ellen H. Schwartz, Basil Iwanyk, Thad Luckinbill</t>
  </si>
  <si>
    <t>Hildur Gu‚àö‚àûnad‚àö‚â•ttir</t>
  </si>
  <si>
    <t>/qcLYofEhNh51Sk1jUWjmKHLzkqw.jpg</t>
  </si>
  <si>
    <t>sicario: day of the soldado</t>
  </si>
  <si>
    <t>18.14409269132644</t>
  </si>
  <si>
    <t>new york city, new york (1), premiere (2), westwood, california (1), blank (55), transatlantyk film festival (1), dvd premiere (1), rtp 1 (1), tv premiere (1), tv release (1)</t>
  </si>
  <si>
    <t>Uncle Drew</t>
  </si>
  <si>
    <t>tt7334528</t>
  </si>
  <si>
    <t>Uncle Drew recruits a squad of older basketball players to return to the court to compete in a tournament.</t>
  </si>
  <si>
    <t>Grab your squad and go.</t>
  </si>
  <si>
    <t>Comedy</t>
  </si>
  <si>
    <t>lionsgate, summit entertainment, temple hill entertainment</t>
  </si>
  <si>
    <t>Chris Mullin, Reggie Miller, Tiffany Haddish, Kyrie Irving, Aaron Gordon, Mike Epps, Pee Wee Kirkland, Chris Webber, Ben Nethongkome, Jamel Chambers, Wesley Witherspoon, Nate Robinson, Ashton Tyler, George Gervin, Dikembe Mutombo, Alannah Wilhite, John Calipari, Erica Ash, Lisa Leslie, Scoop Jackson, JB Smoove, Lil Rel Howery, Crystal Lee Brown, Jon Hammond, Nick Kroll, Selema Masekela, Shaquille O'Neal, Bill Walton, Tinuke Adetunji, Earl Monroe, Rick Barry, Scott Van Pelt, Terence Rosemore, Deadra Moore, Jerry West, David Robinson, Steve Nash, Gage Lawson, Barry Rohrssen, NeNe Leakes, Rick Ross</t>
  </si>
  <si>
    <t>Charles Stone III</t>
  </si>
  <si>
    <t>Karsten 'Crash' Gopinath</t>
  </si>
  <si>
    <t>Jay Longino</t>
  </si>
  <si>
    <t>John Fischer, Erik Feig, Louis Arbetter, Colin Smeeton</t>
  </si>
  <si>
    <t>Christopher Lennertz</t>
  </si>
  <si>
    <t>/yO2qw2cX0oU1ZrPBKc0PPj1C1NL.jpg</t>
  </si>
  <si>
    <t>uncle drew</t>
  </si>
  <si>
    <t>16.68907525404123</t>
  </si>
  <si>
    <t>dvd premiere (4), blank (15), limited (1), internet (5), blu-ray release (2)</t>
  </si>
  <si>
    <t>Hotel Transylvania 3: Summer Vacation</t>
  </si>
  <si>
    <t>tt5220122</t>
  </si>
  <si>
    <t>Dracula, Mavis, Johnny and the rest of the Drac Pack take a vacation on a luxury Monster Cruise Ship, where Dracula falls in love with the ship‚Äö√Ñ√¥s captain, Ericka, who‚Äö√Ñ√¥s secretly a descendant of Abraham Van Helsing, the notorious monster slayer.</t>
  </si>
  <si>
    <t>He's going to need a vacation after this vacation.</t>
  </si>
  <si>
    <t>Animation, Comedy, Family, Fantasy</t>
  </si>
  <si>
    <t>columbia pictures, sony pictures animation, mrc</t>
  </si>
  <si>
    <t>Tara Strong, David Spade, Joe Whyte, Michelle Murdocca, Chrissy Teigen, Todd Haberkorn, Rif Hutton, Kirk Thornton, Fred Tatasciore, Keegan-Michael Key, Kari Wahlgren, Kevin James, Mona Marshall, Molly Shannon, Jaime Camil, Craig Kellman, Asher Blinkoff, Libby Thomas Dickey, Grant George, Andrew Morgado, Genndy Tartakovsky, Adam Sandler, Joyce Arrastia, Kathryn Hahn, Steve Buscemi, Chris Parnell, Selena Gomez, Robin Atkin Downes, Amanda Troop, Brian T. Delaney, Michelle Ruff, Michael-Leon Wooley, Jessica Gee-George, Sunny Sandler, Lola Dubini, Fran Drescher, Mel Brooks, Aaron LaPlante, Keith Silverstein, Lex Lang, Jim Gaffigan, Debra Wilson, Patrick Harpin, Joseph Sanfelippo, Andy Samberg, Audrey Wasilewski, Joe Jonas, Sadie Sandler</t>
  </si>
  <si>
    <t>Genndy Tartakovsky</t>
  </si>
  <si>
    <t>Steven Edwards, Michael McCullers, Genndy Tartakovsky</t>
  </si>
  <si>
    <t>Michelle Murdocca</t>
  </si>
  <si>
    <t>Mark Mothersbaugh</t>
  </si>
  <si>
    <t>/lzE5BwGQea1nek7TPXUuC5AZ6rq.jpg</t>
  </si>
  <si>
    <t>hotel transylvania 3: summer vacation</t>
  </si>
  <si>
    <t>20.08574256202625</t>
  </si>
  <si>
    <t>annecy film festival (1), blank (63), los angeles, california (1), premiere (2), paris (1), re-release (1)</t>
  </si>
  <si>
    <t>Sanju</t>
  </si>
  <si>
    <t>tt6452574</t>
  </si>
  <si>
    <t>hi</t>
  </si>
  <si>
    <t>‚Ä°¬ß‚àè‚Ä°¬ß√á‚Ä°¬ß√∫‚Ä°‚Ä¢√á</t>
  </si>
  <si>
    <t>Sanju explores some of the most crucial chapters from movie star Sanjay Dutt‚Äö√Ñ√¥s dramatic and controversial real life. It gives a lowdown on his tryst with drugs and his trials and tribulations in the Arms Acts case and the 1993 Mumbai blasts.</t>
  </si>
  <si>
    <t>One man... many lives</t>
  </si>
  <si>
    <t>Drama, Comedy</t>
  </si>
  <si>
    <t>rajkumar hirani films, vinod chopra films, vidhu vinod chopra productions</t>
  </si>
  <si>
    <t>India, United States of America</t>
  </si>
  <si>
    <t>‚Ä°¬ßœÄ‚Ä°¬ß√∏‚Ä°¬ß¬Æ‚Ä°‚Ä¢√ß‚Ä°¬ß¬∂‚Ä°‚Ä¢√Ñ</t>
  </si>
  <si>
    <t>Manisha Koirala, Boman Irani, Tabu, Ashnoor Kaur, Paresh Rawal, Vicky Kaushal, Arshad Warsi, Jim Sarbh, Ranbir Kapoor, Dia Mirza, Karishma Tanna, Sanjay Dutt, Anushka Sharma, Sonam Kapoor Ahuja, Sayaji Shinde</t>
  </si>
  <si>
    <t>Rajkumar Hirani</t>
  </si>
  <si>
    <t>Ravi Varman</t>
  </si>
  <si>
    <t>Puneet Sharma, Irshad Kamil, Shekhar Astitva, Rajkumar Hirani, Abhijat Joshi</t>
  </si>
  <si>
    <t>Sahil Khosla, Vidhu Vinod Chopra, Rajkumar Hirani</t>
  </si>
  <si>
    <t>Rohan Pradhan, Vikram Montrose, A.R. Rahman</t>
  </si>
  <si>
    <t>/2blst4WUn1RLDN29fmEUeKJvXGm.jpg</t>
  </si>
  <si>
    <t>sanju</t>
  </si>
  <si>
    <t>18.026377895381373</t>
  </si>
  <si>
    <t>limited (2), german speaking region (1), blank (19), busan international film festival (1), internet (2), hong kong asian film festival (1)</t>
  </si>
  <si>
    <t>Sorry to Bother You</t>
  </si>
  <si>
    <t>tt5688932</t>
  </si>
  <si>
    <t>In an alternate present-day version of Oakland, black telemarketer Cassius Green discovers a magical key to professional success ‚Äö√Ñ√¨ which propels him into a macabre universe.</t>
  </si>
  <si>
    <t>Destiny is calling.</t>
  </si>
  <si>
    <t>Fantasy, Science Fiction, Comedy</t>
  </si>
  <si>
    <t>cinereach, significant productions, macro, mnm creative, the space program</t>
  </si>
  <si>
    <t>W. Kamau Bell, Patricia Simmons, Akia Greybill, Annie Chen, William W. Barbour, Brandon E. Lee, Kate Berlant, Gabby La La, Oumie Garba, Sara Melekova, Rosario Dawson, Keniece Ford, Ajani Perkins, David Fine, Anthony Cabello, Ed Moy, Gina Madrid, Victor M. Slone, Tom Woodruff Jr., Stephanie Vandagriff, Marcella Bragio, Chad Briggs, Mahal Montoya, Darlene Nesson, Talon Crow, Jayson Johnson, Tony Toste, Kali Victor, Tina Gilton, Cabran E. Chamberlain, Makiah Green, John Demakas, Akilah A. Walker, LaKeith Stanfield, Lily James, Mel Powell, Danny Glover, James D. Weston II, Steven Yeun, Elaine A. Clark, M. Shawn Cunningham, Beteal Mahari, Mary Lu Marr, Terel Gibson, Spy Emerson, Shelley Mitchell, Ken Baggott, Steve Dakota, Michael X. Sommers, Michael Rhys Kan, Lyrics Born, John Lobato, Safiya Fredericks, Mahari Crown, Sara Buskirk, Jimi Wheeler, Eric Arnold, Yhana Sibelle, Ryan Coursey, Dawayne Jordan, Tom Hart, Cyl'Nita, Val Garrahan, Forest Whitaker, Jonathan Duffy, Brian Sampson, Kelly Williams, Indigo Jackson, Molly Brady, Ken Gamble, Krystle Piamonte, Robert Longstreet, Mistah F.A.B., Yin Dumela, Terry Crews, Teresa Navarro, David Cross, Patton Oswalt, Jacinta Kaumbulu, Damion Gallegos, Thessaly Lerner, Steve Tanabe, Linda Joy Henry, Jerry McDaniel, Rayna Ang‚àö¬©lique, Silk E, Tessa Thompson, Jermaine Fowler, Sara Anders, Eric Jacobus, Nato Green, Armie Hammer, Omari Hardwick</t>
  </si>
  <si>
    <t>Boots Riley</t>
  </si>
  <si>
    <t>Doug Emmett</t>
  </si>
  <si>
    <t>Kelly Williams, George Rush, Forest Whitaker, Nina Yang Bongiovi, Jonathan Duffy, Charles D. King, Caroline Kaplan, Philipp Engelhorn, Gus Deardoff, Poppy Hanks, Michael K. Shen, Kim Roth, Michael Y. Chow</t>
  </si>
  <si>
    <t>Boots Riley, Merrill Garbus</t>
  </si>
  <si>
    <t>/peTl1V04E9ppvhgvNmSX0r2ALqO.jpg</t>
  </si>
  <si>
    <t>sorry to bother you</t>
  </si>
  <si>
    <t>16.716932206992077</t>
  </si>
  <si>
    <t>sundance film festival (1), south by southwest film festival (1), san francisco international film festival (1), seattle international film festival (1), bamcinemafest (1), opening film (1), limited (5), blank (12), internet (5), cph: pix (1), digital platforms (1), dvd and blu-ray premiere (1), los cabos international film festival (1), singapore international film festival (1), paris international fantastic film festival (1), blu-ray premiere (1), american independent film festival (1), dvd premiere (1), feeling film festival (1), tv release (1), a coru√±a (1), subtitled version (1), event (1), tv premiere (1)</t>
  </si>
  <si>
    <t>Skyscraper</t>
  </si>
  <si>
    <t>tt5758778</t>
  </si>
  <si>
    <t>Framed and on the run, a former FBI agent must save his family from a blazing fire in the world's tallest building.</t>
  </si>
  <si>
    <t>Don't look down</t>
  </si>
  <si>
    <t>Action, Thriller, Adventure</t>
  </si>
  <si>
    <t>flynn picture company, legendary pictures, seven bucks productions, universal pictures, dentsu, fuji television network</t>
  </si>
  <si>
    <t>Canada, Japan, United States of America</t>
  </si>
  <si>
    <t>√ÇœÄ√∏√Ç‚àë√ª√ã√ò√π / √Ç¬™¬£√Ç‚àë√ª√ã¬©¬±, √ä√¥√Ü√à√Ñ√∂√ã√ò√π, English</t>
  </si>
  <si>
    <t>Colin Corrigan, Dwayne Johnson, Jason William Day, Adrian Holmes, Omari Newton, Dimitry Tsoy, Pablo Schreiber, Paul Wu, Rene Wang, Sam Yunussov, Allen Keng, Nelson Wong, McKenna Roberts, Lawrence Chau, Ryan Handley, Rick Chambers, Kevin Rankin, Wendy Jacobson, Grace Wang, Kayden Magnuson, Roland M‚àö‚àèller, Hannah Quinlivan, Elfina Luk, Paul McGillion, Kathy Wu, Evan Lai, Marcus Sim, Sarah K. Thurber, Tina Tong, Rob 'Sluggo' Boyce, Matt O'Leary, Byron Mann, Venus Terzo, Carlo Yu, Tzi Ma, Noah Cottrell, Gretal Montgomery, Aaron Au, Leanne Suter, Shamel Hashish, Jett Klyne, Beatrice King, Byron Lawson, Glenn Chow, Shawn Stewart, Neve Campbell, Fabio Tassone, Brian Ho, Lasaundra Gibson, Vivian Full, Sean Kohnke, Malin Barr, Mike Li, Noah Taylor, Chin Han, Matthew Wolf</t>
  </si>
  <si>
    <t>Rawson Marshall Thurber</t>
  </si>
  <si>
    <t>Robert Elswit</t>
  </si>
  <si>
    <t>Rawson Marshall Thurber, Thomas Brungardt</t>
  </si>
  <si>
    <t>Dany Garcia, Mary Parent, Wendy Jacobson, Eric McLeod, Eric Hedayat, Dwayne Johnson, Rawson Marshall Thurber, Beau Flynn, Hiram Garcia</t>
  </si>
  <si>
    <t>Steve Jablonsky</t>
  </si>
  <si>
    <t>/52ml62vClzrlqvXZq2FEW6UF6c1.jpg</t>
  </si>
  <si>
    <t>skyscraper</t>
  </si>
  <si>
    <t>19.53539873338996</t>
  </si>
  <si>
    <t>blank (59), internet (1)</t>
  </si>
  <si>
    <t>Siberia</t>
  </si>
  <si>
    <t>tt6494418</t>
  </si>
  <si>
    <t>Lucas, a diamond trader who travels to Saint Petersburg to arrange a sale, discovers that his Russian business partner has left his hotel and gone to a small Siberian village, so Lucas also heads there to try find him.</t>
  </si>
  <si>
    <t>This was not the plan.</t>
  </si>
  <si>
    <t>Crime, Romance, Thriller</t>
  </si>
  <si>
    <t>buffalo gal pictures, summerstorm entertainment, company films, lionsgate</t>
  </si>
  <si>
    <t>Germany, Canada, United States of America</t>
  </si>
  <si>
    <t>Deutsch, P‚Äî√â‚Äî√Ö‚Äî√Ö‚Äì‚à´‚Äì‚àè‚ÄìœÄ, Afrikaans, English</t>
  </si>
  <si>
    <t>Lindsy Baudry, Bradley Sawatzky, Keanu Reeves, Richard Thomas, Connor Peterson, Ana Ularu, Pasha D. Lychnikoff, Veronica Ferres, James Alexander, Boris Gulyarin, Cory Chetyrbok, Rayna Esposito, Eugene Lipinski, Vladimir Shklyar, BJ Verot, Morgan Holmstrom, Vlado Stokanic, Mikhail Bogdanov, Nazariy Demkowicz, Vitali Makarov, Elliot Lazar, Aleks Paunovic, Kis Yurij, Jeff Strome, Ashley St. George, Andrew Degryse, Anders Strome, Darren Ross, Vitaliy Demens, Rafael Petardi, Molly Ringwald, Alex Kudrytsky, Dmitry Chepovetsky, Ruslan Rusin</t>
  </si>
  <si>
    <t>Matthew Ross</t>
  </si>
  <si>
    <t>Eric Koretz</t>
  </si>
  <si>
    <t>Stephen Hamel, Scott B. Smith</t>
  </si>
  <si>
    <t>Cassian Elwes, Braden Aftergood, Stephen Hamel, Gabriela Bacher, Dave Hansen, Keanu Reeves</t>
  </si>
  <si>
    <t>Danny Bensi, Saunder Jurriaans</t>
  </si>
  <si>
    <t>/eGfIsvdrUhTlQOkxQIELU7obDYj.jpg</t>
  </si>
  <si>
    <t>siberia</t>
  </si>
  <si>
    <t>14.512004631424468</t>
  </si>
  <si>
    <t>blank (16), dvd premiere (8), digital, dvd &amp; blu-ray premiere (1), dvd and blu-ray premiere (1), tv release (1), internet (1)</t>
  </si>
  <si>
    <t>The Miseducation of Cameron Post</t>
  </si>
  <si>
    <t>tt6257174</t>
  </si>
  <si>
    <t>Pennsylvania, 1993. After getting caught with another girl, teenager Cameron Post is sent to a conversion therapy center run by the strict Dr. Lydia Marsh and her brother, Reverend Rick, whose treatment consists in repenting for feeling ‚Äö√Ñ√∫same sex attraction.‚Äö√Ñ√π Cameron befriends fellow sinners Jane and Adam, thus creating a new family to deal with the surrounding intolerance.</t>
  </si>
  <si>
    <t>Come as you are.</t>
  </si>
  <si>
    <t>Drama</t>
  </si>
  <si>
    <t>beachside films, parkville pictures</t>
  </si>
  <si>
    <t>Morgan Camara, Emily Skeggs, Melanie Ehrlich, Sasha Lane, Justin Stowell, Seamus Boyle, Dale Soules, Forrest Goodluck, Dalton Harrod, Jennifer Ehle, John Kruppa, Joseph K. Bevilacqua, Marin Ireland, Paul Evans, Malachi Tunison, Christina Karabiyik, Sheldon Raymore, Andre B. Blake, Kalen Goodluck, Jack Reilly, Steven Hauck, Shelby L. Collete, Quinn Shephard, Gina DeLong, Jack Dorado, Phoebe Camara, Joyce Hausermann, Jeff Marocchi, Gabrielle Vassor, Anthony Krueger, Anjelina King, Chloe Roe, Reba Hasko, Billy Brannigan, Lauren Anderson, Kat Gonzalez, McCabe Slye, Niko Rodriguez, Debbie Vogel, Chlo‚àö¬¥ Grace Moretz, Justin Denis, Francesca Noel, Nick Covell, Peter Heller, Owen Campbell, Cerrone May, Padraig Bond, Kim Emerson, Tanis Parenteau, Joshua Thomas, Kerry Butler, Alexandra Imbrosci-Viera, Christopher Dylan White, Emily Bielagus, John Gallagher Jr., Sid Solomon, Isaac Jin Solstein</t>
  </si>
  <si>
    <t>Desiree Akhavan</t>
  </si>
  <si>
    <t>Ashley Connor</t>
  </si>
  <si>
    <t>Desiree Akhavan, Cecilia Frugiuele, Emily M. Danforth</t>
  </si>
  <si>
    <t>Alex Turtletaub, Cecilia Frugiuele, Michael B. Clark, Olivier Kaempfer, Jonathan Montepare, Desiree Akhavan</t>
  </si>
  <si>
    <t>Julian Wass</t>
  </si>
  <si>
    <t>/xFLJDW3na8AADFzQJT6bM1VU5zs.jpg</t>
  </si>
  <si>
    <t>the miseducation of cameron post</t>
  </si>
  <si>
    <t>14.518546186274548</t>
  </si>
  <si>
    <t>sundance film festival (1), san francisco international film festival (1), tribeca film festival (1), dallas international film festival (1), seattle international film festival (1), molodist international film festival (1), sydney film festival (1), provincetown film festival (1), champs-elys√©es film festival (1), karlovy vary international film festival (2), munich international film festival (1), paris (1), premiere (1), transatlantyk film festival (1), blank (16), new zealand international film festival (1), jerusalem film festival (1), traverse city film festival (1), new york city, new york (1), limited (2), norwegian international film festival (1), humen film festival (1), athens film festival (1), helsinki international film festival (1), calgary film festival (1), zurich film festival (1), american film festival (1), love &amp; pride film festival (1), filmfest homochrom (1), mix copenhagen (1), leiden international film festival (1), mezipatra queer film festival (1), bahamas international film festival (1), dvd premiere (4), festival internacional de cine del uruguay (1), subtitled version (1), internet (1)</t>
  </si>
  <si>
    <t>Mamma Mia! Here We Go Again</t>
  </si>
  <si>
    <t>tt6911608</t>
  </si>
  <si>
    <t>Five years after meeting her three fathers, Sophie Sheridan prepares to open her mother‚Äö√Ñ√¥s hotel. In 1979, young Donna Sheridan meets the men who each could be Sophie‚Äö√Ñ√¥s biological father.</t>
  </si>
  <si>
    <t>Discover how it all began.</t>
  </si>
  <si>
    <t>Comedy, Romance</t>
  </si>
  <si>
    <t>littlestar, playtone</t>
  </si>
  <si>
    <t>Daniella Bowen, Harry Carter, Imelda de los Reyes, Tommy Franzen, Zoe Purpuri, Zara Treherne, Robbie Culley, Jack Hinton, Leon Cooke, Elander Moore, William Bozier, Simone Sault, Alie Coste, Amy Trigg, Michael Skyers, Antonio Susinni, Anna Antoniades, Nick Len, Simon Slater, Luke Woolaston, Meryl Streep, Lisa Ritchie, Duncan Smith, Sonia Dorado, Jane Fowler, Alex Thomas, Matthew Seadon-Young, Maria Despina, Katherine Isles, Hugh Skinner, Alessio Scozzaro, Esther Scheills, Sarah Cortez, Linda Gibbs, Reece Darlington Delaire, Thierry Picaut, Clive Carter, Cher, Benny Andersson, Dominic Cooper, Andy Garc‚àö‚â†a, Charis Murray, Jasmine Takacs, Hannah Bodenham, Myra McFadyen, Panos Mouzourakis, Andrew Monaghan, Charlie Bruce, Jeremy Irvine, Johnny White, Amanda Seyfried, Vanessa Campbell, Bj‚àö‚àÇrn Ulvaeus, Michael Simkins, Emma Deigman, Paul Leonard, Jo Darby, Julienne Schembri, Sharif Afifi, Charles Daish, Fergal McGoff, Alexa Davies, Mandy Montanez, Chrissie Cartwright, Crystal Hantig, Nuwan Hugh Perera, Helen Siveter, Cassie Macmillian, Tom Oakley, Dominic Clarson, Joe Allen, Mazz Murray, Celia Imrie, Kim Ismay, Togo Igawa, Mitchell Lathbury, Zach Robinson, Scott Mobley, Gregory Sims, Georgie Leatherland, Carolyn Jones, Melvin LeBlanc, Andrew Hamshire, Robert Nerantzoulis, Pierce Brosnan, Sharon Gomez, Laura Wilson, Mark Goldthorp, Elliot Collins, Lauren Bott, Jacqueline Braun, Jonathan Goldsmith, Jacqui Jameson, Liam Marcellino, Thomas Pitiris, Naoko Mori, Kenneth Tharp, Alison Jenkins, Amy Thornton, Philippa Stefani, Dawn Buckland, Gerard Monaco, Omid Djalili, Peter Challis, Adam Galbraith, Michael Peters, Tim Wallers, Joe Da Costa, Jeannine Desmier, Ava Brennan, Nicola Coates, Rory Furey-King, Claire Fishenden, Sebastien Torkia, Joseph Poulton, Frances Maassen Chiapetta, Javier Cid, Katy Osborne, Kieran Donovan, Pip Hersee, Nia Fisher, Nathalie Desmier, Joe Edward Mascot, Joshua Lacey, Todd Holdsworth, Billy Warren, Natalia Campbell, Amanda Wilkin, Christine Baranski, Nicole Bondzie, Linzi Hateley, Joe Toland, Michael Small, Layla Harrison, Teneisha Bonner, Anastasia Hille, Michael Anthony, Gemma Lawson, Christopher Blades, Elena Zacharia, Peter Le Brun, Aaron Renfree, Mikaela Taube, Tom Clark, Christopher Parkinson, James Paul McAllister, Caroline Bateson, Craig Anthony-Kelly, Alison Harding, Lukas Hunt, Wendy Baldock, Omari Bernard, Fiona McDonald, Nikki Mae, Holly Mitchell, Stella Segar, Paul Tomkinson, Robert Howie, Jemma Geanaus, Jamie Karitzis, Alim Jayda, Cherelle Jay, Josie Scamell, Justin Thomas, Julie Walters, Lizzie Stavrou, Gregor Stewart, James Alan-Evans, Dan Krikler, Emily Tierney, Ashley Campbell, Kathryn Akin, Wolfgang Mwanje, Sandy Strallen, Georgia Reid Hamilton, Colin Firth, Matt Ryan, Myles Brown, Susanne Barklund, Perry Meadowcroft, Parsifal James Hurst, Melissa Odette Teo, Yasmin Harrison, Sherrie Pennington, Nicola Keen, Chris George, Aaron Ashley Parker, Leonie Hill, Maria Vacratsis, Poppy Tierney, Pedro Etchepare, Chad Wilder, Marianna Neofitou, Jordan Nesbitt, Jenny Galloway, Rachel Muldoon, Eve Polycarpou, Ray Clarke, Anu Ogunmefun, Adi Suissa, Louise Gold, Rebecca Leung, Chanel Mian, Melli Matthews, Tom Wheatley, Jake Moyle, Beth Willetts, Tamara McKoy-Patterson, Dale Branston, Nathaniel Ellul, Leah Sue Morland, Josh Dylan, Cassie Clare, Parisa Shahmir, Dean Street, Matthew James Duff, Reece Kerridge, Emma Clayton, Jayde Nelson, Oliver Metzler, Natalie Davis, Lily James, Grace Cinque White, Stellan Skarsg‚àö‚Ä¢rd, Sam Nesti, Jessica Keenan Wynn</t>
  </si>
  <si>
    <t>Ol Parker</t>
  </si>
  <si>
    <t>Robert D. Yeoman</t>
  </si>
  <si>
    <t>Stig Anderson, Catherine Johnson, Bj‚àö‚àÇrn Ulvaeus, Benny Andersson, Richard Curtis, Ol Parker</t>
  </si>
  <si>
    <t>Claudia Balboa, Tom Hanks, Bj‚àö‚àÇrn Ulvaeus, Benny Andersson, Rapha‚àö¬¥l Benoliel, Anna Sofia M‚àö‚àÇrck, Phyllida Lloyd, Judy Craymer, Richard Curtis, Rita Wilson, Nicky Kentish Barnes, Gary Goetzman</t>
  </si>
  <si>
    <t>Anne Dudley</t>
  </si>
  <si>
    <t>/aWicerX4Y7n7tUwRAVHsVcBBpj2.jpg</t>
  </si>
  <si>
    <t>mamma mia! here we go again</t>
  </si>
  <si>
    <t>19.79593401343077</t>
  </si>
  <si>
    <t>stockholm (1), premiere (2), london (1), blank (59), genting highlands (1), dvd premiere (2), internet (1)</t>
  </si>
  <si>
    <t>The Equalizer 2</t>
  </si>
  <si>
    <t>tt3766354</t>
  </si>
  <si>
    <t>Robert McCall, who serves an unflinching justice for the exploited and oppressed, embarks on a relentless, globe-trotting quest for vengeance when his former partner is murdered.</t>
  </si>
  <si>
    <t>There is no equal.</t>
  </si>
  <si>
    <t>Action, Thriller, Crime</t>
  </si>
  <si>
    <t>lonetree entertainment, fuqua films, escape artists, sony pictures, zhiv productions, mace neufeld productions, columbia pictures</t>
  </si>
  <si>
    <t>√ø√ü≈∏√ë√øœÄ√ø¬±√ø¬Æ≈∏√§√ø¬©, English, Fran‚àö√üais, ‚óä¬¢√∑¬•‚óä√´√∑‚àû‚óä¬Æ√∑¬•‚óä√¥‚óä‚Ñ¢, Espa‚àö¬±ol, T‚àö¬∫rk‚àö√üe</t>
  </si>
  <si>
    <t>Drew Cooper, Elena Capaldi, Antoine de Lartigue, Gabrielle Lorthe, Kazy Tauginas, Nathaniel Chaney, Denzel Washington, Enku Gubaie, Abigail Marlowe, Garrett Golden, David Carrasquillo, Gerry Pucci, Karen Strong, Liam McNeill, GeGe Jackson, Ken Baltin, Junior Cius, Tamara Hickey, Ashton Sanders, Wesley Pereira, Jonathan Scarfe, Rex Baning, Jermaine Holt, Pen‚àö¬©lope de la Rosa, Arthur Hiou, Jeff Bellin, Melissa Leo, Rhys Olivia Cote, Colin Allen, Andrei Arlovski, Caroline Day, Gloria Papert, Phil Tavares, Johnny L. Hernandez, Alessandra Noelle Rosenfeld, Orson Bean, Donald Cerrone, Lillie Dickens, Maximillian McNamara, Ted Arcidi, Sakina Jaffrey, Tim Doherty, Phyllis Kay, Alican Barlas, Adam Karst, Bill Pullman, Jim Loutzenhiser, Rory Benjamin Smith, Jay Hieron, Miguel Nascimento, Lance Norris, Lance A. Williams, Naheem Garcia, Marley Dauphin, Pedro Pascal, CJ Stuart</t>
  </si>
  <si>
    <t>Antoine Fuqua</t>
  </si>
  <si>
    <t>Oliver Wood</t>
  </si>
  <si>
    <t>Michael Sloan, Richard Wenk, Richard Lindheim</t>
  </si>
  <si>
    <t>Jason Blumenthal, Richard Wenk, Molly Allen, Steve Tisch, Antoine Fuqua, Tony Eldridge, Michael Sloan, Mace Neufeld, Todd Black, Alex Siskin, Denzel Washington</t>
  </si>
  <si>
    <t>Harry Gregson-Williams</t>
  </si>
  <si>
    <t>/cQvc9N6JiMVKqol3wcYrGshsIdZ.jpg</t>
  </si>
  <si>
    <t>the equalizer 2</t>
  </si>
  <si>
    <t>19.064638510153127</t>
  </si>
  <si>
    <t>blank (54), locarno film festival (1), dvd premiere (1), internet (2)</t>
  </si>
  <si>
    <t>Mission: Impossible - Fallout</t>
  </si>
  <si>
    <t>tt4912910</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</si>
  <si>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</si>
  <si>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Some missions are not a choice.</t>
  </si>
  <si>
    <t>Action, Adventure</t>
  </si>
  <si>
    <t>paramount pictures, bad robot, skydance media, tc productions</t>
  </si>
  <si>
    <t>English, Fran‚àö√üais</t>
  </si>
  <si>
    <t>Rebecca Ferguson, Jag Patel, Jean Baptiste Fillon, Guy Remy, Maximilian Geller, Christophe de Choisy, Andrew Cazanave Pin, Lady Conny Sharples, Alexandre Poole, Stuart Davidson, Dean Ashton, Alix B‚àö¬©n‚àö¬©zech, Grahame Fox, Simon Pegg, Charlie Archer, Robert Ryan, Michelle Monaghan, Alec Baldwin, Joey Ansah, Vanessa Kirby, Julianne Binard, Wes Bentley, Kristoffer Joner, Wolf Blitzer, Harvey Djent, David Mumeni, Thierry Picaut, Ffion Jolly, Ross O'Hennessy, Pamela Cook, Stephen Erhirhi, Vincent Latorre, Caspar Phillipson, Henry Cavill, Olivier Huband, Velibor Topic, Tracey Saunders, Lolly Adefope, Raphael Desprez, Hiten Patel, Christopher McQuarrie, Alicia Menc‚àö‚â†a Casta‚àö¬±o, Sean Harris, Ving Rhames, Nigel Allen, Liang Yang, Russ Bain, Jessie Vinning, Angela Bassett, Raphael Acloque, Tom Cruise, Godiva Marshall, Frederick Schmidt</t>
  </si>
  <si>
    <t>Christopher McQuarrie</t>
  </si>
  <si>
    <t>Hugues Espinasse, Rob Hardy</t>
  </si>
  <si>
    <t>Bruce Geller, Christopher McQuarrie</t>
  </si>
  <si>
    <t>Matt Grimm, Jake Myers, J.J. Abrams, Dana Goldberg, Don Granger, Christopher McQuarrie, David Ellison, Tommy Harper, Rapha‚àö¬¥l Benoliel, Bryan Burk, Tom Cruise</t>
  </si>
  <si>
    <t>Lorne Balfe</t>
  </si>
  <si>
    <t>/AkJQpZp9WoNdj7pLYSj1L0RcMMN.jpg</t>
  </si>
  <si>
    <t>mission: impossible - fallout</t>
  </si>
  <si>
    <t>20.489640298549904</t>
  </si>
  <si>
    <t>paris (1), premiere (2), london (1), blank (64), special summer preview (1), preikestolen (1), digital (1), dvd,4k uhd,blu-ray (1), moma - the contenders (1), blu-ray release (1), internet (2)</t>
  </si>
  <si>
    <t>The Darkest Minds</t>
  </si>
  <si>
    <t>tt4073790</t>
  </si>
  <si>
    <t>After a disease kills 98% of America's children, the surviving 2% develop superpowers and are placed in internment camps. A 16-year-old girl escapes her camp and joins a group of other teens on the run from the government.</t>
  </si>
  <si>
    <t>The ones who changed will change everything</t>
  </si>
  <si>
    <t>Action, Adventure, Drama</t>
  </si>
  <si>
    <t>21 laps entertainment, 20th century fox</t>
  </si>
  <si>
    <t>Darren Alford, Catherine Dyer, Morgan Marie, John Crow, Wade Williams, Bryce Speaker, Devon Sorvari, Amandla Stenberg, Carson Holmes, Mark O'Brien, Larkin Campbell, Miya Cech, Cynne Simpson, Skyler Semien, Gino LaMont, Izabella Dzmitryieu, DeVyne Agapito, Harris Dickinson, Wallace Langham, Desi-Ray Morris, Faye Foley, Skylan Brooks, Ahmed Zakzouk, Shannon Mosley, McCarrie McCausland, Brennen Wiley, Alannah Wilhite, Kaleigh Rivera, Gage Lawson, Peyton Wich, Morgan Gao, Patrick Gibson, Ethan Alexander McGee, Charles Green, Nate Seman, Drew Scheid, Camden Haydon, Grace DeAmicis, Makenzie Collier, Bruce Blackshear, Logan Siu, Bradley Whitford, Berglind Jonsdottir, Brooke Bowe, Katie Hubbard, Lidya Jewett, Duncan E. Clark, Golden Brooks, Allie McCulloch, Bernard Bell, Sammi Rotibi, Gwendoline Christie, D‚àö¬©j‚àö¬∞ Dee, Mandy Moore</t>
  </si>
  <si>
    <t>Jennifer Yuh Nelson</t>
  </si>
  <si>
    <t>Kramer Morgenthau</t>
  </si>
  <si>
    <t>Alexandra Bracken, Chad Hodge</t>
  </si>
  <si>
    <t>Dan Levine, Shawn Levy, Dan Cohen</t>
  </si>
  <si>
    <t>Benjamin Wallfisch</t>
  </si>
  <si>
    <t>/8NdQneXBYVbBKt81bFhXiyThe0h.jpg</t>
  </si>
  <si>
    <t>the darkest minds</t>
  </si>
  <si>
    <t>17.532549291755437</t>
  </si>
  <si>
    <t>blank (51), milan (1), blu-ray premiere (1), dvd and blu-ray premiere (1), internet (1)</t>
  </si>
  <si>
    <t>Teen Titans Go! To the Movies</t>
  </si>
  <si>
    <t>tt7424200</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</si>
  <si>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</si>
  <si>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superhero movie to end all superhero movies. Hopefully.</t>
  </si>
  <si>
    <t>Animation, Action, Comedy, Science Fiction</t>
  </si>
  <si>
    <t>warner bros. animation, dc entertainment</t>
  </si>
  <si>
    <t>Greg Davies, Tara Strong, Patton Oswalt, Eric Bauza, Hynden Walch, Alexander Polinsky, James Arnold Taylor, Kristen Bell, Greg Cipes, Scott Menville, Stan Lee, Meredith Salenger, Lil Yachty, Wil Wheaton, Tom Kenny, David Kaye, John DiMaggio, Dave Stone, Joey Capps, Fred Tatasciore, Vanessa Marshall, Halsey, Kal-El Cage, Will Arnett, Jimmy Kimmel, Phil Morris, Nicolas Cage, Khary Payton</t>
  </si>
  <si>
    <t>Aaron Horvath, Peter Rida Michail</t>
  </si>
  <si>
    <t>Jerry Siegel, Joe Shuster, William Moulton Marston, Michael Jelenic, Aaron Horvath, Bill Finger, George P‚àö¬©rez, Arnold Drake, Bob Kane, Marv Wolfman</t>
  </si>
  <si>
    <t>Peter Rida Michail, Peggy Regan, Will Arnett, Michael Jelenic, Aaron Horvath, Sam Register, Michael Uslan, Benjamin Melniker</t>
  </si>
  <si>
    <t>Jared Faber</t>
  </si>
  <si>
    <t>/mFHihhE9hlvJEk2f1AqdLRaYHd6.jpg</t>
  </si>
  <si>
    <t>teen titans go! to the movies</t>
  </si>
  <si>
    <t>17.774230815138246</t>
  </si>
  <si>
    <t>los angeles, california (1), premiere (1), blank (39), internet (1)</t>
  </si>
  <si>
    <t>Christopher Robin</t>
  </si>
  <si>
    <t>tt4575576</t>
  </si>
  <si>
    <t>Christopher Robin, the boy who had countless adventures in the Hundred Acre Wood, has grown up and lost his way. Now it‚Äö√Ñ√¥s up to his spirited and loveable stuffed animals, Winnie The Pooh, Tigger, Piglet, and the rest of the gang, to rekindle their friendship and remind him of endless days of childlike wonder and make-believe, when doing nothing was the very best something.</t>
  </si>
  <si>
    <t>Sooner or later, your past catches up to you.</t>
  </si>
  <si>
    <t>Adventure, Comedy, Family, Fantasy</t>
  </si>
  <si>
    <t>walt disney pictures, 2dux¬¨‚â§</t>
  </si>
  <si>
    <t>Sophie Okonedo, Connor Haywood, Shola Adewusi, Matt Gavan, Lee Asquith-Coe, Ken Nwosu, Brad Garrett, Rutvig Vaid, Vivien Bridson, Kumud Pant, Amrou Al-Kadhi, Stuart Cooke, Matthew Earley, Ethan Keaton, Michael Jenn, Orton O'Brien, Vera Chok, Christopher Haley, Nick Mohammed, Rupert Turnbull, Jeremy Oliver, Claire Redcliffe, Matt Berry, Zain Falzon, Ewan McGregor, Nick Davison, Roy Beck, Oliver Payne, Karen Smyth, Roger Ashton-Griffiths, Tristan Sturrock, Chloe-Megan Child, Sharron Spice, Dean Middhat, Sara Sheen, David Evestaff, Narinder Samra, Souad Faress, Peter Capaldi, Mackenzie Crook, Chloe Swan Sparwath, Mark Sayers, Evie Wray, John Dagleish, Richard M. Sherman, Richard Price, Rainy Milo, Mary Yeomans, Peter Singh, Hayley Atwell, Simon Farnaby, Karol Steele, Clara McGregor, David Hartley, Adrian Scarborough, Kai Scarlett Williams, Anthony Richard Rowe, Thomas Padden, Oliver Ford Davies, Jackson Kai, Errol Francis, John Whitby, Caroline Garnell, Matt Harvey, Harriet Leitch, Katy Carmichael, Jim Cummings, Paul Chahidi, Summer Brooks, Marco Mastrocola, Raj Ghatak, Gary Thompsett, Toby Jones, Mark Gatiss, Niamh O'Mahony, Tim Ingall, Gino Picciano, Elsa Minell Solak, Amanda Lawrence, Olga Docheva, Bronte Carmichael, Jasmine-Simone Charles, Alan Clark, Gintare Beinoraviciute, A.k. Steppa, Chris Pratt, Ronk¬∑‚à´œÄ Ad‚àö¬©kolu¬∑‚à´œÄjo, Gareth Mason, Bern Colla‚àö√üo</t>
  </si>
  <si>
    <t>Marc Forster</t>
  </si>
  <si>
    <t>Matthias Koenigswieser</t>
  </si>
  <si>
    <t>Allison Schroeder, Greg Brooker, Ernest Shepard, Mark Steven Johnson, Alex Ross Perry, Tom McCarthy, A.A. Milne</t>
  </si>
  <si>
    <t>Jeremy Johns, Kristin Burr, Renee Wolfe, Brigham Taylor</t>
  </si>
  <si>
    <t>Jon Brion, Geoff Zanelli</t>
  </si>
  <si>
    <t>/i6Ytex4d3CdfIKJFxB5v5vh24vb.jpg</t>
  </si>
  <si>
    <t>christopher robin</t>
  </si>
  <si>
    <t>19.10248573437225</t>
  </si>
  <si>
    <t>burbank, california (1), premiere (1), blank (68), limited (2), dvd premiere (2)</t>
  </si>
  <si>
    <t>The Wife</t>
  </si>
  <si>
    <t>tt3750872</t>
  </si>
  <si>
    <t>A wife questions her life choices as she travels to Stockholm with her husband, where he is slated to receive the Nobel Prize for Literature.</t>
  </si>
  <si>
    <t>Secrets lie between the lines</t>
  </si>
  <si>
    <t>anonymous content, meta film london, silver reel, tempo productions, embankment films, creative scotland, spark film &amp; tv, chimney sweden, film i v‚àö¬ßst</t>
  </si>
  <si>
    <t>Sweden, Switzerland, United Kingdom, United States of America</t>
  </si>
  <si>
    <t>English, svenska</t>
  </si>
  <si>
    <t>Carolin Stoltz, Glenn Close, Harry Lloyd, Jane Garioni, Twinnie Lee Moore, Suzanne Bertish, Gr‚àö¬∞inne Keenan, Mattias Nordkvist, Max Irons, Catharina Christie, Alix Wilton Regan, H‚àö‚Ä¢kan Pettersson, Nick Fletcher, Christian Slater, Ossian Skarsg‚àö‚Ä¢rd, Jan Mybrand, Jonathan Pryce, Karin Franz K‚àö‚àÇrlof, Isabelle von Meyenburg, Johan Widerberg, Morgane Polanski, Michael Benz, Annie Starke, Anna Azc‚àö¬∞rate, Fredric Gildea, John Moraitis, Peter Forbes, Elizabeth McGovern, Richard Cordery, Johanna Andersson</t>
  </si>
  <si>
    <t>Bj‚àö‚àÇrn Runge</t>
  </si>
  <si>
    <t>Ulf Brant‚àö‚Ä¢s</t>
  </si>
  <si>
    <t>Jane Anderson, Meg Wolitzer</t>
  </si>
  <si>
    <t>Claudia Bluemhuber, Mark Cooper, Gerd Schepers, Tomas Eskilsson, Hugo Grumbar, Jon Mankell, Nina Bisgaard, Florian Dargel, Tim Haslam, Piers Tempest, Jo Bamford, Jane Anderson, Bj‚àö‚àÇrn Runge, Rosalie Swedlin, Meta Louise Foldager S‚àö‚àèrensen, Gero Bauknecht</t>
  </si>
  <si>
    <t>Jocelyn Pook</t>
  </si>
  <si>
    <t>/d4Qyuy0Ul549f6SOdUqGvIdYKD2.jpg</t>
  </si>
  <si>
    <t>the wife</t>
  </si>
  <si>
    <t>16.811242881518265</t>
  </si>
  <si>
    <t>toronto international film festival (1), donostia-san sebasti√°n international film festival (1), zurich film festival (1), blank (36), limited (2), noordelijk film festival (1), palm springs international film festival (1), internet (1), tv premiere (1)</t>
  </si>
  <si>
    <t>The Spy Who Dumped Me</t>
  </si>
  <si>
    <t>tt6663582</t>
  </si>
  <si>
    <t>A couple of thirtysomething best friends unwittingly become entangled in an international conspiracy when one‚Äö√Ñ√¥s ex-boyfriend shows up at their apartment with a team of deadly assassins on his trail.</t>
  </si>
  <si>
    <t>They got this.</t>
  </si>
  <si>
    <t>Comedy, Action, Adventure</t>
  </si>
  <si>
    <t>imagine entertainment, lionsgate</t>
  </si>
  <si>
    <t>English, Fran‚àö√üais, Deutsch, Lietuvi‚âà‚â•, P‚Äî√â‚Äî√Ö‚Äî√Ö‚Äì‚à´‚Äì‚àè‚ÄìœÄ</t>
  </si>
  <si>
    <t>Paul Reiser, Gyula Mesterh‚àö¬∞zy, Ruby Kammer, Bettina Csipszer, ‚àö√Ögnes B‚àö¬∞nfalvy, Vilma Sz‚àö¬©csi, Nicholas Wittman, Tom Stourton, Roderick Hill, Kevin Ezekiel Ogunleye, Carolyn Cicalese, Blanka Gy‚àö‚àÇrfi-T‚àö‚â•th, Andr‚àö¬∞s Velkov, Hugo Bolton, L‚àö¬∞szl‚àö‚â• ‚àö√Öron, Gillian Anderson, Ivanna Sakhno, Carolyn Pickles, James Fleet, Jane Curtin, H‚àö¬©l‚àö¬Æne Cardona, Noelle Loizos, Tam‚àö¬∞s Szab‚àö‚â• Sipos, Justin Theroux, Ivett Di‚àö¬∞na Bukovinszki, L‚àö‚â†via H‚àö¬∞bermann, David Iserson, Hanna Milovits, Kev Adams, Patr‚àö‚â†cia Tary, Attila ‚àö√Örpa, Peter Schueller, Mila Kunis, Dustin Demri-Burns, Hasan Minhaj, Genevieve McCarthy, Kate McKinnon, Mirjam Novak, Lolly Adefope, Sam Heughan, ‚àö√¨lafur Darri ‚àö√¨lafsson, Justine Wachsberger, Fred Melamed, Barnab‚àö¬∞s R‚àö¬©ti, Rebeka Eva Cook, Anita Anand</t>
  </si>
  <si>
    <t>Susanna Fogel</t>
  </si>
  <si>
    <t>Barry Peterson</t>
  </si>
  <si>
    <t>David Iserson, Susanna Fogel</t>
  </si>
  <si>
    <t>David Iserson, Erica Huggins, Susanna Fogel, Brian Grazer, Julie Oh, Jason Cloth, Karen Lunder, Guy Riedel, Erik Feig, Ron Howard, Paris Kassidokostas-Latsis</t>
  </si>
  <si>
    <t>Tyler Bates</t>
  </si>
  <si>
    <t>/szEKivKPOdRyogROoQIldwbMl.jpg</t>
  </si>
  <si>
    <t>the spy who dumped me</t>
  </si>
  <si>
    <t>17.32890711823322</t>
  </si>
  <si>
    <t>los angeles, california (1), premiere (1), blank (54), sarajevo film festival (1), dvd premiere (1), internet (1)</t>
  </si>
  <si>
    <t>Destination Wedding</t>
  </si>
  <si>
    <t>tt6987770</t>
  </si>
  <si>
    <t>Frank and Lindsay‚Äö√Ñ√Ætwo emotionally-broken strangers‚Äö√Ñ√Æmeet on the way to a destination wedding. Over the course of the weekend and against all odds, they find themselves drawn together even though they are initially repulsed by one another.</t>
  </si>
  <si>
    <t>Check your baggage.</t>
  </si>
  <si>
    <t>Romance, Comedy, Drama</t>
  </si>
  <si>
    <t>the fyzz, sunshine pictures, two camels films</t>
  </si>
  <si>
    <t>D. Rosh Wright, Ted Dubost, DJ Dallenbach, Curt Dubost, Greg Lucey, Keanu Reeves, Winona Ryder, Donna Lynn Jones</t>
  </si>
  <si>
    <t>Victor Levin</t>
  </si>
  <si>
    <t>Giorgio Scali</t>
  </si>
  <si>
    <t>Cassian Elwes, Elizabeth Dell, Gail Lyon, Mark Lane, Robert Jones, Wayne Marc Godfrey, James Harris</t>
  </si>
  <si>
    <t>William Ross</t>
  </si>
  <si>
    <t>/ioj2FMnMgD0eHgYfd31HtWOtBWU.jpg</t>
  </si>
  <si>
    <t>destination wedding</t>
  </si>
  <si>
    <t>14.596222545676454</t>
  </si>
  <si>
    <t>blank (27), unknown (1), limited (1), internet (5), dvd premiere (4), digital hd platforms (2)</t>
  </si>
  <si>
    <t>My Hero Academia: Two Heroes</t>
  </si>
  <si>
    <t>tt7745068</t>
  </si>
  <si>
    <t>ja</t>
  </si>
  <si>
    <t>√Ç√â√Ø‚Äû√Ö√Ü‚Äû√â√≠‚Äû√â¬∫‚Äû√â‚â†‚Äû√â¬∫‚Äû√á¬¢‚Äû√á¬¥‚Äû√â√°‚Äû√â√º‚Äû√á¬¢ THE MOVIE √îŒ©√ª2‚Ä∞‚à´‚à´‚Äû√Ö√Ü√ã√£¬±√à√µ√ë√îŒ©√ª</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</si>
  <si>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</si>
  <si>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Who is your hero?</t>
  </si>
  <si>
    <t>Animation, Action, Adventure, Fantasy</t>
  </si>
  <si>
    <t>bones, yomiuri telecasting corporation, shueisha, nippon television network corporation, dentsu, sony music entertainment (japan), movic, toho</t>
  </si>
  <si>
    <t>Japan</t>
  </si>
  <si>
    <t>√ä√≥‚Ä¢√ä√∫¬®√ã‚Ñ¢√ª</t>
  </si>
  <si>
    <t>Kei Kawamura, Youko Taniguchi, Kei Shindo, Aoi Yuuki, Takahiro Sumi, Honoka Tsumita, Wakana Minami, Yukiko Yamashita, Mami Sugino, Daigo Yamamoto, Yoshimasa Hosoya, Yuuya Tabata, Tasuku Hatanaka, Eri Kitamura, Marina Inoue, Takayuki Masuda, Toshiki Masuda, Ayane Sakura, Nobuhiko Okamoto, Aya Kawakami, Kaori Nazuka, Aisun Kochu, Ryo Hirohashi, Kenichi Mochizuki, Kenta Miyake, Genta Aoki, Keiji Hirai, Asami Namiki, Nobuyuki Hayakawa, Kensuke Sato, Mirai Shida, Ai Kobayashi, Akio Otsuka, Atsuhiro Saito, Risa Joji, Ayako Kamegai, Daiki Yamashita, Hiroaki Okuda, Rikiya Koyama, Kiyotaka Furushima, Yuki Kaji, Masakazu Nishida, Masaya Fukunishi, Haruka Shamoto, Yuka Hojo, Toru Nara, Ryohei Kimura, Mitsuru Ogata, Katsuhisa Namase, Misuzu Togashi, Ryota Iwasaki, Kaito Ishikawa</t>
  </si>
  <si>
    <t>Kenji Nagasaki</t>
  </si>
  <si>
    <t>Masataka Ikegami</t>
  </si>
  <si>
    <t>Kohei Horikoshi, Yosuke Kuroda, Hitoshi Nagai</t>
  </si>
  <si>
    <t>Yoshihiro Furusawa, Akito Takahashi, Wakana Okamura, Yoshihiro Oyabu, Minami Ichikawa, Koji Nagai, Keiji Ota, Kazumasa Sanjouba</t>
  </si>
  <si>
    <t>Yuki Hayashi</t>
  </si>
  <si>
    <t>/hC4nTxdhXqFWzgqynGvvXVMiMNp.jpg</t>
  </si>
  <si>
    <t>my hero academia: two heroes</t>
  </si>
  <si>
    <t>17.129971070410637</t>
  </si>
  <si>
    <t>anime expo (1), premiere (1), blank (31), limited (13), internet (1), barcelona (1), technical release (1), 4dx (1), zaragoza (1), subtitled version (1), technical &amp; event release (1)</t>
  </si>
  <si>
    <t>Death of a Nation</t>
  </si>
  <si>
    <t>tt8564902</t>
  </si>
  <si>
    <t>Parallels are drawn between Abraham Lincoln's presidency and the presidency of Donald Trump. Not since 1860 have the Democrats so fanatically refused to accept the result of a free election. That year, their target was Lincoln. They smeared him. They went to war to defeat him. In the end, they assassinated him.</t>
  </si>
  <si>
    <t>Can we save America a second time?</t>
  </si>
  <si>
    <t>Documentary, History</t>
  </si>
  <si>
    <t>d'souza media</t>
  </si>
  <si>
    <t>Angela Primm, Richard Spencer, Victoria Chilap, James McVan, Dinesh D'Souza, Karel Dobr‚àöŒ©, Pavel K‚âà√¥‚àö‚â†‚âà√¶</t>
  </si>
  <si>
    <t>Dinesh D'Souza, Bruce Schooley</t>
  </si>
  <si>
    <t>Dinesh D'Souza</t>
  </si>
  <si>
    <t>Gerald R. Molen</t>
  </si>
  <si>
    <t>Dennis McCarthy</t>
  </si>
  <si>
    <t>/ayUSOpmiPZOARCklJdDnIWPa2QE.jpg</t>
  </si>
  <si>
    <t>death of a nation</t>
  </si>
  <si>
    <t>15.588067160004094</t>
  </si>
  <si>
    <t>blank (1)</t>
  </si>
  <si>
    <t>Karwaan</t>
  </si>
  <si>
    <t>tt7919680</t>
  </si>
  <si>
    <t>‚Ä°¬ß√Ø‚Ä°¬ß√¶‚Ä°¬ß‚àû‚Ä°¬ß¬µ‚Ä°¬ß√¶‚Ä°¬ß√Ö</t>
  </si>
  <si>
    <t>Avinash, a dejected soul stuck in a dead-end job shares a strange relationship with his father. He holds him responsible for crushing his dreams. However, he is left pondering upon this longstanding hatred when he hears of his father‚Äö√Ñ√¥s untimely demise.</t>
  </si>
  <si>
    <t>3 Lost Souls.. 2 Dead Bodies.. A Journey Of A Lifetime</t>
  </si>
  <si>
    <t>Adventure, Comedy</t>
  </si>
  <si>
    <t>rsvp movies</t>
  </si>
  <si>
    <t>India</t>
  </si>
  <si>
    <t xml:space="preserve">‚Ä°¬ßœÄ‚Ä°¬ß√∏‚Ä°¬ß¬Æ‚Ä°‚Ä¢√ß‚Ä°¬ß¬∂‚Ä°‚Ä¢√Ñ, </t>
  </si>
  <si>
    <t>Shubrajyoti Bharat, Akash Khurana, Sarang Sathaye, Kriti Kharbanda, Irrfan Khan, Nipun Dharmadhikari, Adhaar Khurana, Siddharth Menon, Donna Munshi, Dulquer Salmaan, Beena Banerjee, Habib Azami, Amala Akkineni, Sameer Saxena, Mithila Palkar</t>
  </si>
  <si>
    <t>Akarsh Khurana</t>
  </si>
  <si>
    <t>Avinash Arun</t>
  </si>
  <si>
    <t>Hussain Dalal, Adhir Bhat, Bejoy Nambiar, Akarsh Khurana</t>
  </si>
  <si>
    <t>Sanjeevkumar Nair, Ronnie Screwvala</t>
  </si>
  <si>
    <t>Anurag Saikia, Imaad Shah</t>
  </si>
  <si>
    <t>/dS0ZFlqGbGGksSUdqk7niL7rywc.jpg</t>
  </si>
  <si>
    <t>karwaan</t>
  </si>
  <si>
    <t>15.065373324937944</t>
  </si>
  <si>
    <t>blank (8), spazio oberdan cineteca italiana, milan (1)</t>
  </si>
  <si>
    <t>Under the Silver Lake</t>
  </si>
  <si>
    <t>tt5691670</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</si>
  <si>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</si>
  <si>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What are they hiding?</t>
  </si>
  <si>
    <t>Crime, Drama, Mystery</t>
  </si>
  <si>
    <t>michael de luca productions, good fear, pastel, unltd productions, salem street entertainment, boo pictures</t>
  </si>
  <si>
    <t>Elizabeth Hinkler, Luke Baines, Sydney Sweeney, Grace Van Patten, Mario Diaz, Jackson Gann, Shad Roberts, Annabelle Dexter-Jones, Rozie Bacchi, Layla Rumi, Jimmi Simpson, Don McManus, Millie Atchison, Victoria Bruno, Ivy Matheson, Darrel Cherney, Allie MacDonald, Wendy Vanden Heuvel, Brian Aubert, Pepi Sonuga, Greg Wayne, Sibongile Mlambo, Jenn An, Devin Kawaoka, Izzie Coffey, David Yow, Jeannine Cota, Bobbi Salv‚àö‚àÇr Menuez, Brode Gann, David Harper, Jeremy Bobb, Sky Elobar, Reese Hartwig, Kayla DiVenere, Christina Wildes, Oscar Best, Deborah Geffner, Chris Gann, Guy Nardulli, Brian Gattas, Andrew Garfield, Jules Willcox, Jessica Makinson, Patrick Fischler, Nicole Disson, Tucker Meek, Deven Green, June Carryl, Christopher Guanlao, Nikki Monninger, Gabrielle Maiden, Olivia Fox, John Eddins, Adam Bartley, Summer Bishil, Brittney Parker Rose, Laura-Leigh, Joe Lester, Zosia Mamet, Topher Grace, Kat Purgal, Cheyenne Haynes, Karen Nitsche, Riki Lindhome, Callie Hernandez, Mary Cameron Rogers, Rex Linn, Lola Blanc, Riley Keough</t>
  </si>
  <si>
    <t>David Robert Mitchell</t>
  </si>
  <si>
    <t>Mike Gioulakis</t>
  </si>
  <si>
    <t>Alan Pao, Luke Daniels, Daniela Taplin Lundberg, Michael Bassick, Jeffrey Konvitz, Jenny Hinkey, Jake Weiner, Jason Dreyer, Candice Abela-Mikati, Chris Bender, Jeff Geoffray, Todd Remis, Michael De Luca, David Moscow, Adele Romanski</t>
  </si>
  <si>
    <t>Rich Vreeland</t>
  </si>
  <si>
    <t>/771Ey73LqsE9ORJhQCI25rgMXS2.jpg</t>
  </si>
  <si>
    <t>under the silver lake</t>
  </si>
  <si>
    <t>14.535041603068237</t>
  </si>
  <si>
    <t>cannes film festival (1), blank (28), brussels international film festival (1), neuch√¢tel international fantastic film festival (1), fantasia film festival (1), new horizons film festival (1), fantasy filmfest (1), calgary film festival (1), fantastic fest (1), vancouver international film festival (1), sitges film festival (1), american film festival (2), los cabos international film festival (1), afi fest (1), glasgow film festival (1), night visions international film festival (1), internet (1), toronto (1), dvd premiere (3), blu-ray release (2), rtp 1 (1), tv premiere (1)</t>
  </si>
  <si>
    <t>The Spy Gone North</t>
  </si>
  <si>
    <t>tt8290698</t>
  </si>
  <si>
    <t>ko</t>
  </si>
  <si>
    <t>√ç‚â•¬µ√è√ª√´</t>
  </si>
  <si>
    <t>South Korea, 1993. An agent of the National Intelligence Service is sent to Beijing to infiltrate a group of North Korean officials with the ultimate goal of obtaining information about their nuclear program.</t>
  </si>
  <si>
    <t>In the lasting days of the Cold War.</t>
  </si>
  <si>
    <t>Drama, History, Thriller</t>
  </si>
  <si>
    <t>sanai pictures, moonlight film, cj entertainment</t>
  </si>
  <si>
    <t>South Korea</t>
  </si>
  <si>
    <t>English, √ä√≥‚Ä¢√ä√∫¬®√ã‚Ñ¢√ª, √ä√¥√Ü√à√Ñ√∂√ã√ò√π, √å√Ø√∫√ç¬µ‚â†√è√±¬•/√è¬∞‚àû√è√ë‚Ä†√é√ü√™</t>
  </si>
  <si>
    <t>Park Jin-young, Kim Woo-hyeon, Kim Sung-kang, Kim Eung-soo, Darin Shaw, Hong Gi-jun, Cho Jin-woong, Park Woo-jae, Kang Deok-joong, Lee Hoi-chang, Park Won-Hee, Nam Moon-chul, Seo Suk-kyu, Kim Hong-pa, Lee Sung-min, Heo Seung, Jeong So-ri, Yoon Jae-in, Joo Hae-eun, Oh Gyeong-hwa, Lee Dong-hee, Yang Hyun-min, Kim Kyu-baek, Ki Joo-bong, Kwak Ja-hyung, Kwon Beom-taek, Lee Hyo-ri, Ju Ji-hoon, Ryu Sung-hyun, Oh Jin-ha, Eom Ji-man, Chae Yong, Kim Hyun, Jeong Han-bin, Kim Ji-na, Choi Jeong-in, Park Sung-woong, Seol Chang-hee, Jeong Gi-seop, Min Moo-je, Kim Byeong-ok, Kwak Jin-seok, Kim In-woo, Park Kyung-chan, Kim So-jin, Kim Dae-jung, Lee Seung-joon, Lee Sang-won, Choi Byung-mo, Baek Seung-ik, Cha Ji-heon, Yoon Dae-yeul, Kim Jong-soo, Han Soo-hyun, Keum Sae-rok, Kang Jun-seok, Hwang In-sung, Kim Kwang-hyeon, Hwang Jung-min</t>
  </si>
  <si>
    <t>Yoon Jong-bin</t>
  </si>
  <si>
    <t>Choi Chan-min</t>
  </si>
  <si>
    <t>Kwon Sung-hui, Yoon Jong-bin</t>
  </si>
  <si>
    <t>Mike Im, Kuk Su-ran, Simon Lee, Roger Huang Jiang-Feng, Park Myeong-chan, Son Sang-bum, Han Jae-duk</t>
  </si>
  <si>
    <t>Cho Young-wuk</t>
  </si>
  <si>
    <t>/ib7SNOKqPKLyVXTjhuVJIglTC3E.jpg</t>
  </si>
  <si>
    <t>the spy gone north</t>
  </si>
  <si>
    <t>8.063377822367027</t>
  </si>
  <si>
    <t>cannes film festival (1), blank (13), melbourne international film festival (1), l'√©trange festival (1), busan international film festival (1), bfi london film festival (1), international film festival rotterdam (1), filmoteca de catalunya (1), bcn film fest (1), udine far east film festival (1)</t>
  </si>
  <si>
    <t>The Meg</t>
  </si>
  <si>
    <t>tt4779682</t>
  </si>
  <si>
    <t>A deep sea submersible pilot revisits his past fears in the Mariana Trench, and accidentally unleashes the seventy foot ancestor of the Great White Shark believed to be extinct.</t>
  </si>
  <si>
    <t>Pleased to eat you.</t>
  </si>
  <si>
    <t>Action, Science Fiction, Horror</t>
  </si>
  <si>
    <t>apelles entertainment, gravity pictures, di bonaventura pictures, flagship entertainment group, maeday productions, warner bros. pictures</t>
  </si>
  <si>
    <t>China, United States of America</t>
  </si>
  <si>
    <t>√ä√¥√Ü√à√Ñ√∂√ã√ò√π, English, √ä√≥‚Ä¢√ä√∫¬®√ã‚Ñ¢√ª, ‚Ä°‚àè‚Ä†‚Ä°‚àè‚â§‚Ä°‚àè¬©‚Ä°‚àè‚â§‚Ä°œÄ√ë‚Ä°‚àè√≥‚Ä°‚àè¬¢</t>
  </si>
  <si>
    <t>Jessica McNamee, Cliff Curtis, James Gaylyn, Jason Statham, Marc Copage, Wei Yi, Shuya Sophia Cai, Winston Chao, Jeremy Tan, Ruby Rose, Leand Macadaan, Teresa Lee, Robert Taylor, Edwin Wright, Douglas Lee, ‚àö√¨lafur Darri ‚àö√¨lafsson, Mai Hongmei, Vithaya Pansringarm, Li Bingbing, Rob Kipa-Williams, Glen Levy, Masi Oka, Tawanda Manyimo, Tim Wong, Ivy Tsui, Yao Yao, Mark Trotter, Yoson An, Boaz Magege, Piroon Vongvaruj, Page Kennedy, Rainn Wilson, Andrew Grainger, Steven A. Davis</t>
  </si>
  <si>
    <t>Jon Turteltaub</t>
  </si>
  <si>
    <t>Tom Stern</t>
  </si>
  <si>
    <t>Jon Hoeber, Erich Hoeber, Dean Georgaris, Steve Alten</t>
  </si>
  <si>
    <t>Chantal Nong Vo, Jiang Wei, Randy Greenberg, Lorenzo di Bonaventura, Belle Avery, Ben Erwei Ji, Gerald R. Molen, Colin Wilson, Barrie M. Osborne</t>
  </si>
  <si>
    <t>/eyWICPcxOuTcDDDbTMOZawoOn8d.jpg</t>
  </si>
  <si>
    <t>the meg</t>
  </si>
  <si>
    <t>20.08936316581518</t>
  </si>
  <si>
    <t>blank (62), buenos aires (1), re-release (1), blu-ray release (1), dvd premiere (1), internet (2)</t>
  </si>
  <si>
    <t>BlacKkKlansman</t>
  </si>
  <si>
    <t>tt7349662</t>
  </si>
  <si>
    <t>Colorado Springs, late 1970s. Ron Stallworth, an African American police officer, and Flip Zimmerman, his Jewish colleague, run an undercover operation to infiltrate the Ku Klux Klan.</t>
  </si>
  <si>
    <t>Infiltrate hate.</t>
  </si>
  <si>
    <t>Crime, Comedy, Drama, History</t>
  </si>
  <si>
    <t>legendary pictures, qc entertainment, blumhouse productions, monkeypaw productions, 40 acres and a mule filmworks, perfect world pictures</t>
  </si>
  <si>
    <t>Frederick Weller, Topher Grace, Harry Belafonte, Ernest Rayford, Isiah Whitlock, Jr., Michael Buscemi, Corey Hawkins, Nicholas Turturro, Brian Tarantina, James Campbell, Paul Walter Hauser, Ryan Preimesberger, Danny Hoch, Alec Baldwin, Gina Belafonte, Ato Blankson-Wood, Faron Salisbury, Ryan Eggold, Arthur J. Nascarella, Laura Harrier, Jeremy J. Nelson, Ken Garito, Dared Wright, Michael J. Burg, Nichelle Bolden, Elise Hudson, Paul Diomede, Jared Johnston, Jasper P‚àö¬ß‚àö¬ßkk‚àö‚àÇnen, Adam Driver, Ashlie Atkinson, John David Washington, Robert John Burke, Damaris Lewis, Victor Colicchio</t>
  </si>
  <si>
    <t>Spike Lee</t>
  </si>
  <si>
    <t>Chayse Irvin</t>
  </si>
  <si>
    <t>David Rabinowitz, Ron Stallworth, Spike Lee, Kevin Willmott, Charlie Wachtel</t>
  </si>
  <si>
    <t>Shaun Redick, Sean McKittrick, Matthew A. Cherry, Jeanette Volturno, Marcei A. Brubaker Brown, Edward H. Hamm Jr. 	, Jordan Peele, Spike Lee, Win Rosenfeld, Raymond Mansfield, Jason Blum</t>
  </si>
  <si>
    <t>Terence Blanchard</t>
  </si>
  <si>
    <t>/8jxqAvSDoneSKRczaK8v9X5gqBp.jpg</t>
  </si>
  <si>
    <t>blackkklansman</t>
  </si>
  <si>
    <t>18.35252424046931</t>
  </si>
  <si>
    <t>cannes film festival (1), premiere (3), sydney film festival (1), karlovy vary international film festival (1), galway film fleadh (1), jerusalem film festival (1), new horizons film festival (1), new york city, new york (1), locarno film festival (1), los angeles, california (1), blank (38), limited (2), norwegian international film festival (1), filmfestival oostende (1), donostia-san sebasti√°n international film festival (1), san diego international film festival (1), mar del plata film festival (1), los cabos international film festival (1), kinomania (1), cairo international film festival (1), moma - the contenders (1), dvd premiere (3), movies that matter film festival (1), vilnius international film festival (1), international film festival cinematik (1), internet (1), tv premiere (1)</t>
  </si>
  <si>
    <t>El Angel</t>
  </si>
  <si>
    <t>tt7204348</t>
  </si>
  <si>
    <t>es</t>
  </si>
  <si>
    <t>El ‚àö√Öngel</t>
  </si>
  <si>
    <t>Buenos Aires, Argentina, 1971. Carlos Robledo Puch is a 19-year-old boy with an angelic face, but a vocational thief as well, who acts ruthlessly, without remorse. When he meets Ram‚àö‚â•n, they follow together a dark path of crime and death.</t>
  </si>
  <si>
    <t>Inspired by true events.</t>
  </si>
  <si>
    <t>Drama, Crime</t>
  </si>
  <si>
    <t>el deseo, k &amp; s films, incaa, underground producciones, telefe, tve</t>
  </si>
  <si>
    <t>Argentina, Spain</t>
  </si>
  <si>
    <t>Espa‚àö¬±ol</t>
  </si>
  <si>
    <t>Peter Lanzani, William Prociuk, Malena Villa, Chino Dar‚àö‚â†n, Fernando Contigiani Garc‚àö‚â†a, Marcelo D'Andrea, Daniel Fanego, Mercedes Mor‚àö¬∞n, Cecilia Roth, Lorenzo Ferro, Luis Gnecco</t>
  </si>
  <si>
    <t>Luis Ortega</t>
  </si>
  <si>
    <t>Juli‚àö¬∞n Apezteguia, Daniel Ortega</t>
  </si>
  <si>
    <t>Rodolfo Palacios, Luis Ortega, Sergio Olgu‚àö‚â†n</t>
  </si>
  <si>
    <t>Micaela Buye, Sebasti‚àö¬∞n Ortega, Pedro Almod‚àö‚â•var, Axel Kuschevatzky, Javier Braier, Agust‚àö‚â†n Almod‚àö‚â•var, Esther Garc‚àö‚â†a, Leticia Cristi, Hugo Sigman, Matias Mosteirin, Pablo Culell</t>
  </si>
  <si>
    <t>Moondog</t>
  </si>
  <si>
    <t>/hKtxOC2Mx9v4vx5TNJprzrFiy7.jpg</t>
  </si>
  <si>
    <t>el angel</t>
  </si>
  <si>
    <t>16.16233499966658</t>
  </si>
  <si>
    <t>cannes film festival (1), paris (1), premiere (1), blank (21), sarajevo film festival (1), toronto international film festival (1), fantastic fest (1), zurich film festival (1), donostia-san sebasti√°n international film festival (1), cph: pix (1), busan international film festival (1), mill valley film festival (1), sitges film festival (1), miami film festival gems (1), chicago international film festival (1), virginia film festival (1), leeds international film festival (1), stockholm international film festival (1), cine latino film festival (1), palm springs international film festival (1), internet (2), re-release (1), vilnius international film festival (1), bengaluru international film festival (1), istanbul film festival (1), fantasy filmfest nights (1), seattle international film festival (1), tv premiere (1)</t>
  </si>
  <si>
    <t>Summer of 84</t>
  </si>
  <si>
    <t>tt5774450</t>
  </si>
  <si>
    <t>After suspecting that their police officer neighbor is a serial killer, a group of teenage friends spend their summer spying on him and gathering evidence, but as they get closer to discovering the truth, things get dangerous.</t>
  </si>
  <si>
    <t>Every serial killer lives next door to someone</t>
  </si>
  <si>
    <t>Drama, Horror, Mystery</t>
  </si>
  <si>
    <t>brightlight pictures, gunpowder &amp; sky</t>
  </si>
  <si>
    <t>Canada, United States of America</t>
  </si>
  <si>
    <t>Patrick Keating, Aren Buchholz, Shahrokh Ferdowsi, Shauna Johannesen, William MacDonald, Susie Castillo, Judah Lewis, Rich Sommer, Graham Verchere, Jason Gray-Stanford, Jordan Buhat, Jaiven Natt, J. Alex Brinson, Patrick Lubczyk, Harrison Houde, Tiera Skovbye, Mark Brandon, Caleb Emery, Reilly Jacob, Cory Gruter-Andrew</t>
  </si>
  <si>
    <t>Yoann-Karl Whissell, Fran‚àö√üois Simard, Anouk Whissell</t>
  </si>
  <si>
    <t>Jean-Philippe Bernier</t>
  </si>
  <si>
    <t>Matt Leslie, Stephen J. Smith</t>
  </si>
  <si>
    <t>Jameson Parker, Van Toffler, Floris Bauer, Shawn Williamson, Cody Zwieg, Matt Leslie</t>
  </si>
  <si>
    <t>/zastd8zM2ftOJpC7Y6gRFqAB7r.jpg</t>
  </si>
  <si>
    <t>summer of 84</t>
  </si>
  <si>
    <t>10.646091341808663</t>
  </si>
  <si>
    <t>sundance film festival (1), fantasia international film festival (1), blank (8), frightfest london (1), hardline film festival (1), limited retro edition (1), grimmfest international festival of fantastic film (1), sitges film festival (1), tohorror film fest (1), dvd and blu-ray premiere (1), terror molins festival (1), splat!filmfest (1), internet (1), blu-ray premiere (1), dvd premiere (2), barcelona (2), subtitled version (4), premiere (2), madrid (2), technical release (2), tv premiere (1), re-release (1), limited (1)</t>
  </si>
  <si>
    <t>Megalodon</t>
  </si>
  <si>
    <t>tt8235660</t>
  </si>
  <si>
    <t>A military vessel on the search for an unidentified submersible finds themselves face to face with a giant shark, forced to use only what they have on board to defend themselves from the monstrous beast.</t>
  </si>
  <si>
    <t>Danger Is Rising!</t>
  </si>
  <si>
    <t>Action, Science Fiction, Horror, TV Movie</t>
  </si>
  <si>
    <t>the asylum</t>
  </si>
  <si>
    <t>Mario Rocha, Paulina Nguyen, Dimitry Rozental, Philip Nathanael, Caroline Harris, Scott C. Roe, Daniel Joo, Michael Madsen, Dominic Pace, Ego Mikitas, S‚àö¬©bastien Charmant, Elizabeth J. Cron, Aimee Stolte, Luke Fattorusso</t>
  </si>
  <si>
    <t>James Thomas</t>
  </si>
  <si>
    <t>Dante Yore</t>
  </si>
  <si>
    <t>Thunder Levin, Koichi Petetsky, Canyon Prince, James Thomas</t>
  </si>
  <si>
    <t>David Rimawi, David Michael Latt</t>
  </si>
  <si>
    <t>Chris Cano, Mikel Shane Prather, Chris Ridenhour</t>
  </si>
  <si>
    <t>/hES2eVAbVt08JJTqgu3jmI34Yxx.jpg</t>
  </si>
  <si>
    <t>megalodon</t>
  </si>
  <si>
    <t>8.576216531865699</t>
  </si>
  <si>
    <t>tv premiere (1), dvd premiere (3), digital &amp; dvd premiere (1), dvd and blu-ray premiere (1), blank (1)</t>
  </si>
  <si>
    <t>Crazy Rich Asians</t>
  </si>
  <si>
    <t>tt3104988</t>
  </si>
  <si>
    <t>An American-born Chinese economics professor accompanies her boyfriend to Singapore for his best friend's wedding, only to get thrust into the lives of Asia's rich and famous.</t>
  </si>
  <si>
    <t>The only thing crazier than love is family.</t>
  </si>
  <si>
    <t>sk global entertainment, color force, ivanhoe pictures, warner bros. pictures, starlight culture entertainment group</t>
  </si>
  <si>
    <t>United States of America, Hong Kong</t>
  </si>
  <si>
    <t>Joe Ong, Gemma Chan, Jing Lusi, Lucinda Lew, Ho Yan Xi, Selena Tan, Carmen Soo, Harry Shum Jr., Henry Golding, Amy Cheng, Peter Carroll, Roger Shak, Calvin Wong, Teo Swee Huat, Pierre Png, Amanda Evans, Kina Grannis, Michelle Yeoh, Sonoya Mizuno, Jessica Galetti, Lisa Lu, Chris Pang, Ken Jeong, Anders Thage, Chieng Mun Koh, Awkwafina, Constance Lau, Victoria Loke, Fiona Xie, Remy Hii, Janice Koh Yu-Mei, Ronnie Kee, Isaac Boon Chuon Lee, Shuhei Kinoshita, Stephanie Auyeung, Kris Aquino, Jimmy O. Yang, Lee Jun Wen, Peter Hodgson, Nico Santos, Daniel Jenkins, Tan En Yu, Tan En Dong, Nevan Koit, Jasmine Chen, Charles Grounds, Lee Zhi Jian, Marcus Mok, Ronny Chieng, Tan Kheng Hua, Constance Wu, Leong Chun Chong, Deborah Yeo, Tumurbaatar Enkhtungalag, Kevin Kwan, Susan Wong, Junji Delfino, Beatrice Chien, Jerrica Xufei Lai, Jasmine Kaar, Russel Wong</t>
  </si>
  <si>
    <t>Jon M. Chu</t>
  </si>
  <si>
    <t>Vanja ∆í√•ernjul</t>
  </si>
  <si>
    <t>Kevin Kwan, Peter Chiarelli, Adele Lim</t>
  </si>
  <si>
    <t>Brad Simpson, Kevin Kwan, Sidney Kimmel, Tim Coddington, John Penotti, Robert Friedland, Nina Jacobson</t>
  </si>
  <si>
    <t>Brian Tyler</t>
  </si>
  <si>
    <t>/1XxL4LJ5WHdrcYcihEZUCgNCpAW.jpg</t>
  </si>
  <si>
    <t>crazy rich asians</t>
  </si>
  <si>
    <t>19.29004421118177</t>
  </si>
  <si>
    <t>los angeles, california (1), premiere (2), blank (66), buenos aires (1), dvd premiere (3), internet (3), blu-ray release (1)</t>
  </si>
  <si>
    <t>Mile 22</t>
  </si>
  <si>
    <t>tt4560436</t>
  </si>
  <si>
    <t>An elite group of American operatives, aided by a top-secret tactical command team, must transport an asset who holds life-threatening information to an extraction point 22 miles away through the hostile streets of an Asian city.</t>
  </si>
  <si>
    <t>Option 1: Diplomacy. Option 2: Military. Meet Option 3.</t>
  </si>
  <si>
    <t>Action, Thriller</t>
  </si>
  <si>
    <t>stxfilms, closest to the hole productions, film 44, the hideaway entertainment, huayi brothers pictures, tang media productions, leverage entertainment</t>
  </si>
  <si>
    <t>China, Colombia, United States of America</t>
  </si>
  <si>
    <t>Bahasa indonesia, English, P‚Äî√â‚Äî√Ö‚Äî√Ö‚Äì‚à´‚Äì‚àè‚ÄìœÄ</t>
  </si>
  <si>
    <t>Dale Zaboroskie, Vailana Antonucci, Cedric Gervais, Rafael Alfredo Caviedes Silva, Terry Kinney, Billy Smith, David Garelik, Sam Medina, Emily Skeggs, Sean Avery, Scott Kasson, Elle Graham, Carlo Alban, Isabella Garcia, Trevor Gretzky, Kevin J. O'Connor, Keith Arthur Bolden, Tom Astor, Mark Wahlberg, Natasha Goubskaya, Juan Carlos Ortega, Peter Berg, Ricardo Martinez, Alexandra Vino, Guillermo Ramirez Navia, Vince Canlas, Ariel Felix, Esteban Santos, Alla Greene, Myke Holmes, CL, Mark Freeman Schotz, Amanda Cabigting, Tetyana Nickell, Iko Uwais, Juan Carlos Henao Jimenez, Rich Rutherford, Artem Lyashenko, Lateef Crowder, Anthony "Ace" Thomas, Breeanna N. Jackson, Dwayne A. Dorsey, Nikolai Nikolaeff, Raven Wynn, Tory Bryant, Brandon Scales, Jenique Hendrix, Lourdes Perea, Ronda Rousey, Lauren Cohan, Kate Rigg, Stuart M. Besser, Poorna Jagannathan, Tatiana Ronderos, John Malkovich</t>
  </si>
  <si>
    <t>Peter Berg</t>
  </si>
  <si>
    <t>Jacques Jouffret</t>
  </si>
  <si>
    <t>Graham Roland, Lea Carpenter</t>
  </si>
  <si>
    <t>Graham Roland, Derek Collison, Sam Slater, Donald Tang, Wang Zhonglei, Scott Carmel, Randall Emmett, Mark Wahlberg, Peter Berg, Adam Fogelson, Robert Simonds, Matthew Rhodes, Judd Payne, Stephen Levinson, Jonathan Gray, Felice Bee, John Logan Pierson, Stuart M. Besser, David Bernon, Wang Zhongjun</t>
  </si>
  <si>
    <t>Jeff Russo</t>
  </si>
  <si>
    <t>/2L8ehd95eSW9x7KINYtZmRkAlrZ.jpg</t>
  </si>
  <si>
    <t>mile 22</t>
  </si>
  <si>
    <t>18.009832558043996</t>
  </si>
  <si>
    <t>westwood, california (1), premiere (1), blank (49), film festival oostende (1), blu-ray release (1)</t>
  </si>
  <si>
    <t>Puppet Master: The Littlest Reich</t>
  </si>
  <si>
    <t>tt5685006</t>
  </si>
  <si>
    <t>A recently divorced young man discovers a mint condition Blade doll in his deceased brother's closet and plans to sell the toy at a convention in Oregon celebrating the 30th anniversary of the infamous Toulon Murders. All hell breaks loose during the auction when a strange force animates all of the puppets throughout the convention, setting them on a bloody killing spree.</t>
  </si>
  <si>
    <t>World War III Begins on Your Toy Shelf</t>
  </si>
  <si>
    <t>Horror, Comedy, Fantasy</t>
  </si>
  <si>
    <t>zero trans fat productions, cinestate, flexibon films, the fyzz</t>
  </si>
  <si>
    <t>Grace Montie, Stephen Brodie, Matthias Hues, John D. Pszyk, Tina Parker, Steve Stodghill, Mercedes Cool, Mary Katherine O'Donnell, Amber Shana Williams, Nelson Franklin, Anne Beyer, John Walpole, Michael Par‚àö¬©, Kennedy Summers, Victoria Hande, Jessie Hobson, Cora Cardona, Serafin Falcon, Jenny Pellicer, Cameron Rostami, Charlyne Yi, Udo Kier, Thomas Lennon, Ryan Rae, Betsy Holt, Alison Viktorin, Barbara Crampton, Laurie Guzda, Alex Beh, Charles "Skeeta" Jenkins, Alex Alford, James Healy Jr., Perry Hinson, David Burkhart</t>
  </si>
  <si>
    <t>Sonny Laguna, Tommy Wiklund</t>
  </si>
  <si>
    <t>Tommy Wiklund</t>
  </si>
  <si>
    <t>Charles Band, S. Craig Zahler, Kenneth J. Hall</t>
  </si>
  <si>
    <t>Rick Prince, Robert Jones, Dallas Sonnier, Mark Vahradian, Lorenzo di Bonaventura, Johnathan Brownlee, Red Sanders, Wayne Marc Godfrey, Charles Band</t>
  </si>
  <si>
    <t>Fabio Frizzi, Richard Band</t>
  </si>
  <si>
    <t>/85r4oIFdr065RXpRHINjjkXEBkN.jpg</t>
  </si>
  <si>
    <t>puppet master: the littlest reich</t>
  </si>
  <si>
    <t>13.568134506941524</t>
  </si>
  <si>
    <t>the overlook film festival (1), dallas international film festival (1), fantasia film festival (1), blank (3), but - b-movie, underground and trash film festival (1), dvd premiere (3), grimmfest international festival of fantastic film (1), morbido film fest (1), molins film festival (1), monster fest (1), paris international fantastic film festival (1), gerardmer fantasy film festival (1), brussels international fantastic film festival (1), horrorant film festival (1), dvd &amp; blu-ray premiere (1), internet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</si>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</sst>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quotePrefix="1"/>
    <xf numFmtId="0" fontId="0" fillId="0" borderId="0" xfId="0" quotePrefix="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5782C-ABF8-1E4E-BE2C-84EAAA6969A7}" name="Table1" displayName="Table1" ref="A1:AQ45" totalsRowCount="1">
  <autoFilter ref="A1:AQ44" xr:uid="{0BB5782C-ABF8-1E4E-BE2C-84EAAA6969A7}"/>
  <tableColumns count="43">
    <tableColumn id="1" xr3:uid="{117B346D-6135-724C-A958-8F750085977B}" name="id" totalsRowLabel="Total"/>
    <tableColumn id="2" xr3:uid="{5EFF3942-912D-9842-9BA5-F90553EBF051}" name="title"/>
    <tableColumn id="3" xr3:uid="{BD5E5DD8-37E4-1245-899D-2B218AA9E4C5}" name="vote_average"/>
    <tableColumn id="4" xr3:uid="{6B28F0D8-A0E6-D942-9B13-60850CA1744C}" name="vote_count"/>
    <tableColumn id="5" xr3:uid="{34174DE9-4E1F-2C4F-8138-91E9D0FE8917}" name="status"/>
    <tableColumn id="6" xr3:uid="{ABEBFF2D-2A67-104D-943F-B1B67B798FDB}" name="release_date" dataDxfId="0"/>
    <tableColumn id="7" xr3:uid="{E77D0E69-37AD-BA48-810F-E18F7A3BDD89}" name="revenue"/>
    <tableColumn id="8" xr3:uid="{CBFA7E4A-AF43-2D46-B5B5-DDFBC37EC29A}" name="runtime"/>
    <tableColumn id="9" xr3:uid="{CB7680D0-E1BE-B44B-8E7A-EFC85EDEBEEE}" name="budget"/>
    <tableColumn id="10" xr3:uid="{D55BB3D1-060F-E047-BF4F-D27BED122E35}" name="imdb_id"/>
    <tableColumn id="11" xr3:uid="{4083E654-1F61-B448-87CB-B87296057FB8}" name="original_language"/>
    <tableColumn id="12" xr3:uid="{F76677A0-A858-564A-A166-4F254593D8C7}" name="original_title"/>
    <tableColumn id="13" xr3:uid="{1458C9FB-22C5-5B4D-84CD-101B570000D5}" name="overview"/>
    <tableColumn id="14" xr3:uid="{10241FA5-F187-734C-BDA9-D5AF31815A0D}" name="popularity"/>
    <tableColumn id="15" xr3:uid="{946A937F-E648-2245-85DB-5E276A309EFF}" name="tagline"/>
    <tableColumn id="16" xr3:uid="{4B69D110-D95F-EF44-A59F-D0DCA68F791A}" name="genres"/>
    <tableColumn id="17" xr3:uid="{BB5D3EFC-0984-1F49-8880-CC94DABAD803}" name="production_companies"/>
    <tableColumn id="18" xr3:uid="{9A0B42E3-4E0F-DA48-9A84-ADFE5A025BD1}" name="production_countries"/>
    <tableColumn id="19" xr3:uid="{3E434227-B66A-6547-96E9-C46C1A36695C}" name="spoken_languages"/>
    <tableColumn id="20" xr3:uid="{5BC46270-CF28-0E4E-B0E4-8FF3BE9B9471}" name="cast"/>
    <tableColumn id="21" xr3:uid="{DCF7A880-C592-5345-8A43-B74E9410A023}" name="director"/>
    <tableColumn id="22" xr3:uid="{C877524E-8B9A-F843-9CC4-5F92AB0090F8}" name="director_of_photography"/>
    <tableColumn id="23" xr3:uid="{BA02FB59-74AC-DC41-B4D6-3430EDD570B8}" name="writers"/>
    <tableColumn id="24" xr3:uid="{0BC27C7E-43CE-064D-872A-17620B660096}" name="producers"/>
    <tableColumn id="25" xr3:uid="{6684D23B-9D62-224E-A7FD-2C4B1331C31F}" name="music_composer"/>
    <tableColumn id="26" xr3:uid="{EF49A7F3-CCDD-8B48-9887-2A206698D74C}" name="imdb_rating"/>
    <tableColumn id="27" xr3:uid="{159AFFE8-F046-694D-AF22-27CE0540FEFA}" name="imdb_votes"/>
    <tableColumn id="28" xr3:uid="{FA0437A3-9C8D-2741-A264-0FFA0592B786}" name="poster_path"/>
    <tableColumn id="29" xr3:uid="{5E26BF4C-5EBD-734A-AE40-58AA2DEB5463}" name="release_month"/>
    <tableColumn id="30" xr3:uid="{34D87D1B-EADF-9B4D-9A16-281F503B2C55}" name="release_year"/>
    <tableColumn id="31" xr3:uid="{5709ED22-023E-5841-B775-7A87934739C9}" name="iso_week"/>
    <tableColumn id="32" xr3:uid="{63E8421D-6AED-184A-AA71-007526EFEA7D}" name="title_clean"/>
    <tableColumn id="33" xr3:uid="{D7A5270C-40D2-154B-B415-FFEC18B5AFFE}" name="distance"/>
    <tableColumn id="34" xr3:uid="{6533BBA9-0E41-7445-A164-B5D86461A55F}" name="strength"/>
    <tableColumn id="35" xr3:uid="{CD0F3C6C-5763-FC47-944C-BA2EF682EA84}" name="score" totalsRowFunction="max"/>
    <tableColumn id="36" xr3:uid="{42054288-53C6-B441-A17A-E4C913C1354F}" name="marvel_movie"/>
    <tableColumn id="37" xr3:uid="{B5D25D98-DA87-1440-AB02-8D1ECF7FC1BE}" name="attributes"/>
    <tableColumn id="38" xr3:uid="{8FBFBFC7-415A-6E44-B0E6-2E67FA2D475D}" name="blank"/>
    <tableColumn id="39" xr3:uid="{160DBED9-49F4-6945-8A4F-E0794CA033ED}" name="internet"/>
    <tableColumn id="40" xr3:uid="{2B849372-4DE7-E044-85A9-ACDD574F0D1E}" name="total"/>
    <tableColumn id="41" xr3:uid="{8B7AC23E-275F-1C41-87FE-7AB7C7AA5053}" name="internet_ratio"/>
    <tableColumn id="42" xr3:uid="{DFF6B48F-5AB4-D94D-96E0-1701E4ED38B8}" name="internet_dominance"/>
    <tableColumn id="43" xr3:uid="{11DADF68-E4A1-1B43-84E1-ADE168C16EE7}"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26621-7804-7040-8726-B9379B1D654F}">
  <dimension ref="A1:AQ45"/>
  <sheetViews>
    <sheetView tabSelected="1" topLeftCell="AC23" workbookViewId="0">
      <selection activeCell="AI48" sqref="AI48"/>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455980</v>
      </c>
      <c r="B2" t="s">
        <v>43</v>
      </c>
      <c r="C2">
        <v>6.7</v>
      </c>
      <c r="D2">
        <v>3303</v>
      </c>
      <c r="E2" t="s">
        <v>44</v>
      </c>
      <c r="F2" s="1">
        <v>43250</v>
      </c>
      <c r="G2">
        <v>75100000</v>
      </c>
      <c r="H2">
        <v>100</v>
      </c>
      <c r="I2">
        <v>28000000</v>
      </c>
      <c r="J2" t="s">
        <v>45</v>
      </c>
      <c r="K2" t="s">
        <v>46</v>
      </c>
      <c r="L2" t="s">
        <v>43</v>
      </c>
      <c r="M2" t="s">
        <v>47</v>
      </c>
      <c r="N2">
        <v>2.9346999999999999</v>
      </c>
      <c r="O2" t="s">
        <v>48</v>
      </c>
      <c r="P2" t="s">
        <v>49</v>
      </c>
      <c r="Q2" t="s">
        <v>50</v>
      </c>
      <c r="R2" t="s">
        <v>51</v>
      </c>
      <c r="S2" t="s">
        <v>52</v>
      </c>
      <c r="T2" t="s">
        <v>53</v>
      </c>
      <c r="U2" t="s">
        <v>54</v>
      </c>
      <c r="V2" t="s">
        <v>55</v>
      </c>
      <c r="W2" t="s">
        <v>56</v>
      </c>
      <c r="X2" t="s">
        <v>57</v>
      </c>
      <c r="Y2" t="s">
        <v>58</v>
      </c>
      <c r="Z2">
        <v>6.5</v>
      </c>
      <c r="AA2">
        <v>158586</v>
      </c>
      <c r="AB2" t="s">
        <v>59</v>
      </c>
      <c r="AC2">
        <v>5</v>
      </c>
      <c r="AD2">
        <v>2018</v>
      </c>
      <c r="AE2">
        <v>22</v>
      </c>
      <c r="AF2" t="s">
        <v>60</v>
      </c>
      <c r="AG2">
        <v>-35</v>
      </c>
      <c r="AH2" s="2" t="s">
        <v>61</v>
      </c>
      <c r="AI2" s="3">
        <v>0.50373142027916495</v>
      </c>
      <c r="AJ2" t="s">
        <v>62</v>
      </c>
      <c r="AK2" t="s">
        <v>63</v>
      </c>
      <c r="AL2">
        <v>40</v>
      </c>
      <c r="AM2">
        <v>3</v>
      </c>
      <c r="AN2">
        <v>46</v>
      </c>
      <c r="AO2">
        <v>7.0000000000000007E-2</v>
      </c>
      <c r="AP2" t="s">
        <v>64</v>
      </c>
      <c r="AQ2" t="s">
        <v>64</v>
      </c>
    </row>
    <row r="3" spans="1:43" x14ac:dyDescent="0.2">
      <c r="A3">
        <v>500664</v>
      </c>
      <c r="B3" t="s">
        <v>65</v>
      </c>
      <c r="C3">
        <v>7.5</v>
      </c>
      <c r="D3">
        <v>4735</v>
      </c>
      <c r="E3" t="s">
        <v>44</v>
      </c>
      <c r="F3" s="1">
        <v>43251</v>
      </c>
      <c r="G3">
        <v>16976561</v>
      </c>
      <c r="H3">
        <v>100</v>
      </c>
      <c r="I3">
        <v>3000000</v>
      </c>
      <c r="J3" t="s">
        <v>66</v>
      </c>
      <c r="K3" t="s">
        <v>46</v>
      </c>
      <c r="L3" t="s">
        <v>65</v>
      </c>
      <c r="M3" t="s">
        <v>67</v>
      </c>
      <c r="N3">
        <v>7.1931000000000003</v>
      </c>
      <c r="O3" t="s">
        <v>68</v>
      </c>
      <c r="P3" t="s">
        <v>69</v>
      </c>
      <c r="Q3" t="s">
        <v>70</v>
      </c>
      <c r="R3" t="s">
        <v>71</v>
      </c>
      <c r="S3" t="s">
        <v>52</v>
      </c>
      <c r="T3" t="s">
        <v>72</v>
      </c>
      <c r="U3" t="s">
        <v>73</v>
      </c>
      <c r="V3" t="s">
        <v>74</v>
      </c>
      <c r="W3" t="s">
        <v>73</v>
      </c>
      <c r="X3" t="s">
        <v>75</v>
      </c>
      <c r="Y3" t="s">
        <v>76</v>
      </c>
      <c r="Z3">
        <v>7.5</v>
      </c>
      <c r="AA3">
        <v>228643</v>
      </c>
      <c r="AB3" t="s">
        <v>77</v>
      </c>
      <c r="AC3">
        <v>5</v>
      </c>
      <c r="AD3">
        <v>2018</v>
      </c>
      <c r="AE3">
        <v>22</v>
      </c>
      <c r="AF3" t="s">
        <v>78</v>
      </c>
      <c r="AG3">
        <v>-34</v>
      </c>
      <c r="AH3" s="2" t="s">
        <v>79</v>
      </c>
      <c r="AI3" s="3">
        <v>0.475638406995677</v>
      </c>
      <c r="AJ3" t="s">
        <v>62</v>
      </c>
      <c r="AK3" t="s">
        <v>80</v>
      </c>
      <c r="AL3">
        <v>23</v>
      </c>
      <c r="AM3">
        <v>4</v>
      </c>
      <c r="AN3">
        <v>49</v>
      </c>
      <c r="AO3">
        <v>0.08</v>
      </c>
      <c r="AP3" t="s">
        <v>64</v>
      </c>
      <c r="AQ3" t="s">
        <v>64</v>
      </c>
    </row>
    <row r="4" spans="1:43" x14ac:dyDescent="0.2">
      <c r="A4">
        <v>489931</v>
      </c>
      <c r="B4" t="s">
        <v>81</v>
      </c>
      <c r="C4">
        <v>6.7</v>
      </c>
      <c r="D4">
        <v>1159</v>
      </c>
      <c r="E4" t="s">
        <v>44</v>
      </c>
      <c r="F4" s="1">
        <v>43252</v>
      </c>
      <c r="G4">
        <v>2847319</v>
      </c>
      <c r="H4">
        <v>117</v>
      </c>
      <c r="I4">
        <v>3000000</v>
      </c>
      <c r="J4" t="s">
        <v>82</v>
      </c>
      <c r="K4" t="s">
        <v>46</v>
      </c>
      <c r="L4" t="s">
        <v>81</v>
      </c>
      <c r="M4" t="s">
        <v>83</v>
      </c>
      <c r="N4">
        <v>3.1501000000000001</v>
      </c>
      <c r="O4" t="s">
        <v>84</v>
      </c>
      <c r="P4" t="s">
        <v>85</v>
      </c>
      <c r="Q4" t="s">
        <v>86</v>
      </c>
      <c r="R4" t="s">
        <v>87</v>
      </c>
      <c r="S4" t="s">
        <v>52</v>
      </c>
      <c r="T4" t="s">
        <v>88</v>
      </c>
      <c r="U4" t="s">
        <v>89</v>
      </c>
      <c r="V4" t="s">
        <v>90</v>
      </c>
      <c r="W4" t="s">
        <v>91</v>
      </c>
      <c r="X4" t="s">
        <v>92</v>
      </c>
      <c r="Y4" t="s">
        <v>93</v>
      </c>
      <c r="Z4">
        <v>7</v>
      </c>
      <c r="AA4">
        <v>51960</v>
      </c>
      <c r="AB4" t="s">
        <v>94</v>
      </c>
      <c r="AC4">
        <v>6</v>
      </c>
      <c r="AD4">
        <v>2018</v>
      </c>
      <c r="AE4">
        <v>22</v>
      </c>
      <c r="AF4" t="s">
        <v>95</v>
      </c>
      <c r="AG4">
        <v>-33</v>
      </c>
      <c r="AH4" s="2" t="s">
        <v>96</v>
      </c>
      <c r="AI4" s="3">
        <v>0.43711437526354002</v>
      </c>
      <c r="AJ4" t="s">
        <v>62</v>
      </c>
      <c r="AK4" t="s">
        <v>97</v>
      </c>
      <c r="AL4">
        <v>17</v>
      </c>
      <c r="AM4">
        <v>1</v>
      </c>
      <c r="AN4">
        <v>51</v>
      </c>
      <c r="AO4">
        <v>0.02</v>
      </c>
      <c r="AP4" t="s">
        <v>64</v>
      </c>
      <c r="AQ4" t="s">
        <v>64</v>
      </c>
    </row>
    <row r="5" spans="1:43" x14ac:dyDescent="0.2">
      <c r="A5">
        <v>351286</v>
      </c>
      <c r="B5" t="s">
        <v>98</v>
      </c>
      <c r="C5">
        <v>6.5369999999999999</v>
      </c>
      <c r="D5">
        <v>12383</v>
      </c>
      <c r="E5" t="s">
        <v>44</v>
      </c>
      <c r="F5" s="1">
        <v>43257</v>
      </c>
      <c r="G5">
        <v>1310469037</v>
      </c>
      <c r="H5">
        <v>129</v>
      </c>
      <c r="I5">
        <v>170000000</v>
      </c>
      <c r="J5" t="s">
        <v>99</v>
      </c>
      <c r="K5" t="s">
        <v>46</v>
      </c>
      <c r="L5" t="s">
        <v>98</v>
      </c>
      <c r="M5" t="s">
        <v>100</v>
      </c>
      <c r="N5">
        <v>9.4825999999999997</v>
      </c>
      <c r="O5" t="s">
        <v>101</v>
      </c>
      <c r="P5" t="s">
        <v>102</v>
      </c>
      <c r="Q5" t="s">
        <v>103</v>
      </c>
      <c r="R5" t="s">
        <v>51</v>
      </c>
      <c r="S5" t="s">
        <v>104</v>
      </c>
      <c r="T5" t="s">
        <v>105</v>
      </c>
      <c r="U5" t="s">
        <v>106</v>
      </c>
      <c r="V5" t="s">
        <v>107</v>
      </c>
      <c r="W5" t="s">
        <v>108</v>
      </c>
      <c r="X5" t="s">
        <v>109</v>
      </c>
      <c r="Y5" t="s">
        <v>110</v>
      </c>
      <c r="Z5">
        <v>6.1</v>
      </c>
      <c r="AA5">
        <v>372717</v>
      </c>
      <c r="AB5" t="s">
        <v>111</v>
      </c>
      <c r="AC5">
        <v>6</v>
      </c>
      <c r="AD5">
        <v>2018</v>
      </c>
      <c r="AE5">
        <v>23</v>
      </c>
      <c r="AF5" t="s">
        <v>112</v>
      </c>
      <c r="AG5">
        <v>-28</v>
      </c>
      <c r="AH5" s="2" t="s">
        <v>113</v>
      </c>
      <c r="AI5" s="3">
        <v>0.723918998425921</v>
      </c>
      <c r="AJ5" t="s">
        <v>62</v>
      </c>
      <c r="AK5" t="s">
        <v>114</v>
      </c>
      <c r="AL5">
        <v>63</v>
      </c>
      <c r="AM5">
        <v>1</v>
      </c>
      <c r="AN5">
        <v>69</v>
      </c>
      <c r="AO5">
        <v>0.01</v>
      </c>
      <c r="AP5" t="s">
        <v>64</v>
      </c>
      <c r="AQ5" t="s">
        <v>64</v>
      </c>
    </row>
    <row r="6" spans="1:43" x14ac:dyDescent="0.2">
      <c r="A6">
        <v>402900</v>
      </c>
      <c r="B6" t="s">
        <v>115</v>
      </c>
      <c r="C6">
        <v>7</v>
      </c>
      <c r="D6">
        <v>8531</v>
      </c>
      <c r="E6" t="s">
        <v>44</v>
      </c>
      <c r="F6" s="1">
        <v>43258</v>
      </c>
      <c r="G6">
        <v>297718711</v>
      </c>
      <c r="H6">
        <v>111</v>
      </c>
      <c r="I6">
        <v>70000000</v>
      </c>
      <c r="J6" t="s">
        <v>116</v>
      </c>
      <c r="K6" t="s">
        <v>46</v>
      </c>
      <c r="L6" t="s">
        <v>115</v>
      </c>
      <c r="M6" t="s">
        <v>117</v>
      </c>
      <c r="N6">
        <v>7.4494999999999996</v>
      </c>
      <c r="O6" t="s">
        <v>118</v>
      </c>
      <c r="P6" t="s">
        <v>119</v>
      </c>
      <c r="Q6" t="s">
        <v>120</v>
      </c>
      <c r="R6" t="s">
        <v>51</v>
      </c>
      <c r="S6" t="s">
        <v>121</v>
      </c>
      <c r="T6" t="s">
        <v>122</v>
      </c>
      <c r="U6" t="s">
        <v>123</v>
      </c>
      <c r="V6" t="s">
        <v>124</v>
      </c>
      <c r="W6" t="s">
        <v>125</v>
      </c>
      <c r="X6" t="s">
        <v>126</v>
      </c>
      <c r="Y6" t="s">
        <v>127</v>
      </c>
      <c r="Z6">
        <v>6.3</v>
      </c>
      <c r="AA6">
        <v>256886</v>
      </c>
      <c r="AB6" t="s">
        <v>128</v>
      </c>
      <c r="AC6">
        <v>6</v>
      </c>
      <c r="AD6">
        <v>2018</v>
      </c>
      <c r="AE6">
        <v>23</v>
      </c>
      <c r="AF6" t="s">
        <v>129</v>
      </c>
      <c r="AG6">
        <v>-27</v>
      </c>
      <c r="AH6" s="2" t="s">
        <v>130</v>
      </c>
      <c r="AI6" s="3">
        <v>0.69684498854407395</v>
      </c>
      <c r="AJ6" t="s">
        <v>62</v>
      </c>
      <c r="AK6" t="s">
        <v>131</v>
      </c>
      <c r="AL6">
        <v>57</v>
      </c>
      <c r="AM6">
        <v>2</v>
      </c>
      <c r="AN6">
        <v>67</v>
      </c>
      <c r="AO6">
        <v>0.03</v>
      </c>
      <c r="AP6" t="s">
        <v>64</v>
      </c>
      <c r="AQ6" t="s">
        <v>64</v>
      </c>
    </row>
    <row r="7" spans="1:43" x14ac:dyDescent="0.2">
      <c r="A7">
        <v>406761</v>
      </c>
      <c r="B7" t="s">
        <v>132</v>
      </c>
      <c r="C7">
        <v>6.1</v>
      </c>
      <c r="D7">
        <v>1614</v>
      </c>
      <c r="E7" t="s">
        <v>44</v>
      </c>
      <c r="F7" s="1">
        <v>43258</v>
      </c>
      <c r="G7">
        <v>12371132</v>
      </c>
      <c r="H7">
        <v>94</v>
      </c>
      <c r="I7">
        <v>15000000</v>
      </c>
      <c r="J7" t="s">
        <v>133</v>
      </c>
      <c r="K7" t="s">
        <v>46</v>
      </c>
      <c r="L7" t="s">
        <v>132</v>
      </c>
      <c r="M7" t="s">
        <v>134</v>
      </c>
      <c r="N7">
        <v>2.5114999999999998</v>
      </c>
      <c r="O7" t="s">
        <v>135</v>
      </c>
      <c r="P7" t="s">
        <v>136</v>
      </c>
      <c r="Q7" t="s">
        <v>137</v>
      </c>
      <c r="R7" t="s">
        <v>87</v>
      </c>
      <c r="S7" t="s">
        <v>138</v>
      </c>
      <c r="T7" t="s">
        <v>139</v>
      </c>
      <c r="U7" t="s">
        <v>140</v>
      </c>
      <c r="V7" t="s">
        <v>141</v>
      </c>
      <c r="W7" t="s">
        <v>140</v>
      </c>
      <c r="X7" t="s">
        <v>142</v>
      </c>
      <c r="Y7" t="s">
        <v>143</v>
      </c>
      <c r="Z7">
        <v>6.1</v>
      </c>
      <c r="AA7">
        <v>61493</v>
      </c>
      <c r="AB7" t="s">
        <v>144</v>
      </c>
      <c r="AC7">
        <v>6</v>
      </c>
      <c r="AD7">
        <v>2018</v>
      </c>
      <c r="AE7">
        <v>23</v>
      </c>
      <c r="AF7" t="s">
        <v>145</v>
      </c>
      <c r="AG7">
        <v>-27</v>
      </c>
      <c r="AH7" s="2" t="s">
        <v>146</v>
      </c>
      <c r="AI7">
        <v>0.58324558331203502</v>
      </c>
      <c r="AJ7" t="s">
        <v>62</v>
      </c>
      <c r="AK7" t="s">
        <v>147</v>
      </c>
      <c r="AL7">
        <v>41</v>
      </c>
      <c r="AM7">
        <v>0</v>
      </c>
      <c r="AN7">
        <v>47</v>
      </c>
      <c r="AO7">
        <v>0</v>
      </c>
      <c r="AP7" t="s">
        <v>64</v>
      </c>
      <c r="AQ7" t="s">
        <v>64</v>
      </c>
    </row>
    <row r="8" spans="1:43" x14ac:dyDescent="0.2">
      <c r="A8">
        <v>493922</v>
      </c>
      <c r="B8" t="s">
        <v>148</v>
      </c>
      <c r="C8">
        <v>7.29</v>
      </c>
      <c r="D8">
        <v>8214</v>
      </c>
      <c r="E8" t="s">
        <v>44</v>
      </c>
      <c r="F8" s="1">
        <v>43258</v>
      </c>
      <c r="G8">
        <v>87796204</v>
      </c>
      <c r="H8">
        <v>128</v>
      </c>
      <c r="I8">
        <v>10000000</v>
      </c>
      <c r="J8" t="s">
        <v>149</v>
      </c>
      <c r="K8" t="s">
        <v>46</v>
      </c>
      <c r="L8" t="s">
        <v>148</v>
      </c>
      <c r="M8" t="s">
        <v>150</v>
      </c>
      <c r="N8">
        <v>6.9302999999999999</v>
      </c>
      <c r="O8" t="s">
        <v>151</v>
      </c>
      <c r="P8" t="s">
        <v>152</v>
      </c>
      <c r="Q8" t="s">
        <v>153</v>
      </c>
      <c r="R8" t="s">
        <v>154</v>
      </c>
      <c r="S8" t="s">
        <v>52</v>
      </c>
      <c r="T8" t="s">
        <v>155</v>
      </c>
      <c r="U8" t="s">
        <v>156</v>
      </c>
      <c r="V8" t="s">
        <v>157</v>
      </c>
      <c r="W8" t="s">
        <v>156</v>
      </c>
      <c r="X8" t="s">
        <v>158</v>
      </c>
      <c r="Y8" t="s">
        <v>159</v>
      </c>
      <c r="Z8">
        <v>7.3</v>
      </c>
      <c r="AA8">
        <v>439745</v>
      </c>
      <c r="AB8" t="s">
        <v>160</v>
      </c>
      <c r="AC8">
        <v>6</v>
      </c>
      <c r="AD8">
        <v>2018</v>
      </c>
      <c r="AE8">
        <v>23</v>
      </c>
      <c r="AF8" t="s">
        <v>161</v>
      </c>
      <c r="AG8">
        <v>-27</v>
      </c>
      <c r="AH8" s="2" t="s">
        <v>162</v>
      </c>
      <c r="AI8" s="3">
        <v>0.65323317265844805</v>
      </c>
      <c r="AJ8" t="s">
        <v>62</v>
      </c>
      <c r="AK8" t="s">
        <v>163</v>
      </c>
      <c r="AL8">
        <v>51</v>
      </c>
      <c r="AM8">
        <v>0</v>
      </c>
      <c r="AN8">
        <v>60</v>
      </c>
      <c r="AO8">
        <v>0</v>
      </c>
      <c r="AP8" t="s">
        <v>64</v>
      </c>
      <c r="AQ8" t="s">
        <v>64</v>
      </c>
    </row>
    <row r="9" spans="1:43" x14ac:dyDescent="0.2">
      <c r="A9">
        <v>470333</v>
      </c>
      <c r="B9" t="s">
        <v>164</v>
      </c>
      <c r="C9">
        <v>6.9</v>
      </c>
      <c r="D9">
        <v>270</v>
      </c>
      <c r="E9" t="s">
        <v>44</v>
      </c>
      <c r="F9" s="1">
        <v>43259</v>
      </c>
      <c r="G9">
        <v>2115765</v>
      </c>
      <c r="H9">
        <v>97</v>
      </c>
      <c r="I9">
        <v>2000000</v>
      </c>
      <c r="J9" t="s">
        <v>165</v>
      </c>
      <c r="K9" t="s">
        <v>46</v>
      </c>
      <c r="L9" t="s">
        <v>164</v>
      </c>
      <c r="M9" t="s">
        <v>166</v>
      </c>
      <c r="N9">
        <v>1.4648000000000001</v>
      </c>
      <c r="O9" t="s">
        <v>167</v>
      </c>
      <c r="P9" t="s">
        <v>168</v>
      </c>
      <c r="Q9" t="s">
        <v>169</v>
      </c>
      <c r="R9" t="s">
        <v>51</v>
      </c>
      <c r="S9" t="s">
        <v>52</v>
      </c>
      <c r="T9" t="s">
        <v>170</v>
      </c>
      <c r="U9" t="s">
        <v>171</v>
      </c>
      <c r="V9" t="s">
        <v>172</v>
      </c>
      <c r="W9" t="s">
        <v>173</v>
      </c>
      <c r="X9" t="s">
        <v>174</v>
      </c>
      <c r="Y9" t="s">
        <v>175</v>
      </c>
      <c r="Z9">
        <v>6.9</v>
      </c>
      <c r="AA9">
        <v>12285</v>
      </c>
      <c r="AB9" t="s">
        <v>176</v>
      </c>
      <c r="AC9">
        <v>6</v>
      </c>
      <c r="AD9">
        <v>2018</v>
      </c>
      <c r="AE9">
        <v>23</v>
      </c>
      <c r="AF9" t="s">
        <v>177</v>
      </c>
      <c r="AG9">
        <v>-26</v>
      </c>
      <c r="AH9">
        <v>14.5649274798339</v>
      </c>
      <c r="AI9" s="3">
        <v>0.53944175851236598</v>
      </c>
      <c r="AJ9" t="s">
        <v>62</v>
      </c>
      <c r="AK9" t="s">
        <v>178</v>
      </c>
      <c r="AL9">
        <v>6</v>
      </c>
      <c r="AM9">
        <v>1</v>
      </c>
      <c r="AN9">
        <v>29</v>
      </c>
      <c r="AO9">
        <v>0.03</v>
      </c>
      <c r="AP9" t="s">
        <v>64</v>
      </c>
      <c r="AQ9" t="s">
        <v>64</v>
      </c>
    </row>
    <row r="10" spans="1:43" x14ac:dyDescent="0.2">
      <c r="A10">
        <v>472553</v>
      </c>
      <c r="B10" t="s">
        <v>179</v>
      </c>
      <c r="C10">
        <v>6.7</v>
      </c>
      <c r="D10">
        <v>104</v>
      </c>
      <c r="E10" t="s">
        <v>44</v>
      </c>
      <c r="F10" s="1">
        <v>43259</v>
      </c>
      <c r="G10">
        <v>231719</v>
      </c>
      <c r="H10">
        <v>96</v>
      </c>
      <c r="I10">
        <v>4000000</v>
      </c>
      <c r="J10" t="s">
        <v>180</v>
      </c>
      <c r="K10" t="s">
        <v>46</v>
      </c>
      <c r="L10" t="s">
        <v>179</v>
      </c>
      <c r="M10" t="s">
        <v>181</v>
      </c>
      <c r="N10">
        <v>1.9534</v>
      </c>
      <c r="O10" t="s">
        <v>182</v>
      </c>
      <c r="P10" t="s">
        <v>183</v>
      </c>
      <c r="Q10" t="s">
        <v>184</v>
      </c>
      <c r="R10" t="s">
        <v>185</v>
      </c>
      <c r="S10" t="s">
        <v>52</v>
      </c>
      <c r="T10" t="s">
        <v>186</v>
      </c>
      <c r="U10" t="s">
        <v>187</v>
      </c>
      <c r="V10" t="s">
        <v>188</v>
      </c>
      <c r="W10" t="s">
        <v>187</v>
      </c>
      <c r="X10" t="s">
        <v>189</v>
      </c>
      <c r="Y10" t="s">
        <v>190</v>
      </c>
      <c r="Z10">
        <v>6.5</v>
      </c>
      <c r="AA10">
        <v>1564</v>
      </c>
      <c r="AB10" t="s">
        <v>191</v>
      </c>
      <c r="AC10">
        <v>6</v>
      </c>
      <c r="AD10">
        <v>2018</v>
      </c>
      <c r="AE10">
        <v>23</v>
      </c>
      <c r="AF10" t="s">
        <v>192</v>
      </c>
      <c r="AG10">
        <v>-26</v>
      </c>
      <c r="AH10" s="2" t="s">
        <v>193</v>
      </c>
      <c r="AI10" s="3">
        <v>0.45752907500779799</v>
      </c>
      <c r="AJ10" t="s">
        <v>62</v>
      </c>
      <c r="AK10" t="s">
        <v>194</v>
      </c>
      <c r="AL10">
        <v>7</v>
      </c>
      <c r="AM10">
        <v>1</v>
      </c>
      <c r="AN10">
        <v>17</v>
      </c>
      <c r="AO10">
        <v>0.06</v>
      </c>
      <c r="AP10" t="s">
        <v>64</v>
      </c>
      <c r="AQ10" t="s">
        <v>64</v>
      </c>
    </row>
    <row r="11" spans="1:43" x14ac:dyDescent="0.2">
      <c r="A11">
        <v>260513</v>
      </c>
      <c r="B11" t="s">
        <v>195</v>
      </c>
      <c r="C11">
        <v>7.4550000000000001</v>
      </c>
      <c r="D11">
        <v>13324</v>
      </c>
      <c r="E11" t="s">
        <v>44</v>
      </c>
      <c r="F11" s="1">
        <v>43265</v>
      </c>
      <c r="G11">
        <v>1243225667</v>
      </c>
      <c r="H11">
        <v>118</v>
      </c>
      <c r="I11">
        <v>200000000</v>
      </c>
      <c r="J11" t="s">
        <v>196</v>
      </c>
      <c r="K11" t="s">
        <v>46</v>
      </c>
      <c r="L11" t="s">
        <v>195</v>
      </c>
      <c r="M11" t="s">
        <v>197</v>
      </c>
      <c r="N11">
        <v>23.711200000000002</v>
      </c>
      <c r="O11" t="s">
        <v>198</v>
      </c>
      <c r="P11" t="s">
        <v>199</v>
      </c>
      <c r="Q11" t="s">
        <v>200</v>
      </c>
      <c r="R11" t="s">
        <v>51</v>
      </c>
      <c r="S11" t="s">
        <v>52</v>
      </c>
      <c r="T11" t="s">
        <v>201</v>
      </c>
      <c r="U11" t="s">
        <v>202</v>
      </c>
      <c r="V11" t="s">
        <v>203</v>
      </c>
      <c r="W11" t="s">
        <v>204</v>
      </c>
      <c r="X11" t="s">
        <v>205</v>
      </c>
      <c r="Y11" t="s">
        <v>110</v>
      </c>
      <c r="Z11">
        <v>7.5</v>
      </c>
      <c r="AA11">
        <v>361076</v>
      </c>
      <c r="AB11" t="s">
        <v>206</v>
      </c>
      <c r="AC11">
        <v>6</v>
      </c>
      <c r="AD11">
        <v>2018</v>
      </c>
      <c r="AE11">
        <v>24</v>
      </c>
      <c r="AF11" t="s">
        <v>207</v>
      </c>
      <c r="AG11">
        <v>-20</v>
      </c>
      <c r="AH11" s="2" t="s">
        <v>208</v>
      </c>
      <c r="AI11" s="3">
        <v>0.99718929448012605</v>
      </c>
      <c r="AJ11" t="s">
        <v>62</v>
      </c>
      <c r="AK11" t="s">
        <v>209</v>
      </c>
      <c r="AL11">
        <v>78</v>
      </c>
      <c r="AM11">
        <v>0</v>
      </c>
      <c r="AN11">
        <v>84</v>
      </c>
      <c r="AO11">
        <v>0</v>
      </c>
      <c r="AP11" t="s">
        <v>64</v>
      </c>
      <c r="AQ11" t="s">
        <v>64</v>
      </c>
    </row>
    <row r="12" spans="1:43" x14ac:dyDescent="0.2">
      <c r="A12">
        <v>339103</v>
      </c>
      <c r="B12" t="s">
        <v>210</v>
      </c>
      <c r="C12">
        <v>5.3230000000000004</v>
      </c>
      <c r="D12">
        <v>626</v>
      </c>
      <c r="E12" t="s">
        <v>44</v>
      </c>
      <c r="F12" s="1">
        <v>43265</v>
      </c>
      <c r="G12">
        <v>4343227</v>
      </c>
      <c r="H12">
        <v>106</v>
      </c>
      <c r="I12">
        <v>10000000</v>
      </c>
      <c r="J12" t="s">
        <v>211</v>
      </c>
      <c r="K12" t="s">
        <v>46</v>
      </c>
      <c r="L12" t="s">
        <v>210</v>
      </c>
      <c r="M12" t="s">
        <v>212</v>
      </c>
      <c r="N12">
        <v>8.6791</v>
      </c>
      <c r="O12" t="s">
        <v>213</v>
      </c>
      <c r="P12" t="s">
        <v>214</v>
      </c>
      <c r="Q12" t="s">
        <v>215</v>
      </c>
      <c r="R12" t="s">
        <v>154</v>
      </c>
      <c r="S12" t="s">
        <v>52</v>
      </c>
      <c r="T12" t="s">
        <v>216</v>
      </c>
      <c r="U12" t="s">
        <v>217</v>
      </c>
      <c r="V12" t="s">
        <v>218</v>
      </c>
      <c r="W12" t="s">
        <v>219</v>
      </c>
      <c r="X12" t="s">
        <v>220</v>
      </c>
      <c r="Y12" t="s">
        <v>221</v>
      </c>
      <c r="Z12">
        <v>4.8</v>
      </c>
      <c r="AA12">
        <v>18164</v>
      </c>
      <c r="AB12" t="s">
        <v>222</v>
      </c>
      <c r="AC12">
        <v>6</v>
      </c>
      <c r="AD12">
        <v>2018</v>
      </c>
      <c r="AE12">
        <v>24</v>
      </c>
      <c r="AF12" t="s">
        <v>223</v>
      </c>
      <c r="AG12">
        <v>-20</v>
      </c>
      <c r="AH12" s="2" t="s">
        <v>224</v>
      </c>
      <c r="AI12" s="3">
        <v>0.72781563849581199</v>
      </c>
      <c r="AJ12" t="s">
        <v>62</v>
      </c>
      <c r="AK12" t="s">
        <v>225</v>
      </c>
      <c r="AL12">
        <v>18</v>
      </c>
      <c r="AM12">
        <v>1</v>
      </c>
      <c r="AN12">
        <v>32</v>
      </c>
      <c r="AO12">
        <v>0.03</v>
      </c>
      <c r="AP12" t="s">
        <v>64</v>
      </c>
      <c r="AQ12" t="s">
        <v>64</v>
      </c>
    </row>
    <row r="13" spans="1:43" x14ac:dyDescent="0.2">
      <c r="A13">
        <v>381237</v>
      </c>
      <c r="B13" t="s">
        <v>226</v>
      </c>
      <c r="C13">
        <v>5.3</v>
      </c>
      <c r="D13">
        <v>247</v>
      </c>
      <c r="E13" t="s">
        <v>44</v>
      </c>
      <c r="F13" s="1">
        <v>43270</v>
      </c>
      <c r="G13">
        <v>165623</v>
      </c>
      <c r="H13">
        <v>88</v>
      </c>
      <c r="I13">
        <v>2500000</v>
      </c>
      <c r="J13" t="s">
        <v>227</v>
      </c>
      <c r="K13" t="s">
        <v>46</v>
      </c>
      <c r="L13" t="s">
        <v>226</v>
      </c>
      <c r="M13" t="s">
        <v>228</v>
      </c>
      <c r="N13">
        <v>2.5525000000000002</v>
      </c>
      <c r="O13" t="s">
        <v>229</v>
      </c>
      <c r="P13" t="s">
        <v>230</v>
      </c>
      <c r="Q13" t="s">
        <v>231</v>
      </c>
      <c r="R13" t="s">
        <v>51</v>
      </c>
      <c r="S13" t="s">
        <v>52</v>
      </c>
      <c r="T13" t="s">
        <v>232</v>
      </c>
      <c r="U13" t="s">
        <v>233</v>
      </c>
      <c r="V13" t="s">
        <v>234</v>
      </c>
      <c r="W13" t="s">
        <v>235</v>
      </c>
      <c r="X13" t="s">
        <v>236</v>
      </c>
      <c r="Y13" t="s">
        <v>237</v>
      </c>
      <c r="Z13">
        <v>5.6</v>
      </c>
      <c r="AA13">
        <v>18266</v>
      </c>
      <c r="AB13" t="s">
        <v>238</v>
      </c>
      <c r="AC13">
        <v>6</v>
      </c>
      <c r="AD13">
        <v>2018</v>
      </c>
      <c r="AE13">
        <v>25</v>
      </c>
      <c r="AF13" t="s">
        <v>239</v>
      </c>
      <c r="AG13">
        <v>-15</v>
      </c>
      <c r="AH13" s="2" t="s">
        <v>240</v>
      </c>
      <c r="AI13" s="3">
        <v>0.75109221487303401</v>
      </c>
      <c r="AJ13" t="s">
        <v>62</v>
      </c>
      <c r="AK13" t="s">
        <v>241</v>
      </c>
      <c r="AL13">
        <v>7</v>
      </c>
      <c r="AM13">
        <v>1</v>
      </c>
      <c r="AN13">
        <v>12</v>
      </c>
      <c r="AO13">
        <v>0.08</v>
      </c>
      <c r="AP13" t="s">
        <v>64</v>
      </c>
      <c r="AQ13" t="s">
        <v>64</v>
      </c>
    </row>
    <row r="14" spans="1:43" x14ac:dyDescent="0.2">
      <c r="A14">
        <v>467952</v>
      </c>
      <c r="B14" t="s">
        <v>242</v>
      </c>
      <c r="C14">
        <v>6.2</v>
      </c>
      <c r="D14">
        <v>303</v>
      </c>
      <c r="E14" t="s">
        <v>44</v>
      </c>
      <c r="F14" s="1">
        <v>43273</v>
      </c>
      <c r="G14">
        <v>953953</v>
      </c>
      <c r="H14">
        <v>94</v>
      </c>
      <c r="I14">
        <v>14000000</v>
      </c>
      <c r="J14" t="s">
        <v>243</v>
      </c>
      <c r="K14" t="s">
        <v>46</v>
      </c>
      <c r="L14" t="s">
        <v>242</v>
      </c>
      <c r="M14" t="s">
        <v>244</v>
      </c>
      <c r="N14">
        <v>2.6082999999999998</v>
      </c>
      <c r="O14" t="s">
        <v>245</v>
      </c>
      <c r="P14" t="s">
        <v>246</v>
      </c>
      <c r="Q14" t="s">
        <v>247</v>
      </c>
      <c r="R14" t="s">
        <v>51</v>
      </c>
      <c r="S14" t="s">
        <v>248</v>
      </c>
      <c r="T14" t="s">
        <v>249</v>
      </c>
      <c r="U14" t="s">
        <v>250</v>
      </c>
      <c r="V14" t="s">
        <v>251</v>
      </c>
      <c r="W14" t="s">
        <v>252</v>
      </c>
      <c r="X14" t="s">
        <v>253</v>
      </c>
      <c r="Y14" t="s">
        <v>254</v>
      </c>
      <c r="Z14">
        <v>6.3</v>
      </c>
      <c r="AA14">
        <v>13401</v>
      </c>
      <c r="AB14" t="s">
        <v>255</v>
      </c>
      <c r="AC14">
        <v>6</v>
      </c>
      <c r="AD14">
        <v>2018</v>
      </c>
      <c r="AE14">
        <v>25</v>
      </c>
      <c r="AF14" t="s">
        <v>256</v>
      </c>
      <c r="AG14">
        <v>-12</v>
      </c>
      <c r="AH14" s="2" t="s">
        <v>257</v>
      </c>
      <c r="AI14" s="3">
        <v>1.0591054408645</v>
      </c>
      <c r="AJ14" t="s">
        <v>62</v>
      </c>
      <c r="AK14" t="s">
        <v>258</v>
      </c>
      <c r="AL14">
        <v>8</v>
      </c>
      <c r="AM14">
        <v>6</v>
      </c>
      <c r="AN14">
        <v>19</v>
      </c>
      <c r="AO14">
        <v>0.32</v>
      </c>
      <c r="AP14" t="s">
        <v>64</v>
      </c>
      <c r="AQ14" t="s">
        <v>64</v>
      </c>
    </row>
    <row r="15" spans="1:43" x14ac:dyDescent="0.2">
      <c r="A15">
        <v>400535</v>
      </c>
      <c r="B15" t="s">
        <v>259</v>
      </c>
      <c r="C15">
        <v>6.94</v>
      </c>
      <c r="D15">
        <v>3832</v>
      </c>
      <c r="E15" t="s">
        <v>44</v>
      </c>
      <c r="F15" s="1">
        <v>43278</v>
      </c>
      <c r="G15">
        <v>75836683</v>
      </c>
      <c r="H15">
        <v>122</v>
      </c>
      <c r="I15">
        <v>35000000</v>
      </c>
      <c r="J15" t="s">
        <v>260</v>
      </c>
      <c r="K15" t="s">
        <v>46</v>
      </c>
      <c r="L15" t="s">
        <v>259</v>
      </c>
      <c r="M15" t="s">
        <v>261</v>
      </c>
      <c r="N15">
        <v>7.6075999999999997</v>
      </c>
      <c r="O15" t="s">
        <v>262</v>
      </c>
      <c r="P15" t="s">
        <v>263</v>
      </c>
      <c r="Q15" t="s">
        <v>264</v>
      </c>
      <c r="R15" t="s">
        <v>265</v>
      </c>
      <c r="S15" t="s">
        <v>266</v>
      </c>
      <c r="T15" t="s">
        <v>267</v>
      </c>
      <c r="U15" t="s">
        <v>268</v>
      </c>
      <c r="V15" t="s">
        <v>269</v>
      </c>
      <c r="W15" t="s">
        <v>270</v>
      </c>
      <c r="X15" t="s">
        <v>271</v>
      </c>
      <c r="Y15" t="s">
        <v>272</v>
      </c>
      <c r="Z15">
        <v>7.1</v>
      </c>
      <c r="AA15">
        <v>185171</v>
      </c>
      <c r="AB15" t="s">
        <v>273</v>
      </c>
      <c r="AC15">
        <v>6</v>
      </c>
      <c r="AD15">
        <v>2018</v>
      </c>
      <c r="AE15">
        <v>26</v>
      </c>
      <c r="AF15" t="s">
        <v>274</v>
      </c>
      <c r="AG15">
        <v>-7</v>
      </c>
      <c r="AH15" s="2" t="s">
        <v>275</v>
      </c>
      <c r="AI15" s="3">
        <v>2.2680115864157999</v>
      </c>
      <c r="AJ15" t="s">
        <v>62</v>
      </c>
      <c r="AK15" t="s">
        <v>276</v>
      </c>
      <c r="AL15">
        <v>55</v>
      </c>
      <c r="AM15">
        <v>0</v>
      </c>
      <c r="AN15">
        <v>64</v>
      </c>
      <c r="AO15">
        <v>0</v>
      </c>
      <c r="AP15" t="s">
        <v>64</v>
      </c>
      <c r="AQ15" t="s">
        <v>64</v>
      </c>
    </row>
    <row r="16" spans="1:43" x14ac:dyDescent="0.2">
      <c r="A16">
        <v>474335</v>
      </c>
      <c r="B16" t="s">
        <v>277</v>
      </c>
      <c r="C16">
        <v>6.6639999999999997</v>
      </c>
      <c r="D16">
        <v>584</v>
      </c>
      <c r="E16" t="s">
        <v>44</v>
      </c>
      <c r="F16" s="1">
        <v>43278</v>
      </c>
      <c r="G16">
        <v>17700000</v>
      </c>
      <c r="H16">
        <v>103</v>
      </c>
      <c r="I16">
        <v>19000000</v>
      </c>
      <c r="J16" t="s">
        <v>278</v>
      </c>
      <c r="K16" t="s">
        <v>46</v>
      </c>
      <c r="L16" t="s">
        <v>277</v>
      </c>
      <c r="M16" t="s">
        <v>279</v>
      </c>
      <c r="N16">
        <v>3.7458999999999998</v>
      </c>
      <c r="O16" t="s">
        <v>280</v>
      </c>
      <c r="P16" t="s">
        <v>281</v>
      </c>
      <c r="Q16" t="s">
        <v>282</v>
      </c>
      <c r="R16" t="s">
        <v>51</v>
      </c>
      <c r="S16" t="s">
        <v>52</v>
      </c>
      <c r="T16" t="s">
        <v>283</v>
      </c>
      <c r="U16" t="s">
        <v>284</v>
      </c>
      <c r="V16" t="s">
        <v>285</v>
      </c>
      <c r="W16" t="s">
        <v>286</v>
      </c>
      <c r="X16" t="s">
        <v>287</v>
      </c>
      <c r="Y16" t="s">
        <v>288</v>
      </c>
      <c r="Z16">
        <v>5.8</v>
      </c>
      <c r="AA16">
        <v>16886</v>
      </c>
      <c r="AB16" t="s">
        <v>289</v>
      </c>
      <c r="AC16">
        <v>6</v>
      </c>
      <c r="AD16">
        <v>2018</v>
      </c>
      <c r="AE16">
        <v>26</v>
      </c>
      <c r="AF16" t="s">
        <v>290</v>
      </c>
      <c r="AG16">
        <v>-7</v>
      </c>
      <c r="AH16" s="2" t="s">
        <v>291</v>
      </c>
      <c r="AI16" s="3">
        <v>2.0861344067551499</v>
      </c>
      <c r="AJ16" t="s">
        <v>62</v>
      </c>
      <c r="AK16" t="s">
        <v>292</v>
      </c>
      <c r="AL16">
        <v>15</v>
      </c>
      <c r="AM16">
        <v>5</v>
      </c>
      <c r="AN16">
        <v>27</v>
      </c>
      <c r="AO16">
        <v>0.19</v>
      </c>
      <c r="AP16" t="s">
        <v>64</v>
      </c>
      <c r="AQ16" t="s">
        <v>64</v>
      </c>
    </row>
    <row r="17" spans="1:43" x14ac:dyDescent="0.2">
      <c r="A17">
        <v>400155</v>
      </c>
      <c r="B17" t="s">
        <v>293</v>
      </c>
      <c r="C17">
        <v>6.8529999999999998</v>
      </c>
      <c r="D17">
        <v>4600</v>
      </c>
      <c r="E17" t="s">
        <v>44</v>
      </c>
      <c r="F17" s="1">
        <v>43279</v>
      </c>
      <c r="G17">
        <v>528600000</v>
      </c>
      <c r="H17">
        <v>97</v>
      </c>
      <c r="I17">
        <v>80000000</v>
      </c>
      <c r="J17" t="s">
        <v>294</v>
      </c>
      <c r="K17" t="s">
        <v>46</v>
      </c>
      <c r="L17" t="s">
        <v>293</v>
      </c>
      <c r="M17" t="s">
        <v>295</v>
      </c>
      <c r="N17">
        <v>7.1470000000000002</v>
      </c>
      <c r="O17" t="s">
        <v>296</v>
      </c>
      <c r="P17" t="s">
        <v>297</v>
      </c>
      <c r="Q17" t="s">
        <v>298</v>
      </c>
      <c r="R17" t="s">
        <v>51</v>
      </c>
      <c r="S17" t="s">
        <v>52</v>
      </c>
      <c r="T17" t="s">
        <v>299</v>
      </c>
      <c r="U17" t="s">
        <v>300</v>
      </c>
      <c r="W17" t="s">
        <v>301</v>
      </c>
      <c r="X17" t="s">
        <v>302</v>
      </c>
      <c r="Y17" t="s">
        <v>303</v>
      </c>
      <c r="Z17">
        <v>6.3</v>
      </c>
      <c r="AA17">
        <v>96372</v>
      </c>
      <c r="AB17" t="s">
        <v>304</v>
      </c>
      <c r="AC17">
        <v>6</v>
      </c>
      <c r="AD17">
        <v>2018</v>
      </c>
      <c r="AE17">
        <v>26</v>
      </c>
      <c r="AF17" t="s">
        <v>305</v>
      </c>
      <c r="AG17">
        <v>-6</v>
      </c>
      <c r="AH17" s="2" t="s">
        <v>306</v>
      </c>
      <c r="AI17" s="3">
        <v>2.8693917945751699</v>
      </c>
      <c r="AJ17" t="s">
        <v>62</v>
      </c>
      <c r="AK17" t="s">
        <v>307</v>
      </c>
      <c r="AL17">
        <v>63</v>
      </c>
      <c r="AM17">
        <v>0</v>
      </c>
      <c r="AN17">
        <v>69</v>
      </c>
      <c r="AO17">
        <v>0</v>
      </c>
      <c r="AP17" t="s">
        <v>64</v>
      </c>
      <c r="AQ17" t="s">
        <v>64</v>
      </c>
    </row>
    <row r="18" spans="1:43" x14ac:dyDescent="0.2">
      <c r="A18">
        <v>496328</v>
      </c>
      <c r="B18" t="s">
        <v>308</v>
      </c>
      <c r="C18">
        <v>7.2</v>
      </c>
      <c r="D18">
        <v>205</v>
      </c>
      <c r="E18" t="s">
        <v>44</v>
      </c>
      <c r="F18" s="1">
        <v>43280</v>
      </c>
      <c r="G18">
        <v>67414985</v>
      </c>
      <c r="H18">
        <v>161</v>
      </c>
      <c r="I18">
        <v>21918618</v>
      </c>
      <c r="J18" t="s">
        <v>309</v>
      </c>
      <c r="K18" t="s">
        <v>310</v>
      </c>
      <c r="L18" t="s">
        <v>311</v>
      </c>
      <c r="M18" t="s">
        <v>312</v>
      </c>
      <c r="N18">
        <v>3.7141000000000002</v>
      </c>
      <c r="O18" t="s">
        <v>313</v>
      </c>
      <c r="P18" t="s">
        <v>314</v>
      </c>
      <c r="Q18" t="s">
        <v>315</v>
      </c>
      <c r="R18" t="s">
        <v>316</v>
      </c>
      <c r="S18" t="s">
        <v>317</v>
      </c>
      <c r="T18" t="s">
        <v>318</v>
      </c>
      <c r="U18" t="s">
        <v>319</v>
      </c>
      <c r="V18" t="s">
        <v>320</v>
      </c>
      <c r="W18" t="s">
        <v>321</v>
      </c>
      <c r="X18" t="s">
        <v>322</v>
      </c>
      <c r="Y18" t="s">
        <v>323</v>
      </c>
      <c r="Z18">
        <v>7.6</v>
      </c>
      <c r="AA18">
        <v>66029</v>
      </c>
      <c r="AB18" t="s">
        <v>324</v>
      </c>
      <c r="AC18">
        <v>6</v>
      </c>
      <c r="AD18">
        <v>2018</v>
      </c>
      <c r="AE18">
        <v>26</v>
      </c>
      <c r="AF18" t="s">
        <v>325</v>
      </c>
      <c r="AG18">
        <v>-5</v>
      </c>
      <c r="AH18" s="2" t="s">
        <v>326</v>
      </c>
      <c r="AI18" s="3">
        <v>3.0043963158968898</v>
      </c>
      <c r="AJ18" t="s">
        <v>62</v>
      </c>
      <c r="AK18" t="s">
        <v>327</v>
      </c>
      <c r="AL18">
        <v>19</v>
      </c>
      <c r="AM18">
        <v>2</v>
      </c>
      <c r="AN18">
        <v>26</v>
      </c>
      <c r="AO18">
        <v>0.08</v>
      </c>
      <c r="AP18" t="s">
        <v>64</v>
      </c>
      <c r="AQ18" t="s">
        <v>64</v>
      </c>
    </row>
    <row r="19" spans="1:43" x14ac:dyDescent="0.2">
      <c r="A19">
        <v>424781</v>
      </c>
      <c r="B19" t="s">
        <v>328</v>
      </c>
      <c r="C19">
        <v>6.8</v>
      </c>
      <c r="D19">
        <v>1632</v>
      </c>
      <c r="E19" t="s">
        <v>44</v>
      </c>
      <c r="F19" s="1">
        <v>43287</v>
      </c>
      <c r="G19">
        <v>18200000</v>
      </c>
      <c r="H19">
        <v>112</v>
      </c>
      <c r="I19">
        <v>3200000</v>
      </c>
      <c r="J19" t="s">
        <v>329</v>
      </c>
      <c r="K19" t="s">
        <v>46</v>
      </c>
      <c r="L19" t="s">
        <v>328</v>
      </c>
      <c r="M19" t="s">
        <v>330</v>
      </c>
      <c r="N19">
        <v>3.2286000000000001</v>
      </c>
      <c r="O19" t="s">
        <v>331</v>
      </c>
      <c r="P19" t="s">
        <v>332</v>
      </c>
      <c r="Q19" t="s">
        <v>333</v>
      </c>
      <c r="R19" t="s">
        <v>51</v>
      </c>
      <c r="S19" t="s">
        <v>52</v>
      </c>
      <c r="T19" t="s">
        <v>334</v>
      </c>
      <c r="U19" t="s">
        <v>335</v>
      </c>
      <c r="V19" t="s">
        <v>336</v>
      </c>
      <c r="W19" t="s">
        <v>335</v>
      </c>
      <c r="X19" t="s">
        <v>337</v>
      </c>
      <c r="Y19" t="s">
        <v>338</v>
      </c>
      <c r="Z19">
        <v>6.9</v>
      </c>
      <c r="AA19">
        <v>92895</v>
      </c>
      <c r="AB19" t="s">
        <v>339</v>
      </c>
      <c r="AC19">
        <v>7</v>
      </c>
      <c r="AD19">
        <v>2018</v>
      </c>
      <c r="AE19">
        <v>27</v>
      </c>
      <c r="AF19" t="s">
        <v>340</v>
      </c>
      <c r="AG19">
        <v>2</v>
      </c>
      <c r="AH19" s="2" t="s">
        <v>341</v>
      </c>
      <c r="AI19" s="3">
        <v>5.5723107356640202</v>
      </c>
      <c r="AJ19" t="s">
        <v>62</v>
      </c>
      <c r="AK19" t="s">
        <v>342</v>
      </c>
      <c r="AL19">
        <v>12</v>
      </c>
      <c r="AM19">
        <v>5</v>
      </c>
      <c r="AN19">
        <v>43</v>
      </c>
      <c r="AO19">
        <v>0.12</v>
      </c>
      <c r="AP19" t="s">
        <v>64</v>
      </c>
      <c r="AQ19" t="s">
        <v>64</v>
      </c>
    </row>
    <row r="20" spans="1:43" x14ac:dyDescent="0.2">
      <c r="A20">
        <v>447200</v>
      </c>
      <c r="B20" t="s">
        <v>343</v>
      </c>
      <c r="C20">
        <v>6.319</v>
      </c>
      <c r="D20">
        <v>5192</v>
      </c>
      <c r="E20" t="s">
        <v>44</v>
      </c>
      <c r="F20" s="1">
        <v>43292</v>
      </c>
      <c r="G20">
        <v>304870828</v>
      </c>
      <c r="H20">
        <v>102</v>
      </c>
      <c r="I20">
        <v>125000000</v>
      </c>
      <c r="J20" t="s">
        <v>344</v>
      </c>
      <c r="K20" t="s">
        <v>46</v>
      </c>
      <c r="L20" t="s">
        <v>343</v>
      </c>
      <c r="M20" t="s">
        <v>345</v>
      </c>
      <c r="N20">
        <v>2.9544999999999999</v>
      </c>
      <c r="O20" t="s">
        <v>346</v>
      </c>
      <c r="P20" t="s">
        <v>347</v>
      </c>
      <c r="Q20" t="s">
        <v>348</v>
      </c>
      <c r="R20" t="s">
        <v>349</v>
      </c>
      <c r="S20" t="s">
        <v>350</v>
      </c>
      <c r="T20" t="s">
        <v>351</v>
      </c>
      <c r="U20" t="s">
        <v>352</v>
      </c>
      <c r="V20" t="s">
        <v>353</v>
      </c>
      <c r="W20" t="s">
        <v>354</v>
      </c>
      <c r="X20" t="s">
        <v>355</v>
      </c>
      <c r="Y20" t="s">
        <v>356</v>
      </c>
      <c r="Z20">
        <v>5.8</v>
      </c>
      <c r="AA20">
        <v>142841</v>
      </c>
      <c r="AB20" t="s">
        <v>357</v>
      </c>
      <c r="AC20">
        <v>7</v>
      </c>
      <c r="AD20">
        <v>2018</v>
      </c>
      <c r="AE20">
        <v>28</v>
      </c>
      <c r="AF20" t="s">
        <v>358</v>
      </c>
      <c r="AG20">
        <v>7</v>
      </c>
      <c r="AH20" s="2" t="s">
        <v>359</v>
      </c>
      <c r="AI20" s="3">
        <v>2.4419248416737398</v>
      </c>
      <c r="AJ20" t="s">
        <v>62</v>
      </c>
      <c r="AK20" t="s">
        <v>360</v>
      </c>
      <c r="AL20">
        <v>59</v>
      </c>
      <c r="AM20">
        <v>1</v>
      </c>
      <c r="AN20">
        <v>60</v>
      </c>
      <c r="AO20">
        <v>0.02</v>
      </c>
      <c r="AP20" t="s">
        <v>64</v>
      </c>
      <c r="AQ20" t="s">
        <v>64</v>
      </c>
    </row>
    <row r="21" spans="1:43" x14ac:dyDescent="0.2">
      <c r="A21">
        <v>438689</v>
      </c>
      <c r="B21" t="s">
        <v>361</v>
      </c>
      <c r="C21">
        <v>4.7</v>
      </c>
      <c r="D21">
        <v>594</v>
      </c>
      <c r="E21" t="s">
        <v>44</v>
      </c>
      <c r="F21" s="1">
        <v>43294</v>
      </c>
      <c r="G21">
        <v>2006704</v>
      </c>
      <c r="H21">
        <v>105</v>
      </c>
      <c r="I21">
        <v>2000000</v>
      </c>
      <c r="J21" t="s">
        <v>362</v>
      </c>
      <c r="K21" t="s">
        <v>46</v>
      </c>
      <c r="L21" t="s">
        <v>361</v>
      </c>
      <c r="M21" t="s">
        <v>363</v>
      </c>
      <c r="N21">
        <v>3.4948999999999999</v>
      </c>
      <c r="O21" t="s">
        <v>364</v>
      </c>
      <c r="P21" t="s">
        <v>365</v>
      </c>
      <c r="Q21" t="s">
        <v>366</v>
      </c>
      <c r="R21" t="s">
        <v>367</v>
      </c>
      <c r="S21" t="s">
        <v>368</v>
      </c>
      <c r="T21" t="s">
        <v>369</v>
      </c>
      <c r="U21" t="s">
        <v>370</v>
      </c>
      <c r="V21" t="s">
        <v>371</v>
      </c>
      <c r="W21" t="s">
        <v>372</v>
      </c>
      <c r="X21" t="s">
        <v>373</v>
      </c>
      <c r="Y21" t="s">
        <v>374</v>
      </c>
      <c r="Z21">
        <v>4.3</v>
      </c>
      <c r="AA21">
        <v>18293</v>
      </c>
      <c r="AB21" t="s">
        <v>375</v>
      </c>
      <c r="AC21">
        <v>7</v>
      </c>
      <c r="AD21">
        <v>2018</v>
      </c>
      <c r="AE21">
        <v>28</v>
      </c>
      <c r="AF21" t="s">
        <v>376</v>
      </c>
      <c r="AG21">
        <v>9</v>
      </c>
      <c r="AH21" s="2" t="s">
        <v>377</v>
      </c>
      <c r="AI21" s="3">
        <v>1.45120046314244</v>
      </c>
      <c r="AJ21" t="s">
        <v>62</v>
      </c>
      <c r="AK21" t="s">
        <v>378</v>
      </c>
      <c r="AL21">
        <v>16</v>
      </c>
      <c r="AM21">
        <v>1</v>
      </c>
      <c r="AN21">
        <v>28</v>
      </c>
      <c r="AO21">
        <v>0.04</v>
      </c>
      <c r="AP21" t="s">
        <v>64</v>
      </c>
      <c r="AQ21" t="s">
        <v>64</v>
      </c>
    </row>
    <row r="22" spans="1:43" x14ac:dyDescent="0.2">
      <c r="A22">
        <v>426613</v>
      </c>
      <c r="B22" t="s">
        <v>379</v>
      </c>
      <c r="C22">
        <v>6.9</v>
      </c>
      <c r="D22">
        <v>993</v>
      </c>
      <c r="E22" t="s">
        <v>44</v>
      </c>
      <c r="F22" s="1">
        <v>43299</v>
      </c>
      <c r="G22">
        <v>2019874</v>
      </c>
      <c r="H22">
        <v>92</v>
      </c>
      <c r="I22">
        <v>900000</v>
      </c>
      <c r="J22" t="s">
        <v>380</v>
      </c>
      <c r="K22" t="s">
        <v>46</v>
      </c>
      <c r="L22" t="s">
        <v>379</v>
      </c>
      <c r="M22" t="s">
        <v>381</v>
      </c>
      <c r="N22">
        <v>5.3632999999999997</v>
      </c>
      <c r="O22" t="s">
        <v>382</v>
      </c>
      <c r="P22" t="s">
        <v>383</v>
      </c>
      <c r="Q22" t="s">
        <v>384</v>
      </c>
      <c r="R22" t="s">
        <v>87</v>
      </c>
      <c r="S22" t="s">
        <v>52</v>
      </c>
      <c r="T22" t="s">
        <v>385</v>
      </c>
      <c r="U22" t="s">
        <v>386</v>
      </c>
      <c r="V22" t="s">
        <v>387</v>
      </c>
      <c r="W22" t="s">
        <v>388</v>
      </c>
      <c r="X22" t="s">
        <v>389</v>
      </c>
      <c r="Y22" t="s">
        <v>390</v>
      </c>
      <c r="Z22">
        <v>6.6</v>
      </c>
      <c r="AA22">
        <v>27190</v>
      </c>
      <c r="AB22" t="s">
        <v>391</v>
      </c>
      <c r="AC22">
        <v>7</v>
      </c>
      <c r="AD22">
        <v>2018</v>
      </c>
      <c r="AE22">
        <v>29</v>
      </c>
      <c r="AF22" t="s">
        <v>392</v>
      </c>
      <c r="AG22">
        <v>14</v>
      </c>
      <c r="AH22" s="2" t="s">
        <v>393</v>
      </c>
      <c r="AI22">
        <v>0.96790307908496998</v>
      </c>
      <c r="AJ22" t="s">
        <v>62</v>
      </c>
      <c r="AK22" t="s">
        <v>394</v>
      </c>
      <c r="AL22">
        <v>16</v>
      </c>
      <c r="AM22">
        <v>1</v>
      </c>
      <c r="AN22">
        <v>57</v>
      </c>
      <c r="AO22">
        <v>0.02</v>
      </c>
      <c r="AP22" t="s">
        <v>64</v>
      </c>
      <c r="AQ22" t="s">
        <v>64</v>
      </c>
    </row>
    <row r="23" spans="1:43" x14ac:dyDescent="0.2">
      <c r="A23">
        <v>458423</v>
      </c>
      <c r="B23" t="s">
        <v>395</v>
      </c>
      <c r="C23">
        <v>7.1</v>
      </c>
      <c r="D23">
        <v>3494</v>
      </c>
      <c r="E23" t="s">
        <v>44</v>
      </c>
      <c r="F23" s="1">
        <v>43299</v>
      </c>
      <c r="G23">
        <v>395607854</v>
      </c>
      <c r="H23">
        <v>114</v>
      </c>
      <c r="I23">
        <v>75000000</v>
      </c>
      <c r="J23" t="s">
        <v>396</v>
      </c>
      <c r="K23" t="s">
        <v>46</v>
      </c>
      <c r="L23" t="s">
        <v>395</v>
      </c>
      <c r="M23" t="s">
        <v>397</v>
      </c>
      <c r="N23">
        <v>4.0361000000000002</v>
      </c>
      <c r="O23" t="s">
        <v>398</v>
      </c>
      <c r="P23" t="s">
        <v>399</v>
      </c>
      <c r="Q23" t="s">
        <v>400</v>
      </c>
      <c r="R23" t="s">
        <v>87</v>
      </c>
      <c r="S23" t="s">
        <v>52</v>
      </c>
      <c r="T23" t="s">
        <v>401</v>
      </c>
      <c r="U23" t="s">
        <v>402</v>
      </c>
      <c r="V23" t="s">
        <v>403</v>
      </c>
      <c r="W23" t="s">
        <v>404</v>
      </c>
      <c r="X23" t="s">
        <v>405</v>
      </c>
      <c r="Y23" t="s">
        <v>406</v>
      </c>
      <c r="Z23">
        <v>6.6</v>
      </c>
      <c r="AA23">
        <v>117991</v>
      </c>
      <c r="AB23" t="s">
        <v>407</v>
      </c>
      <c r="AC23">
        <v>7</v>
      </c>
      <c r="AD23">
        <v>2018</v>
      </c>
      <c r="AE23">
        <v>29</v>
      </c>
      <c r="AF23" t="s">
        <v>408</v>
      </c>
      <c r="AG23">
        <v>14</v>
      </c>
      <c r="AH23" s="2" t="s">
        <v>409</v>
      </c>
      <c r="AI23" s="3">
        <v>1.31972893422871</v>
      </c>
      <c r="AJ23" t="s">
        <v>62</v>
      </c>
      <c r="AK23" t="s">
        <v>410</v>
      </c>
      <c r="AL23">
        <v>59</v>
      </c>
      <c r="AM23">
        <v>1</v>
      </c>
      <c r="AN23">
        <v>67</v>
      </c>
      <c r="AO23">
        <v>0.01</v>
      </c>
      <c r="AP23" t="s">
        <v>64</v>
      </c>
      <c r="AQ23" t="s">
        <v>64</v>
      </c>
    </row>
    <row r="24" spans="1:43" x14ac:dyDescent="0.2">
      <c r="A24">
        <v>345887</v>
      </c>
      <c r="B24" t="s">
        <v>411</v>
      </c>
      <c r="C24">
        <v>6.7770000000000001</v>
      </c>
      <c r="D24">
        <v>5676</v>
      </c>
      <c r="E24" t="s">
        <v>44</v>
      </c>
      <c r="F24" s="1">
        <v>43300</v>
      </c>
      <c r="G24">
        <v>190400157</v>
      </c>
      <c r="H24">
        <v>121</v>
      </c>
      <c r="I24">
        <v>62000000</v>
      </c>
      <c r="J24" t="s">
        <v>412</v>
      </c>
      <c r="K24" t="s">
        <v>46</v>
      </c>
      <c r="L24" t="s">
        <v>411</v>
      </c>
      <c r="M24" t="s">
        <v>413</v>
      </c>
      <c r="N24">
        <v>7.9364999999999997</v>
      </c>
      <c r="O24" t="s">
        <v>414</v>
      </c>
      <c r="P24" t="s">
        <v>415</v>
      </c>
      <c r="Q24" t="s">
        <v>416</v>
      </c>
      <c r="R24" t="s">
        <v>51</v>
      </c>
      <c r="S24" t="s">
        <v>417</v>
      </c>
      <c r="T24" t="s">
        <v>418</v>
      </c>
      <c r="U24" t="s">
        <v>419</v>
      </c>
      <c r="V24" t="s">
        <v>420</v>
      </c>
      <c r="W24" t="s">
        <v>421</v>
      </c>
      <c r="X24" t="s">
        <v>422</v>
      </c>
      <c r="Y24" t="s">
        <v>423</v>
      </c>
      <c r="Z24">
        <v>6.7</v>
      </c>
      <c r="AA24">
        <v>222738</v>
      </c>
      <c r="AB24" t="s">
        <v>424</v>
      </c>
      <c r="AC24">
        <v>7</v>
      </c>
      <c r="AD24">
        <v>2018</v>
      </c>
      <c r="AE24">
        <v>29</v>
      </c>
      <c r="AF24" t="s">
        <v>425</v>
      </c>
      <c r="AG24">
        <v>15</v>
      </c>
      <c r="AH24" s="2" t="s">
        <v>426</v>
      </c>
      <c r="AI24" s="3">
        <v>1.19153990688457</v>
      </c>
      <c r="AJ24" t="s">
        <v>62</v>
      </c>
      <c r="AK24" t="s">
        <v>427</v>
      </c>
      <c r="AL24">
        <v>54</v>
      </c>
      <c r="AM24">
        <v>2</v>
      </c>
      <c r="AN24">
        <v>58</v>
      </c>
      <c r="AO24">
        <v>0.03</v>
      </c>
      <c r="AP24" t="s">
        <v>64</v>
      </c>
      <c r="AQ24" t="s">
        <v>64</v>
      </c>
    </row>
    <row r="25" spans="1:43" x14ac:dyDescent="0.2">
      <c r="A25">
        <v>353081</v>
      </c>
      <c r="B25" t="s">
        <v>428</v>
      </c>
      <c r="C25">
        <v>7.4</v>
      </c>
      <c r="D25">
        <v>8793</v>
      </c>
      <c r="E25" t="s">
        <v>44</v>
      </c>
      <c r="F25" s="1">
        <v>43306</v>
      </c>
      <c r="G25">
        <v>791658205</v>
      </c>
      <c r="H25">
        <v>147</v>
      </c>
      <c r="I25">
        <v>178000000</v>
      </c>
      <c r="J25" t="s">
        <v>429</v>
      </c>
      <c r="K25" t="s">
        <v>46</v>
      </c>
      <c r="L25" t="s">
        <v>428</v>
      </c>
      <c r="M25" t="s">
        <v>430</v>
      </c>
      <c r="N25">
        <v>8.0771999999999995</v>
      </c>
      <c r="O25" t="s">
        <v>431</v>
      </c>
      <c r="P25" t="s">
        <v>432</v>
      </c>
      <c r="Q25" t="s">
        <v>433</v>
      </c>
      <c r="R25" t="s">
        <v>51</v>
      </c>
      <c r="S25" t="s">
        <v>434</v>
      </c>
      <c r="T25" t="s">
        <v>435</v>
      </c>
      <c r="U25" t="s">
        <v>436</v>
      </c>
      <c r="V25" t="s">
        <v>437</v>
      </c>
      <c r="W25" t="s">
        <v>438</v>
      </c>
      <c r="X25" t="s">
        <v>439</v>
      </c>
      <c r="Y25" t="s">
        <v>440</v>
      </c>
      <c r="Z25">
        <v>7.7</v>
      </c>
      <c r="AA25">
        <v>411800</v>
      </c>
      <c r="AB25" t="s">
        <v>441</v>
      </c>
      <c r="AC25">
        <v>7</v>
      </c>
      <c r="AD25">
        <v>2018</v>
      </c>
      <c r="AE25">
        <v>30</v>
      </c>
      <c r="AF25" t="s">
        <v>442</v>
      </c>
      <c r="AG25">
        <v>21</v>
      </c>
      <c r="AH25" s="2" t="s">
        <v>443</v>
      </c>
      <c r="AI25" s="3">
        <v>0.93134728629772201</v>
      </c>
      <c r="AJ25" t="s">
        <v>62</v>
      </c>
      <c r="AK25" t="s">
        <v>444</v>
      </c>
      <c r="AL25">
        <v>64</v>
      </c>
      <c r="AM25">
        <v>2</v>
      </c>
      <c r="AN25">
        <v>76</v>
      </c>
      <c r="AO25">
        <v>0.03</v>
      </c>
      <c r="AP25" t="s">
        <v>64</v>
      </c>
      <c r="AQ25" t="s">
        <v>64</v>
      </c>
    </row>
    <row r="26" spans="1:43" x14ac:dyDescent="0.2">
      <c r="A26">
        <v>445651</v>
      </c>
      <c r="B26" t="s">
        <v>445</v>
      </c>
      <c r="C26">
        <v>7</v>
      </c>
      <c r="D26">
        <v>2885</v>
      </c>
      <c r="E26" t="s">
        <v>44</v>
      </c>
      <c r="F26" s="1">
        <v>43306</v>
      </c>
      <c r="G26">
        <v>41142379</v>
      </c>
      <c r="H26">
        <v>105</v>
      </c>
      <c r="I26">
        <v>34000000</v>
      </c>
      <c r="J26" t="s">
        <v>446</v>
      </c>
      <c r="K26" t="s">
        <v>46</v>
      </c>
      <c r="L26" t="s">
        <v>445</v>
      </c>
      <c r="M26" t="s">
        <v>447</v>
      </c>
      <c r="N26">
        <v>4.1470000000000002</v>
      </c>
      <c r="O26" t="s">
        <v>448</v>
      </c>
      <c r="P26" t="s">
        <v>449</v>
      </c>
      <c r="Q26" t="s">
        <v>450</v>
      </c>
      <c r="R26" t="s">
        <v>51</v>
      </c>
      <c r="S26" t="s">
        <v>52</v>
      </c>
      <c r="T26" t="s">
        <v>451</v>
      </c>
      <c r="U26" t="s">
        <v>452</v>
      </c>
      <c r="V26" t="s">
        <v>453</v>
      </c>
      <c r="W26" t="s">
        <v>454</v>
      </c>
      <c r="X26" t="s">
        <v>455</v>
      </c>
      <c r="Y26" t="s">
        <v>456</v>
      </c>
      <c r="Z26">
        <v>5.7</v>
      </c>
      <c r="AA26">
        <v>39717</v>
      </c>
      <c r="AB26" t="s">
        <v>457</v>
      </c>
      <c r="AC26">
        <v>7</v>
      </c>
      <c r="AD26">
        <v>2018</v>
      </c>
      <c r="AE26">
        <v>30</v>
      </c>
      <c r="AF26" t="s">
        <v>458</v>
      </c>
      <c r="AG26">
        <v>21</v>
      </c>
      <c r="AH26" s="2" t="s">
        <v>459</v>
      </c>
      <c r="AI26" s="3">
        <v>0.79693405871615597</v>
      </c>
      <c r="AJ26" t="s">
        <v>62</v>
      </c>
      <c r="AK26" t="s">
        <v>460</v>
      </c>
      <c r="AL26">
        <v>51</v>
      </c>
      <c r="AM26">
        <v>1</v>
      </c>
      <c r="AN26">
        <v>55</v>
      </c>
      <c r="AO26">
        <v>0.02</v>
      </c>
      <c r="AP26" t="s">
        <v>64</v>
      </c>
      <c r="AQ26" t="s">
        <v>64</v>
      </c>
    </row>
    <row r="27" spans="1:43" x14ac:dyDescent="0.2">
      <c r="A27">
        <v>474395</v>
      </c>
      <c r="B27" t="s">
        <v>461</v>
      </c>
      <c r="C27">
        <v>7.1660000000000004</v>
      </c>
      <c r="D27">
        <v>1147</v>
      </c>
      <c r="E27" t="s">
        <v>44</v>
      </c>
      <c r="F27" s="1">
        <v>43308</v>
      </c>
      <c r="G27">
        <v>52390236</v>
      </c>
      <c r="H27">
        <v>84</v>
      </c>
      <c r="I27">
        <v>10000000</v>
      </c>
      <c r="J27" t="s">
        <v>462</v>
      </c>
      <c r="K27" t="s">
        <v>46</v>
      </c>
      <c r="L27" t="s">
        <v>461</v>
      </c>
      <c r="M27" t="s">
        <v>463</v>
      </c>
      <c r="N27">
        <v>4.4664999999999999</v>
      </c>
      <c r="O27" t="s">
        <v>464</v>
      </c>
      <c r="P27" t="s">
        <v>465</v>
      </c>
      <c r="Q27" t="s">
        <v>466</v>
      </c>
      <c r="R27" t="s">
        <v>51</v>
      </c>
      <c r="S27" t="s">
        <v>52</v>
      </c>
      <c r="T27" t="s">
        <v>467</v>
      </c>
      <c r="U27" t="s">
        <v>468</v>
      </c>
      <c r="W27" t="s">
        <v>469</v>
      </c>
      <c r="X27" t="s">
        <v>470</v>
      </c>
      <c r="Y27" t="s">
        <v>471</v>
      </c>
      <c r="Z27">
        <v>6.7</v>
      </c>
      <c r="AA27">
        <v>23299</v>
      </c>
      <c r="AB27" t="s">
        <v>472</v>
      </c>
      <c r="AC27">
        <v>7</v>
      </c>
      <c r="AD27">
        <v>2018</v>
      </c>
      <c r="AE27">
        <v>30</v>
      </c>
      <c r="AF27" t="s">
        <v>473</v>
      </c>
      <c r="AG27">
        <v>23</v>
      </c>
      <c r="AH27" s="2" t="s">
        <v>474</v>
      </c>
      <c r="AI27" s="3">
        <v>0.74059295063076003</v>
      </c>
      <c r="AJ27" t="s">
        <v>62</v>
      </c>
      <c r="AK27" t="s">
        <v>475</v>
      </c>
      <c r="AL27">
        <v>39</v>
      </c>
      <c r="AM27">
        <v>1</v>
      </c>
      <c r="AN27">
        <v>42</v>
      </c>
      <c r="AO27">
        <v>0.02</v>
      </c>
      <c r="AP27" t="s">
        <v>64</v>
      </c>
      <c r="AQ27" t="s">
        <v>64</v>
      </c>
    </row>
    <row r="28" spans="1:43" x14ac:dyDescent="0.2">
      <c r="A28">
        <v>420814</v>
      </c>
      <c r="B28" t="s">
        <v>476</v>
      </c>
      <c r="C28">
        <v>7.3</v>
      </c>
      <c r="D28">
        <v>2837</v>
      </c>
      <c r="E28" t="s">
        <v>44</v>
      </c>
      <c r="F28" s="1">
        <v>43313</v>
      </c>
      <c r="G28">
        <v>197744377</v>
      </c>
      <c r="H28">
        <v>104</v>
      </c>
      <c r="I28">
        <v>75000000</v>
      </c>
      <c r="J28" t="s">
        <v>477</v>
      </c>
      <c r="K28" t="s">
        <v>46</v>
      </c>
      <c r="L28" t="s">
        <v>476</v>
      </c>
      <c r="M28" t="s">
        <v>478</v>
      </c>
      <c r="N28">
        <v>3.5087999999999999</v>
      </c>
      <c r="O28" t="s">
        <v>479</v>
      </c>
      <c r="P28" t="s">
        <v>480</v>
      </c>
      <c r="Q28" t="s">
        <v>481</v>
      </c>
      <c r="R28" t="s">
        <v>87</v>
      </c>
      <c r="S28" t="s">
        <v>52</v>
      </c>
      <c r="T28" t="s">
        <v>482</v>
      </c>
      <c r="U28" t="s">
        <v>483</v>
      </c>
      <c r="V28" t="s">
        <v>484</v>
      </c>
      <c r="W28" t="s">
        <v>485</v>
      </c>
      <c r="X28" t="s">
        <v>486</v>
      </c>
      <c r="Y28" t="s">
        <v>487</v>
      </c>
      <c r="Z28">
        <v>7.2</v>
      </c>
      <c r="AA28">
        <v>89494</v>
      </c>
      <c r="AB28" t="s">
        <v>488</v>
      </c>
      <c r="AC28">
        <v>8</v>
      </c>
      <c r="AD28">
        <v>2018</v>
      </c>
      <c r="AE28">
        <v>31</v>
      </c>
      <c r="AF28" t="s">
        <v>489</v>
      </c>
      <c r="AG28">
        <v>28</v>
      </c>
      <c r="AH28" s="2" t="s">
        <v>490</v>
      </c>
      <c r="AI28" s="3">
        <v>0.65870640463352503</v>
      </c>
      <c r="AJ28" t="s">
        <v>62</v>
      </c>
      <c r="AK28" t="s">
        <v>491</v>
      </c>
      <c r="AL28">
        <v>68</v>
      </c>
      <c r="AM28">
        <v>0</v>
      </c>
      <c r="AN28">
        <v>74</v>
      </c>
      <c r="AO28">
        <v>0</v>
      </c>
      <c r="AP28" t="s">
        <v>64</v>
      </c>
      <c r="AQ28" t="s">
        <v>64</v>
      </c>
    </row>
    <row r="29" spans="1:43" x14ac:dyDescent="0.2">
      <c r="A29">
        <v>340613</v>
      </c>
      <c r="B29" t="s">
        <v>492</v>
      </c>
      <c r="C29">
        <v>7.1</v>
      </c>
      <c r="D29">
        <v>1096</v>
      </c>
      <c r="E29" t="s">
        <v>44</v>
      </c>
      <c r="F29" s="1">
        <v>43314</v>
      </c>
      <c r="G29">
        <v>20000000</v>
      </c>
      <c r="H29">
        <v>100</v>
      </c>
      <c r="I29">
        <v>7000000</v>
      </c>
      <c r="J29" t="s">
        <v>493</v>
      </c>
      <c r="K29" t="s">
        <v>46</v>
      </c>
      <c r="L29" t="s">
        <v>492</v>
      </c>
      <c r="M29" t="s">
        <v>494</v>
      </c>
      <c r="N29">
        <v>3.5350000000000001</v>
      </c>
      <c r="O29" t="s">
        <v>495</v>
      </c>
      <c r="P29" t="s">
        <v>383</v>
      </c>
      <c r="Q29" t="s">
        <v>496</v>
      </c>
      <c r="R29" t="s">
        <v>497</v>
      </c>
      <c r="S29" t="s">
        <v>498</v>
      </c>
      <c r="T29" t="s">
        <v>499</v>
      </c>
      <c r="U29" t="s">
        <v>500</v>
      </c>
      <c r="V29" t="s">
        <v>501</v>
      </c>
      <c r="W29" t="s">
        <v>502</v>
      </c>
      <c r="X29" t="s">
        <v>503</v>
      </c>
      <c r="Y29" t="s">
        <v>504</v>
      </c>
      <c r="Z29">
        <v>7.2</v>
      </c>
      <c r="AA29">
        <v>44681</v>
      </c>
      <c r="AB29" t="s">
        <v>505</v>
      </c>
      <c r="AC29">
        <v>8</v>
      </c>
      <c r="AD29">
        <v>2018</v>
      </c>
      <c r="AE29">
        <v>31</v>
      </c>
      <c r="AF29" t="s">
        <v>506</v>
      </c>
      <c r="AG29">
        <v>29</v>
      </c>
      <c r="AH29" s="2" t="s">
        <v>507</v>
      </c>
      <c r="AI29" s="3">
        <v>0.56037476271727504</v>
      </c>
      <c r="AJ29" t="s">
        <v>62</v>
      </c>
      <c r="AK29" t="s">
        <v>508</v>
      </c>
      <c r="AL29">
        <v>36</v>
      </c>
      <c r="AM29">
        <v>1</v>
      </c>
      <c r="AN29">
        <v>45</v>
      </c>
      <c r="AO29">
        <v>0.02</v>
      </c>
      <c r="AP29" t="s">
        <v>64</v>
      </c>
      <c r="AQ29" t="s">
        <v>64</v>
      </c>
    </row>
    <row r="30" spans="1:43" x14ac:dyDescent="0.2">
      <c r="A30">
        <v>454992</v>
      </c>
      <c r="B30" t="s">
        <v>509</v>
      </c>
      <c r="C30">
        <v>6.4</v>
      </c>
      <c r="D30">
        <v>2297</v>
      </c>
      <c r="E30" t="s">
        <v>44</v>
      </c>
      <c r="F30" s="1">
        <v>43314</v>
      </c>
      <c r="G30">
        <v>33562069</v>
      </c>
      <c r="H30">
        <v>117</v>
      </c>
      <c r="I30">
        <v>40000000</v>
      </c>
      <c r="J30" t="s">
        <v>510</v>
      </c>
      <c r="K30" t="s">
        <v>46</v>
      </c>
      <c r="L30" t="s">
        <v>509</v>
      </c>
      <c r="M30" t="s">
        <v>511</v>
      </c>
      <c r="N30">
        <v>2.3439999999999999</v>
      </c>
      <c r="O30" t="s">
        <v>512</v>
      </c>
      <c r="P30" t="s">
        <v>513</v>
      </c>
      <c r="Q30" t="s">
        <v>514</v>
      </c>
      <c r="R30" t="s">
        <v>51</v>
      </c>
      <c r="S30" t="s">
        <v>515</v>
      </c>
      <c r="T30" t="s">
        <v>516</v>
      </c>
      <c r="U30" t="s">
        <v>517</v>
      </c>
      <c r="V30" t="s">
        <v>518</v>
      </c>
      <c r="W30" t="s">
        <v>519</v>
      </c>
      <c r="X30" t="s">
        <v>520</v>
      </c>
      <c r="Y30" t="s">
        <v>521</v>
      </c>
      <c r="Z30">
        <v>6.1</v>
      </c>
      <c r="AA30">
        <v>86134</v>
      </c>
      <c r="AB30" t="s">
        <v>522</v>
      </c>
      <c r="AC30">
        <v>8</v>
      </c>
      <c r="AD30">
        <v>2018</v>
      </c>
      <c r="AE30">
        <v>31</v>
      </c>
      <c r="AF30" t="s">
        <v>523</v>
      </c>
      <c r="AG30">
        <v>29</v>
      </c>
      <c r="AH30" s="2" t="s">
        <v>524</v>
      </c>
      <c r="AI30" s="3">
        <v>0.57763023727443996</v>
      </c>
      <c r="AJ30" t="s">
        <v>62</v>
      </c>
      <c r="AK30" t="s">
        <v>525</v>
      </c>
      <c r="AL30">
        <v>54</v>
      </c>
      <c r="AM30">
        <v>1</v>
      </c>
      <c r="AN30">
        <v>59</v>
      </c>
      <c r="AO30">
        <v>0.02</v>
      </c>
      <c r="AP30" t="s">
        <v>64</v>
      </c>
      <c r="AQ30" t="s">
        <v>64</v>
      </c>
    </row>
    <row r="31" spans="1:43" x14ac:dyDescent="0.2">
      <c r="A31">
        <v>489929</v>
      </c>
      <c r="B31" t="s">
        <v>526</v>
      </c>
      <c r="C31">
        <v>5.8</v>
      </c>
      <c r="D31">
        <v>780</v>
      </c>
      <c r="E31" t="s">
        <v>44</v>
      </c>
      <c r="F31" s="1">
        <v>43314</v>
      </c>
      <c r="G31">
        <v>2183025</v>
      </c>
      <c r="H31">
        <v>90</v>
      </c>
      <c r="I31">
        <v>7000000</v>
      </c>
      <c r="J31" t="s">
        <v>527</v>
      </c>
      <c r="K31" t="s">
        <v>46</v>
      </c>
      <c r="L31" t="s">
        <v>526</v>
      </c>
      <c r="M31" t="s">
        <v>528</v>
      </c>
      <c r="N31">
        <v>2.8331</v>
      </c>
      <c r="O31" t="s">
        <v>529</v>
      </c>
      <c r="P31" t="s">
        <v>530</v>
      </c>
      <c r="Q31" t="s">
        <v>531</v>
      </c>
      <c r="R31" t="s">
        <v>51</v>
      </c>
      <c r="S31" t="s">
        <v>52</v>
      </c>
      <c r="T31" t="s">
        <v>532</v>
      </c>
      <c r="U31" t="s">
        <v>533</v>
      </c>
      <c r="V31" t="s">
        <v>534</v>
      </c>
      <c r="W31" t="s">
        <v>533</v>
      </c>
      <c r="X31" t="s">
        <v>535</v>
      </c>
      <c r="Y31" t="s">
        <v>536</v>
      </c>
      <c r="Z31">
        <v>6</v>
      </c>
      <c r="AA31">
        <v>35721</v>
      </c>
      <c r="AB31" t="s">
        <v>537</v>
      </c>
      <c r="AC31">
        <v>8</v>
      </c>
      <c r="AD31">
        <v>2018</v>
      </c>
      <c r="AE31">
        <v>31</v>
      </c>
      <c r="AF31" t="s">
        <v>538</v>
      </c>
      <c r="AG31">
        <v>29</v>
      </c>
      <c r="AH31" s="2" t="s">
        <v>539</v>
      </c>
      <c r="AI31" s="3">
        <v>0.486540751522548</v>
      </c>
      <c r="AJ31" t="s">
        <v>62</v>
      </c>
      <c r="AK31" t="s">
        <v>540</v>
      </c>
      <c r="AL31">
        <v>27</v>
      </c>
      <c r="AM31">
        <v>5</v>
      </c>
      <c r="AN31">
        <v>40</v>
      </c>
      <c r="AO31">
        <v>0.12</v>
      </c>
      <c r="AP31" t="s">
        <v>64</v>
      </c>
      <c r="AQ31" t="s">
        <v>64</v>
      </c>
    </row>
    <row r="32" spans="1:43" x14ac:dyDescent="0.2">
      <c r="A32">
        <v>505262</v>
      </c>
      <c r="B32" t="s">
        <v>541</v>
      </c>
      <c r="C32">
        <v>7.9</v>
      </c>
      <c r="D32">
        <v>1060</v>
      </c>
      <c r="E32" t="s">
        <v>44</v>
      </c>
      <c r="F32" s="1">
        <v>43315</v>
      </c>
      <c r="G32">
        <v>27507549</v>
      </c>
      <c r="H32">
        <v>96</v>
      </c>
      <c r="I32">
        <v>12000000</v>
      </c>
      <c r="J32" t="s">
        <v>542</v>
      </c>
      <c r="K32" t="s">
        <v>543</v>
      </c>
      <c r="L32" t="s">
        <v>544</v>
      </c>
      <c r="M32" t="s">
        <v>545</v>
      </c>
      <c r="N32">
        <v>4.5475000000000003</v>
      </c>
      <c r="O32" t="s">
        <v>546</v>
      </c>
      <c r="P32" t="s">
        <v>547</v>
      </c>
      <c r="Q32" t="s">
        <v>548</v>
      </c>
      <c r="R32" t="s">
        <v>549</v>
      </c>
      <c r="S32" t="s">
        <v>550</v>
      </c>
      <c r="T32" t="s">
        <v>551</v>
      </c>
      <c r="U32" t="s">
        <v>552</v>
      </c>
      <c r="V32" t="s">
        <v>553</v>
      </c>
      <c r="W32" t="s">
        <v>554</v>
      </c>
      <c r="X32" t="s">
        <v>555</v>
      </c>
      <c r="Y32" t="s">
        <v>556</v>
      </c>
      <c r="Z32">
        <v>7.3</v>
      </c>
      <c r="AA32">
        <v>14556</v>
      </c>
      <c r="AB32" t="s">
        <v>557</v>
      </c>
      <c r="AC32">
        <v>8</v>
      </c>
      <c r="AD32">
        <v>2018</v>
      </c>
      <c r="AE32">
        <v>31</v>
      </c>
      <c r="AF32" t="s">
        <v>558</v>
      </c>
      <c r="AG32">
        <v>30</v>
      </c>
      <c r="AH32" s="2" t="s">
        <v>559</v>
      </c>
      <c r="AI32" s="3">
        <v>0.55257971194873001</v>
      </c>
      <c r="AJ32" t="s">
        <v>62</v>
      </c>
      <c r="AK32" t="s">
        <v>560</v>
      </c>
      <c r="AL32">
        <v>31</v>
      </c>
      <c r="AM32">
        <v>1</v>
      </c>
      <c r="AN32">
        <v>53</v>
      </c>
      <c r="AO32">
        <v>0.02</v>
      </c>
      <c r="AP32" t="s">
        <v>64</v>
      </c>
      <c r="AQ32" t="s">
        <v>64</v>
      </c>
    </row>
    <row r="33" spans="1:43" x14ac:dyDescent="0.2">
      <c r="A33">
        <v>532868</v>
      </c>
      <c r="B33" t="s">
        <v>561</v>
      </c>
      <c r="C33">
        <v>4.2</v>
      </c>
      <c r="D33">
        <v>50</v>
      </c>
      <c r="E33" t="s">
        <v>44</v>
      </c>
      <c r="F33" s="1">
        <v>43315</v>
      </c>
      <c r="G33">
        <v>5885881</v>
      </c>
      <c r="H33">
        <v>108</v>
      </c>
      <c r="I33">
        <v>6000000</v>
      </c>
      <c r="J33" t="s">
        <v>562</v>
      </c>
      <c r="K33" t="s">
        <v>46</v>
      </c>
      <c r="L33" t="s">
        <v>561</v>
      </c>
      <c r="M33" t="s">
        <v>563</v>
      </c>
      <c r="N33">
        <v>3.7749999999999999</v>
      </c>
      <c r="O33" t="s">
        <v>564</v>
      </c>
      <c r="P33" t="s">
        <v>565</v>
      </c>
      <c r="Q33" t="s">
        <v>566</v>
      </c>
      <c r="R33" t="s">
        <v>51</v>
      </c>
      <c r="S33" t="s">
        <v>52</v>
      </c>
      <c r="T33" t="s">
        <v>567</v>
      </c>
      <c r="U33" t="s">
        <v>568</v>
      </c>
      <c r="W33" t="s">
        <v>569</v>
      </c>
      <c r="X33" t="s">
        <v>570</v>
      </c>
      <c r="Y33" t="s">
        <v>571</v>
      </c>
      <c r="Z33">
        <v>4.0999999999999996</v>
      </c>
      <c r="AA33">
        <v>7517</v>
      </c>
      <c r="AB33" t="s">
        <v>572</v>
      </c>
      <c r="AC33">
        <v>8</v>
      </c>
      <c r="AD33">
        <v>2018</v>
      </c>
      <c r="AE33">
        <v>31</v>
      </c>
      <c r="AF33" t="s">
        <v>573</v>
      </c>
      <c r="AG33">
        <v>30</v>
      </c>
      <c r="AH33" s="2" t="s">
        <v>574</v>
      </c>
      <c r="AI33" s="3">
        <v>0.50284087612916395</v>
      </c>
      <c r="AJ33" t="s">
        <v>62</v>
      </c>
      <c r="AK33" t="s">
        <v>575</v>
      </c>
      <c r="AL33">
        <v>1</v>
      </c>
      <c r="AM33">
        <v>0</v>
      </c>
      <c r="AN33">
        <v>1</v>
      </c>
      <c r="AO33">
        <v>0</v>
      </c>
      <c r="AP33" t="s">
        <v>64</v>
      </c>
      <c r="AQ33" t="s">
        <v>64</v>
      </c>
    </row>
    <row r="34" spans="1:43" x14ac:dyDescent="0.2">
      <c r="A34">
        <v>533237</v>
      </c>
      <c r="B34" t="s">
        <v>576</v>
      </c>
      <c r="C34">
        <v>7</v>
      </c>
      <c r="D34">
        <v>99</v>
      </c>
      <c r="E34" t="s">
        <v>44</v>
      </c>
      <c r="F34" s="1">
        <v>43315</v>
      </c>
      <c r="G34">
        <v>3489863</v>
      </c>
      <c r="H34">
        <v>125</v>
      </c>
      <c r="I34">
        <v>3038109</v>
      </c>
      <c r="J34" t="s">
        <v>577</v>
      </c>
      <c r="K34" t="s">
        <v>310</v>
      </c>
      <c r="L34" t="s">
        <v>578</v>
      </c>
      <c r="M34" t="s">
        <v>579</v>
      </c>
      <c r="N34">
        <v>2.1947999999999999</v>
      </c>
      <c r="O34" t="s">
        <v>580</v>
      </c>
      <c r="P34" t="s">
        <v>581</v>
      </c>
      <c r="Q34" t="s">
        <v>582</v>
      </c>
      <c r="R34" t="s">
        <v>583</v>
      </c>
      <c r="S34" t="s">
        <v>584</v>
      </c>
      <c r="T34" t="s">
        <v>585</v>
      </c>
      <c r="U34" t="s">
        <v>586</v>
      </c>
      <c r="V34" t="s">
        <v>587</v>
      </c>
      <c r="W34" t="s">
        <v>588</v>
      </c>
      <c r="X34" t="s">
        <v>589</v>
      </c>
      <c r="Y34" t="s">
        <v>590</v>
      </c>
      <c r="Z34">
        <v>7.6</v>
      </c>
      <c r="AA34">
        <v>19900</v>
      </c>
      <c r="AB34" t="s">
        <v>591</v>
      </c>
      <c r="AC34">
        <v>8</v>
      </c>
      <c r="AD34">
        <v>2018</v>
      </c>
      <c r="AE34">
        <v>31</v>
      </c>
      <c r="AF34" t="s">
        <v>592</v>
      </c>
      <c r="AG34">
        <v>30</v>
      </c>
      <c r="AH34" s="2" t="s">
        <v>593</v>
      </c>
      <c r="AI34" s="3">
        <v>0.48597978467541703</v>
      </c>
      <c r="AJ34" t="s">
        <v>62</v>
      </c>
      <c r="AK34" t="s">
        <v>594</v>
      </c>
      <c r="AL34">
        <v>8</v>
      </c>
      <c r="AM34">
        <v>0</v>
      </c>
      <c r="AN34">
        <v>9</v>
      </c>
      <c r="AO34">
        <v>0</v>
      </c>
      <c r="AP34" t="s">
        <v>64</v>
      </c>
      <c r="AQ34" t="s">
        <v>64</v>
      </c>
    </row>
    <row r="35" spans="1:43" x14ac:dyDescent="0.2">
      <c r="A35">
        <v>396461</v>
      </c>
      <c r="B35" t="s">
        <v>595</v>
      </c>
      <c r="C35">
        <v>6.4</v>
      </c>
      <c r="D35">
        <v>1510</v>
      </c>
      <c r="E35" t="s">
        <v>44</v>
      </c>
      <c r="F35" s="1">
        <v>43320</v>
      </c>
      <c r="G35">
        <v>2053469</v>
      </c>
      <c r="H35">
        <v>139</v>
      </c>
      <c r="I35">
        <v>8500000</v>
      </c>
      <c r="J35" t="s">
        <v>596</v>
      </c>
      <c r="K35" t="s">
        <v>46</v>
      </c>
      <c r="L35" t="s">
        <v>595</v>
      </c>
      <c r="M35" t="s">
        <v>597</v>
      </c>
      <c r="N35">
        <v>2.5394000000000001</v>
      </c>
      <c r="O35" t="s">
        <v>598</v>
      </c>
      <c r="P35" t="s">
        <v>599</v>
      </c>
      <c r="Q35" t="s">
        <v>600</v>
      </c>
      <c r="R35" t="s">
        <v>51</v>
      </c>
      <c r="S35" t="s">
        <v>52</v>
      </c>
      <c r="T35" t="s">
        <v>601</v>
      </c>
      <c r="U35" t="s">
        <v>602</v>
      </c>
      <c r="V35" t="s">
        <v>603</v>
      </c>
      <c r="W35" t="s">
        <v>602</v>
      </c>
      <c r="X35" t="s">
        <v>604</v>
      </c>
      <c r="Y35" t="s">
        <v>605</v>
      </c>
      <c r="Z35">
        <v>6.5</v>
      </c>
      <c r="AA35">
        <v>57943</v>
      </c>
      <c r="AB35" t="s">
        <v>606</v>
      </c>
      <c r="AC35">
        <v>8</v>
      </c>
      <c r="AD35">
        <v>2018</v>
      </c>
      <c r="AE35">
        <v>32</v>
      </c>
      <c r="AF35" t="s">
        <v>607</v>
      </c>
      <c r="AG35">
        <v>35</v>
      </c>
      <c r="AH35" s="2" t="s">
        <v>608</v>
      </c>
      <c r="AI35" s="3">
        <v>0.40375115564078401</v>
      </c>
      <c r="AJ35" t="s">
        <v>62</v>
      </c>
      <c r="AK35" t="s">
        <v>609</v>
      </c>
      <c r="AL35">
        <v>28</v>
      </c>
      <c r="AM35">
        <v>1</v>
      </c>
      <c r="AN35">
        <v>53</v>
      </c>
      <c r="AO35">
        <v>0.02</v>
      </c>
      <c r="AP35" t="s">
        <v>64</v>
      </c>
      <c r="AQ35" t="s">
        <v>64</v>
      </c>
    </row>
    <row r="36" spans="1:43" x14ac:dyDescent="0.2">
      <c r="A36">
        <v>517991</v>
      </c>
      <c r="B36" t="s">
        <v>610</v>
      </c>
      <c r="C36">
        <v>7.3609999999999998</v>
      </c>
      <c r="D36">
        <v>202</v>
      </c>
      <c r="E36" t="s">
        <v>44</v>
      </c>
      <c r="F36" s="1">
        <v>43320</v>
      </c>
      <c r="G36">
        <v>3175</v>
      </c>
      <c r="H36">
        <v>138</v>
      </c>
      <c r="I36">
        <v>17000000</v>
      </c>
      <c r="J36" t="s">
        <v>611</v>
      </c>
      <c r="K36" t="s">
        <v>612</v>
      </c>
      <c r="L36" t="s">
        <v>613</v>
      </c>
      <c r="M36" t="s">
        <v>614</v>
      </c>
      <c r="N36">
        <v>3.1150000000000002</v>
      </c>
      <c r="O36" t="s">
        <v>615</v>
      </c>
      <c r="P36" t="s">
        <v>616</v>
      </c>
      <c r="Q36" t="s">
        <v>617</v>
      </c>
      <c r="R36" t="s">
        <v>618</v>
      </c>
      <c r="S36" t="s">
        <v>619</v>
      </c>
      <c r="T36" t="s">
        <v>620</v>
      </c>
      <c r="U36" t="s">
        <v>621</v>
      </c>
      <c r="V36" t="s">
        <v>622</v>
      </c>
      <c r="W36" t="s">
        <v>623</v>
      </c>
      <c r="X36" t="s">
        <v>624</v>
      </c>
      <c r="Y36" t="s">
        <v>625</v>
      </c>
      <c r="Z36">
        <v>7.4</v>
      </c>
      <c r="AA36">
        <v>7093</v>
      </c>
      <c r="AB36" t="s">
        <v>626</v>
      </c>
      <c r="AC36">
        <v>8</v>
      </c>
      <c r="AD36">
        <v>2018</v>
      </c>
      <c r="AE36">
        <v>32</v>
      </c>
      <c r="AF36" t="s">
        <v>627</v>
      </c>
      <c r="AG36">
        <v>35</v>
      </c>
      <c r="AH36" s="2" t="s">
        <v>628</v>
      </c>
      <c r="AI36" s="3">
        <v>0.22398271728797201</v>
      </c>
      <c r="AJ36" t="s">
        <v>62</v>
      </c>
      <c r="AK36" t="s">
        <v>629</v>
      </c>
      <c r="AL36">
        <v>13</v>
      </c>
      <c r="AM36">
        <v>0</v>
      </c>
      <c r="AN36">
        <v>22</v>
      </c>
      <c r="AO36">
        <v>0</v>
      </c>
      <c r="AP36" t="s">
        <v>64</v>
      </c>
      <c r="AQ36" t="s">
        <v>64</v>
      </c>
    </row>
    <row r="37" spans="1:43" x14ac:dyDescent="0.2">
      <c r="A37">
        <v>345940</v>
      </c>
      <c r="B37" t="s">
        <v>630</v>
      </c>
      <c r="C37">
        <v>6.2480000000000002</v>
      </c>
      <c r="D37">
        <v>7970</v>
      </c>
      <c r="E37" t="s">
        <v>44</v>
      </c>
      <c r="F37" s="1">
        <v>43321</v>
      </c>
      <c r="G37">
        <v>530517320</v>
      </c>
      <c r="H37">
        <v>113</v>
      </c>
      <c r="I37">
        <v>150000000</v>
      </c>
      <c r="J37" t="s">
        <v>631</v>
      </c>
      <c r="K37" t="s">
        <v>46</v>
      </c>
      <c r="L37" t="s">
        <v>630</v>
      </c>
      <c r="M37" t="s">
        <v>632</v>
      </c>
      <c r="N37">
        <v>10.309799999999999</v>
      </c>
      <c r="O37" t="s">
        <v>633</v>
      </c>
      <c r="P37" t="s">
        <v>634</v>
      </c>
      <c r="Q37" t="s">
        <v>635</v>
      </c>
      <c r="R37" t="s">
        <v>636</v>
      </c>
      <c r="S37" t="s">
        <v>637</v>
      </c>
      <c r="T37" t="s">
        <v>638</v>
      </c>
      <c r="U37" t="s">
        <v>639</v>
      </c>
      <c r="V37" t="s">
        <v>640</v>
      </c>
      <c r="W37" t="s">
        <v>641</v>
      </c>
      <c r="X37" t="s">
        <v>642</v>
      </c>
      <c r="Y37" t="s">
        <v>423</v>
      </c>
      <c r="Z37">
        <v>5.7</v>
      </c>
      <c r="AA37">
        <v>223748</v>
      </c>
      <c r="AB37" t="s">
        <v>643</v>
      </c>
      <c r="AC37">
        <v>8</v>
      </c>
      <c r="AD37">
        <v>2018</v>
      </c>
      <c r="AE37">
        <v>32</v>
      </c>
      <c r="AF37" t="s">
        <v>644</v>
      </c>
      <c r="AG37">
        <v>36</v>
      </c>
      <c r="AH37" s="2" t="s">
        <v>645</v>
      </c>
      <c r="AI37" s="3">
        <v>0.54295576123824796</v>
      </c>
      <c r="AJ37" t="s">
        <v>62</v>
      </c>
      <c r="AK37" t="s">
        <v>646</v>
      </c>
      <c r="AL37">
        <v>62</v>
      </c>
      <c r="AM37">
        <v>2</v>
      </c>
      <c r="AN37">
        <v>68</v>
      </c>
      <c r="AO37">
        <v>0.03</v>
      </c>
      <c r="AP37" t="s">
        <v>64</v>
      </c>
      <c r="AQ37" t="s">
        <v>64</v>
      </c>
    </row>
    <row r="38" spans="1:43" x14ac:dyDescent="0.2">
      <c r="A38">
        <v>487558</v>
      </c>
      <c r="B38" t="s">
        <v>647</v>
      </c>
      <c r="C38">
        <v>7.5</v>
      </c>
      <c r="D38">
        <v>7849</v>
      </c>
      <c r="E38" t="s">
        <v>44</v>
      </c>
      <c r="F38" s="1">
        <v>43321</v>
      </c>
      <c r="G38">
        <v>93411426</v>
      </c>
      <c r="H38">
        <v>136</v>
      </c>
      <c r="I38">
        <v>15000000</v>
      </c>
      <c r="J38" t="s">
        <v>648</v>
      </c>
      <c r="K38" t="s">
        <v>46</v>
      </c>
      <c r="L38" t="s">
        <v>647</v>
      </c>
      <c r="M38" t="s">
        <v>649</v>
      </c>
      <c r="N38">
        <v>3.8178000000000001</v>
      </c>
      <c r="O38" t="s">
        <v>650</v>
      </c>
      <c r="P38" t="s">
        <v>651</v>
      </c>
      <c r="Q38" t="s">
        <v>652</v>
      </c>
      <c r="R38" t="s">
        <v>51</v>
      </c>
      <c r="S38" t="s">
        <v>52</v>
      </c>
      <c r="T38" t="s">
        <v>653</v>
      </c>
      <c r="U38" t="s">
        <v>654</v>
      </c>
      <c r="V38" t="s">
        <v>655</v>
      </c>
      <c r="W38" t="s">
        <v>656</v>
      </c>
      <c r="X38" t="s">
        <v>657</v>
      </c>
      <c r="Y38" t="s">
        <v>658</v>
      </c>
      <c r="Z38">
        <v>7.5</v>
      </c>
      <c r="AA38">
        <v>308051</v>
      </c>
      <c r="AB38" t="s">
        <v>659</v>
      </c>
      <c r="AC38">
        <v>8</v>
      </c>
      <c r="AD38">
        <v>2018</v>
      </c>
      <c r="AE38">
        <v>32</v>
      </c>
      <c r="AF38" t="s">
        <v>660</v>
      </c>
      <c r="AG38">
        <v>36</v>
      </c>
      <c r="AH38" s="2" t="s">
        <v>661</v>
      </c>
      <c r="AI38" s="3">
        <v>0.49601416866133202</v>
      </c>
      <c r="AJ38" t="s">
        <v>62</v>
      </c>
      <c r="AK38" t="s">
        <v>662</v>
      </c>
      <c r="AL38">
        <v>38</v>
      </c>
      <c r="AM38">
        <v>1</v>
      </c>
      <c r="AN38">
        <v>69</v>
      </c>
      <c r="AO38">
        <v>0.01</v>
      </c>
      <c r="AP38" t="s">
        <v>64</v>
      </c>
      <c r="AQ38" t="s">
        <v>64</v>
      </c>
    </row>
    <row r="39" spans="1:43" x14ac:dyDescent="0.2">
      <c r="A39">
        <v>507505</v>
      </c>
      <c r="B39" t="s">
        <v>663</v>
      </c>
      <c r="C39">
        <v>7.4</v>
      </c>
      <c r="D39">
        <v>563</v>
      </c>
      <c r="E39" t="s">
        <v>44</v>
      </c>
      <c r="F39" s="1">
        <v>43321</v>
      </c>
      <c r="G39">
        <v>10452324</v>
      </c>
      <c r="H39">
        <v>115</v>
      </c>
      <c r="I39">
        <v>3000000</v>
      </c>
      <c r="J39" t="s">
        <v>664</v>
      </c>
      <c r="K39" t="s">
        <v>665</v>
      </c>
      <c r="L39" t="s">
        <v>666</v>
      </c>
      <c r="M39" t="s">
        <v>667</v>
      </c>
      <c r="N39">
        <v>2.3264</v>
      </c>
      <c r="O39" t="s">
        <v>668</v>
      </c>
      <c r="P39" t="s">
        <v>669</v>
      </c>
      <c r="Q39" t="s">
        <v>670</v>
      </c>
      <c r="R39" t="s">
        <v>671</v>
      </c>
      <c r="S39" t="s">
        <v>672</v>
      </c>
      <c r="T39" t="s">
        <v>673</v>
      </c>
      <c r="U39" t="s">
        <v>674</v>
      </c>
      <c r="V39" t="s">
        <v>675</v>
      </c>
      <c r="W39" t="s">
        <v>676</v>
      </c>
      <c r="X39" t="s">
        <v>677</v>
      </c>
      <c r="Y39" t="s">
        <v>678</v>
      </c>
      <c r="Z39">
        <v>6.9</v>
      </c>
      <c r="AA39">
        <v>12202</v>
      </c>
      <c r="AB39" t="s">
        <v>679</v>
      </c>
      <c r="AC39">
        <v>8</v>
      </c>
      <c r="AD39">
        <v>2018</v>
      </c>
      <c r="AE39">
        <v>32</v>
      </c>
      <c r="AF39" t="s">
        <v>680</v>
      </c>
      <c r="AG39">
        <v>36</v>
      </c>
      <c r="AH39" s="2" t="s">
        <v>681</v>
      </c>
      <c r="AI39" s="3">
        <v>0.436819864855853</v>
      </c>
      <c r="AJ39" t="s">
        <v>62</v>
      </c>
      <c r="AK39" t="s">
        <v>682</v>
      </c>
      <c r="AL39">
        <v>21</v>
      </c>
      <c r="AM39">
        <v>2</v>
      </c>
      <c r="AN39">
        <v>49</v>
      </c>
      <c r="AO39">
        <v>0.04</v>
      </c>
      <c r="AP39" t="s">
        <v>64</v>
      </c>
      <c r="AQ39" t="s">
        <v>64</v>
      </c>
    </row>
    <row r="40" spans="1:43" x14ac:dyDescent="0.2">
      <c r="A40">
        <v>470229</v>
      </c>
      <c r="B40" t="s">
        <v>683</v>
      </c>
      <c r="C40">
        <v>6.9</v>
      </c>
      <c r="D40">
        <v>1388</v>
      </c>
      <c r="E40" t="s">
        <v>44</v>
      </c>
      <c r="F40" s="1">
        <v>43322</v>
      </c>
      <c r="G40">
        <v>42027</v>
      </c>
      <c r="H40">
        <v>105</v>
      </c>
      <c r="I40">
        <v>1500000</v>
      </c>
      <c r="J40" t="s">
        <v>684</v>
      </c>
      <c r="K40" t="s">
        <v>46</v>
      </c>
      <c r="L40" t="s">
        <v>683</v>
      </c>
      <c r="M40" t="s">
        <v>685</v>
      </c>
      <c r="N40">
        <v>4.1214000000000004</v>
      </c>
      <c r="O40" t="s">
        <v>686</v>
      </c>
      <c r="P40" t="s">
        <v>687</v>
      </c>
      <c r="Q40" t="s">
        <v>688</v>
      </c>
      <c r="R40" t="s">
        <v>689</v>
      </c>
      <c r="S40" t="s">
        <v>52</v>
      </c>
      <c r="T40" t="s">
        <v>690</v>
      </c>
      <c r="U40" t="s">
        <v>691</v>
      </c>
      <c r="V40" t="s">
        <v>692</v>
      </c>
      <c r="W40" t="s">
        <v>693</v>
      </c>
      <c r="X40" t="s">
        <v>694</v>
      </c>
      <c r="Y40" t="s">
        <v>692</v>
      </c>
      <c r="Z40">
        <v>6.7</v>
      </c>
      <c r="AA40">
        <v>50517</v>
      </c>
      <c r="AB40" t="s">
        <v>695</v>
      </c>
      <c r="AC40">
        <v>8</v>
      </c>
      <c r="AD40">
        <v>2018</v>
      </c>
      <c r="AE40">
        <v>32</v>
      </c>
      <c r="AF40" t="s">
        <v>696</v>
      </c>
      <c r="AG40">
        <v>37</v>
      </c>
      <c r="AH40" s="2" t="s">
        <v>697</v>
      </c>
      <c r="AI40" s="3">
        <v>0.28016029846864898</v>
      </c>
      <c r="AJ40" t="s">
        <v>62</v>
      </c>
      <c r="AK40" t="s">
        <v>698</v>
      </c>
      <c r="AL40">
        <v>8</v>
      </c>
      <c r="AM40">
        <v>1</v>
      </c>
      <c r="AN40">
        <v>38</v>
      </c>
      <c r="AO40">
        <v>0.03</v>
      </c>
      <c r="AP40" t="s">
        <v>64</v>
      </c>
      <c r="AQ40" t="s">
        <v>64</v>
      </c>
    </row>
    <row r="41" spans="1:43" x14ac:dyDescent="0.2">
      <c r="A41">
        <v>523931</v>
      </c>
      <c r="B41" t="s">
        <v>699</v>
      </c>
      <c r="C41">
        <v>5.4</v>
      </c>
      <c r="D41">
        <v>290</v>
      </c>
      <c r="E41" t="s">
        <v>44</v>
      </c>
      <c r="F41" s="1">
        <v>43322</v>
      </c>
      <c r="G41">
        <v>5303</v>
      </c>
      <c r="H41">
        <v>90</v>
      </c>
      <c r="I41">
        <v>130178</v>
      </c>
      <c r="J41" t="s">
        <v>700</v>
      </c>
      <c r="K41" t="s">
        <v>46</v>
      </c>
      <c r="L41" t="s">
        <v>699</v>
      </c>
      <c r="M41" t="s">
        <v>701</v>
      </c>
      <c r="N41">
        <v>3.3795999999999999</v>
      </c>
      <c r="O41" t="s">
        <v>702</v>
      </c>
      <c r="P41" t="s">
        <v>703</v>
      </c>
      <c r="Q41" t="s">
        <v>704</v>
      </c>
      <c r="R41" t="s">
        <v>51</v>
      </c>
      <c r="S41" t="s">
        <v>104</v>
      </c>
      <c r="T41" t="s">
        <v>705</v>
      </c>
      <c r="U41" t="s">
        <v>706</v>
      </c>
      <c r="V41" t="s">
        <v>707</v>
      </c>
      <c r="W41" t="s">
        <v>708</v>
      </c>
      <c r="X41" t="s">
        <v>709</v>
      </c>
      <c r="Y41" t="s">
        <v>710</v>
      </c>
      <c r="Z41">
        <v>2.8</v>
      </c>
      <c r="AA41">
        <v>2807</v>
      </c>
      <c r="AB41" t="s">
        <v>711</v>
      </c>
      <c r="AC41">
        <v>8</v>
      </c>
      <c r="AD41">
        <v>2018</v>
      </c>
      <c r="AE41">
        <v>32</v>
      </c>
      <c r="AF41" t="s">
        <v>712</v>
      </c>
      <c r="AG41">
        <v>37</v>
      </c>
      <c r="AH41" s="2" t="s">
        <v>713</v>
      </c>
      <c r="AI41" s="3">
        <v>0.22568990873330699</v>
      </c>
      <c r="AJ41" t="s">
        <v>62</v>
      </c>
      <c r="AK41" t="s">
        <v>714</v>
      </c>
      <c r="AL41">
        <v>1</v>
      </c>
      <c r="AM41">
        <v>0</v>
      </c>
      <c r="AN41">
        <v>7</v>
      </c>
      <c r="AO41">
        <v>0</v>
      </c>
      <c r="AP41" t="s">
        <v>64</v>
      </c>
      <c r="AQ41" t="s">
        <v>64</v>
      </c>
    </row>
    <row r="42" spans="1:43" x14ac:dyDescent="0.2">
      <c r="A42">
        <v>455207</v>
      </c>
      <c r="B42" t="s">
        <v>715</v>
      </c>
      <c r="C42">
        <v>7.0620000000000003</v>
      </c>
      <c r="D42">
        <v>3832</v>
      </c>
      <c r="E42" t="s">
        <v>44</v>
      </c>
      <c r="F42" s="1">
        <v>43327</v>
      </c>
      <c r="G42">
        <v>238539198</v>
      </c>
      <c r="H42">
        <v>121</v>
      </c>
      <c r="I42">
        <v>30000000</v>
      </c>
      <c r="J42" t="s">
        <v>716</v>
      </c>
      <c r="K42" t="s">
        <v>46</v>
      </c>
      <c r="L42" t="s">
        <v>715</v>
      </c>
      <c r="M42" t="s">
        <v>717</v>
      </c>
      <c r="N42">
        <v>5.0505000000000004</v>
      </c>
      <c r="O42" t="s">
        <v>718</v>
      </c>
      <c r="P42" t="s">
        <v>399</v>
      </c>
      <c r="Q42" t="s">
        <v>719</v>
      </c>
      <c r="R42" t="s">
        <v>720</v>
      </c>
      <c r="S42" t="s">
        <v>350</v>
      </c>
      <c r="T42" t="s">
        <v>721</v>
      </c>
      <c r="U42" t="s">
        <v>722</v>
      </c>
      <c r="V42" t="s">
        <v>723</v>
      </c>
      <c r="W42" t="s">
        <v>724</v>
      </c>
      <c r="X42" t="s">
        <v>725</v>
      </c>
      <c r="Y42" t="s">
        <v>726</v>
      </c>
      <c r="Z42">
        <v>6.9</v>
      </c>
      <c r="AA42">
        <v>204584</v>
      </c>
      <c r="AB42" t="s">
        <v>727</v>
      </c>
      <c r="AC42">
        <v>8</v>
      </c>
      <c r="AD42">
        <v>2018</v>
      </c>
      <c r="AE42">
        <v>33</v>
      </c>
      <c r="AF42" t="s">
        <v>728</v>
      </c>
      <c r="AG42">
        <v>42</v>
      </c>
      <c r="AH42" s="2" t="s">
        <v>729</v>
      </c>
      <c r="AI42" s="3">
        <v>0.44860567932980799</v>
      </c>
      <c r="AJ42" t="s">
        <v>62</v>
      </c>
      <c r="AK42" t="s">
        <v>730</v>
      </c>
      <c r="AL42">
        <v>66</v>
      </c>
      <c r="AM42">
        <v>3</v>
      </c>
      <c r="AN42">
        <v>77</v>
      </c>
      <c r="AO42">
        <v>0.04</v>
      </c>
      <c r="AP42" t="s">
        <v>64</v>
      </c>
      <c r="AQ42" t="s">
        <v>64</v>
      </c>
    </row>
    <row r="43" spans="1:43" x14ac:dyDescent="0.2">
      <c r="A43">
        <v>347375</v>
      </c>
      <c r="B43" t="s">
        <v>731</v>
      </c>
      <c r="C43">
        <v>6.2</v>
      </c>
      <c r="D43">
        <v>2315</v>
      </c>
      <c r="E43" t="s">
        <v>44</v>
      </c>
      <c r="F43" s="1">
        <v>43328</v>
      </c>
      <c r="G43">
        <v>66308758</v>
      </c>
      <c r="H43">
        <v>94</v>
      </c>
      <c r="I43">
        <v>35000000</v>
      </c>
      <c r="J43" t="s">
        <v>732</v>
      </c>
      <c r="K43" t="s">
        <v>46</v>
      </c>
      <c r="L43" t="s">
        <v>731</v>
      </c>
      <c r="M43" t="s">
        <v>733</v>
      </c>
      <c r="N43">
        <v>3.0489000000000002</v>
      </c>
      <c r="O43" t="s">
        <v>734</v>
      </c>
      <c r="P43" t="s">
        <v>735</v>
      </c>
      <c r="Q43" t="s">
        <v>736</v>
      </c>
      <c r="R43" t="s">
        <v>737</v>
      </c>
      <c r="S43" t="s">
        <v>738</v>
      </c>
      <c r="T43" t="s">
        <v>739</v>
      </c>
      <c r="U43" t="s">
        <v>740</v>
      </c>
      <c r="V43" t="s">
        <v>741</v>
      </c>
      <c r="W43" t="s">
        <v>742</v>
      </c>
      <c r="X43" t="s">
        <v>743</v>
      </c>
      <c r="Y43" t="s">
        <v>744</v>
      </c>
      <c r="Z43">
        <v>6.1</v>
      </c>
      <c r="AA43">
        <v>92335</v>
      </c>
      <c r="AB43" t="s">
        <v>745</v>
      </c>
      <c r="AC43">
        <v>8</v>
      </c>
      <c r="AD43">
        <v>2018</v>
      </c>
      <c r="AE43">
        <v>33</v>
      </c>
      <c r="AF43" t="s">
        <v>746</v>
      </c>
      <c r="AG43">
        <v>43</v>
      </c>
      <c r="AH43" s="2" t="s">
        <v>747</v>
      </c>
      <c r="AI43" s="3">
        <v>0.40931437631918099</v>
      </c>
      <c r="AJ43" t="s">
        <v>62</v>
      </c>
      <c r="AK43" t="s">
        <v>748</v>
      </c>
      <c r="AL43">
        <v>49</v>
      </c>
      <c r="AM43">
        <v>0</v>
      </c>
      <c r="AN43">
        <v>53</v>
      </c>
      <c r="AO43">
        <v>0</v>
      </c>
      <c r="AP43" t="s">
        <v>64</v>
      </c>
      <c r="AQ43" t="s">
        <v>64</v>
      </c>
    </row>
    <row r="44" spans="1:43" x14ac:dyDescent="0.2">
      <c r="A44">
        <v>396321</v>
      </c>
      <c r="B44" t="s">
        <v>749</v>
      </c>
      <c r="C44">
        <v>5.6</v>
      </c>
      <c r="D44">
        <v>153</v>
      </c>
      <c r="E44" t="s">
        <v>44</v>
      </c>
      <c r="F44" s="1">
        <v>43329</v>
      </c>
      <c r="G44">
        <v>780846</v>
      </c>
      <c r="H44">
        <v>90</v>
      </c>
      <c r="I44">
        <v>2500000</v>
      </c>
      <c r="J44" t="s">
        <v>750</v>
      </c>
      <c r="K44" t="s">
        <v>46</v>
      </c>
      <c r="L44" t="s">
        <v>749</v>
      </c>
      <c r="M44" t="s">
        <v>751</v>
      </c>
      <c r="N44">
        <v>0.64100000000000001</v>
      </c>
      <c r="O44" t="s">
        <v>752</v>
      </c>
      <c r="P44" t="s">
        <v>753</v>
      </c>
      <c r="Q44" t="s">
        <v>754</v>
      </c>
      <c r="R44" t="s">
        <v>87</v>
      </c>
      <c r="S44" t="s">
        <v>434</v>
      </c>
      <c r="T44" t="s">
        <v>755</v>
      </c>
      <c r="U44" t="s">
        <v>756</v>
      </c>
      <c r="V44" t="s">
        <v>757</v>
      </c>
      <c r="W44" t="s">
        <v>758</v>
      </c>
      <c r="X44" t="s">
        <v>759</v>
      </c>
      <c r="Y44" t="s">
        <v>760</v>
      </c>
      <c r="Z44">
        <v>5.4</v>
      </c>
      <c r="AA44">
        <v>4785</v>
      </c>
      <c r="AB44" t="s">
        <v>761</v>
      </c>
      <c r="AC44">
        <v>8</v>
      </c>
      <c r="AD44">
        <v>2018</v>
      </c>
      <c r="AE44">
        <v>33</v>
      </c>
      <c r="AF44" t="s">
        <v>762</v>
      </c>
      <c r="AG44">
        <v>44</v>
      </c>
      <c r="AH44" s="2" t="s">
        <v>763</v>
      </c>
      <c r="AI44" s="3">
        <v>0.301514100154256</v>
      </c>
      <c r="AJ44" t="s">
        <v>62</v>
      </c>
      <c r="AK44" t="s">
        <v>764</v>
      </c>
      <c r="AL44">
        <v>3</v>
      </c>
      <c r="AM44">
        <v>1</v>
      </c>
      <c r="AN44">
        <v>20</v>
      </c>
      <c r="AO44">
        <v>0.05</v>
      </c>
      <c r="AP44" t="s">
        <v>64</v>
      </c>
      <c r="AQ44" t="s">
        <v>64</v>
      </c>
    </row>
    <row r="45" spans="1:43" x14ac:dyDescent="0.2">
      <c r="A45" t="s">
        <v>765</v>
      </c>
      <c r="AH45" s="2"/>
      <c r="AI45" s="2">
        <f>SUBTOTAL(104,Table1[score])</f>
        <v>5.5723107356640202</v>
      </c>
      <c r="AQ45">
        <f>SUBTOTAL(103,Table1[error])</f>
        <v>43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Ant-Man_and_the_Wasp_attributes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2026-02-17T16:28:13Z</dcterms:created>
  <dcterms:modified xsi:type="dcterms:W3CDTF">2026-02-17T17:52:24Z</dcterms:modified>
</cp:coreProperties>
</file>