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kitkat/github projects/Marvel-Analytics-by-KS/movie-release-optimization/data/processing/filter 3/xlsx/attributed/"/>
    </mc:Choice>
  </mc:AlternateContent>
  <xr:revisionPtr revIDLastSave="0" documentId="13_ncr:1_{BB6B95E8-3826-B940-98D6-03379610E48D}" xr6:coauthVersionLast="47" xr6:coauthVersionMax="47" xr10:uidLastSave="{00000000-0000-0000-0000-000000000000}"/>
  <bookViews>
    <workbookView xWindow="380" yWindow="80" windowWidth="28040" windowHeight="17180" xr2:uid="{4E0181F3-13CA-D643-A2FC-0939D89A1925}"/>
  </bookViews>
  <sheets>
    <sheet name="Guardians_of_the_Galaxy_attribu"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53" i="1" l="1"/>
  <c r="AQ53" i="1"/>
</calcChain>
</file>

<file path=xl/sharedStrings.xml><?xml version="1.0" encoding="utf-8"?>
<sst xmlns="http://schemas.openxmlformats.org/spreadsheetml/2006/main" count="1215" uniqueCount="832">
  <si>
    <t>id</t>
  </si>
  <si>
    <t>title</t>
  </si>
  <si>
    <t>vote_average</t>
  </si>
  <si>
    <t>vote_count</t>
  </si>
  <si>
    <t>status</t>
  </si>
  <si>
    <t>release_date</t>
  </si>
  <si>
    <t>revenue</t>
  </si>
  <si>
    <t>runtime</t>
  </si>
  <si>
    <t>budget</t>
  </si>
  <si>
    <t>imdb_id</t>
  </si>
  <si>
    <t>original_language</t>
  </si>
  <si>
    <t>original_title</t>
  </si>
  <si>
    <t>overview</t>
  </si>
  <si>
    <t>popularity</t>
  </si>
  <si>
    <t>tagline</t>
  </si>
  <si>
    <t>genres</t>
  </si>
  <si>
    <t>production_companies</t>
  </si>
  <si>
    <t>production_countries</t>
  </si>
  <si>
    <t>spoken_languages</t>
  </si>
  <si>
    <t>cast</t>
  </si>
  <si>
    <t>director</t>
  </si>
  <si>
    <t>director_of_photography</t>
  </si>
  <si>
    <t>writers</t>
  </si>
  <si>
    <t>producers</t>
  </si>
  <si>
    <t>music_composer</t>
  </si>
  <si>
    <t>imdb_rating</t>
  </si>
  <si>
    <t>imdb_votes</t>
  </si>
  <si>
    <t>poster_path</t>
  </si>
  <si>
    <t>release_month</t>
  </si>
  <si>
    <t>release_year</t>
  </si>
  <si>
    <t>iso_week</t>
  </si>
  <si>
    <t>title_clean</t>
  </si>
  <si>
    <t>distance</t>
  </si>
  <si>
    <t>strength</t>
  </si>
  <si>
    <t>score</t>
  </si>
  <si>
    <t>marvel_movie</t>
  </si>
  <si>
    <t>attributes</t>
  </si>
  <si>
    <t>blank</t>
  </si>
  <si>
    <t>internet</t>
  </si>
  <si>
    <t>total</t>
  </si>
  <si>
    <t>internet_ratio</t>
  </si>
  <si>
    <t>internet_dominance</t>
  </si>
  <si>
    <t>error</t>
  </si>
  <si>
    <t>Star</t>
  </si>
  <si>
    <t>Released</t>
  </si>
  <si>
    <t>tt3924450</t>
  </si>
  <si>
    <t>ru</t>
  </si>
  <si>
    <t>‚Äì√≥‚Äì‚â§‚Äì¬µ‚Äì‚àë‚Äì¬•‚Äì‚àû</t>
  </si>
  <si>
    <t>Three different persons, three different lives are connected in a mysterious way. 15 year old teenager suffering of misunderstanding, his glamorous and arrogant stepmother and the young untalented but full of optimism actress. Their destinies aren‚Äö√Ñ√¥t predetermined and their lives are very fragile.</t>
  </si>
  <si>
    <t>No Matter What They Say</t>
  </si>
  <si>
    <t>Drama, Romance, Comedy</t>
  </si>
  <si>
    <t>mars media entertainment, magnum film, algous studio, ministry of culture of the russian federation</t>
  </si>
  <si>
    <t>Russia</t>
  </si>
  <si>
    <t>P‚Äî√â‚Äî√Ö‚Äî√Ö‚Äì‚à´‚Äì‚àè‚ÄìœÄ</t>
  </si>
  <si>
    <t>Pavel Tabakov, Alexander Shein, Viktor Nemets, Diana Maximova, Artyom Kobzev, Philipp Riba, Darya Charusha, Severija Janu‚âà¬∞auskait∆í√≥, Sergey Kaplunov, Tinatin Dalakishvili, Juozas Budraitis, Kirill K‚àö¬ßro, Andrey Smolyakov, Ekaterina Nosik, Aksinya Gog, Filipp Yankovsky, Andrey Fomin, Tatyana Samoylova, Yelena Voronchikhina, Arunas Storpirstis, Ekaterina Andreeva, Alisa Starovoitova, Polina Fokina, Gosha Kutsenko, Anna Chistova, Olga Shakina, Denis Shvedov</t>
  </si>
  <si>
    <t>Anna Melikyan</t>
  </si>
  <si>
    <t>Alisher Khamidkhodzhaev</t>
  </si>
  <si>
    <t>Viktoriya Bugaeva, Andrey Migachev, Anna Melikyan</t>
  </si>
  <si>
    <t>Ruben Dishdishyan, Aram Movsesyan, Anna Melikyan, Dmitry Golubnichy</t>
  </si>
  <si>
    <t>Anna Drubich, Igor Vdovin</t>
  </si>
  <si>
    <t>/oZIRoy0hxlADRd6Pb3kG7FLwUAD.jpg</t>
  </si>
  <si>
    <t>star</t>
  </si>
  <si>
    <t>guardians of the galaxy</t>
  </si>
  <si>
    <t>kinotavr film festival (1), warsaw film festival (1), tallinn black nights film festival (1), sputnik russian film festival (3), blank (2), hong kong international film festival (1), istanbul film festival (1), munich international film festival (1), duhok international film festival (1), raindance film festival (1), russian film week (1)</t>
  </si>
  <si>
    <t>no</t>
  </si>
  <si>
    <t>Think Like a Man Too</t>
  </si>
  <si>
    <t>tt2239832</t>
  </si>
  <si>
    <t>en</t>
  </si>
  <si>
    <t>All the couples are back for a wedding in Las Vegas, but plans for a romantic weekend go awry when their various misadventures get them into some compromising situations that threaten to derail the big event.</t>
  </si>
  <si>
    <t>Vegas, love, and a whole lot of chaos.</t>
  </si>
  <si>
    <t>Comedy, Romance</t>
  </si>
  <si>
    <t>will packer productions</t>
  </si>
  <si>
    <t>United States of America</t>
  </si>
  <si>
    <t>English</t>
  </si>
  <si>
    <t>Kevin Hart, Brian Mganga, Teresa McAuliffe, Jeff Corbett, Rebecca Kernes, Raul Limon, David Hershwitzky, Mercedes Young, Ray Proscia, Brenda Vivian, Cheryl Hines, Jackie Di Crystal, Caleel Harris, Belle Angel, Morann Peri, Marie Stark, Regina Hall, Max Gideon, Carl Weathers, Gary Owen, Bonnie Mercado, Malea Rose, Luenell, Coco Austin, Rocky Self, Paige Annette, Janina Gavankar, Michael Monteiro, Gabrielle Union, Jennifer Roush, David Walton, Ndamukong Suh, Brian Ventimiglia, Taraji P. Henson, Will Packer, Chekesha Van Putten, J.T. Jackson, Itzel Aguilar, Dean Mauro, Vanessa Sheri, Corey Holcomb, Pedro Miguel Arce, Fonzworth Bentley, B.J. Parker, Michael Ealy, Rick Rockne, Dan Rossi, Toni Fox, Michael Bivins, Chelsea Dawn, Angela Meryl, Joan Riegert, Michael Bower, Julian McCleary, Chris Rodgers, Charles Goldsmith, Ana Antimo, Steven Jackson, Casey Ellsworth, Jordan Bondurant, Angela Elayne Gibbs, Floyd Mayweather Jr., Chaun Williams, Mark Justice, Denny Ogden, Scott Ford, Shawn Wilson, Kevin Deon, John Brooks Jr., Eleazar Barzart, Joshua Paule, Brian Blu, Jenna Ung, Karen E. Wright, Ann Lippert, Alex Soria, George D. Miklos, Jason Sarcinelli, Courtney Enea, Dona Wood, Dennis Haysbert, Melissa Dacher, Wendy Williams, La La Anthony, Meagan Good, Romany Malco, Kristel Nichols, Jim Piddock, Nicole Hamilton-Bolin, Adam Brody, Terrell Carter, Tish Hoyer, Jessica Pizarro, Jacob Godzak, Steve Terada, Maureen E. Durocher, George Wallace, Paul X. Campanella, Kelsey Grammer, Wendi McLendon-Covey, Nicholas Guilak, Chris Gann, Jenifer Lewis, Liz Clark, Drake, Chasty Ballesteros, Kastika Xhurka, Zee James, Shad Gaspard, Milli Moto, Shelia Joy Burford, Jerry Ferrara, Gladis Giada, Chrissie Coon-Sanders, Carly Richardson, Jason Suhrke, Trina Colon, Ernestine Johnson, Terrence J, Del Zamora, Ashley Kacvinsky, Joseph Bell, Roni Meron, Romina Carabelli, Leonardo Biasiucci, Timothy Skyler Dunigan, Ronnie DeVoe, Jeff Fuell</t>
  </si>
  <si>
    <t>Tim Story</t>
  </si>
  <si>
    <t>Christopher Duskin</t>
  </si>
  <si>
    <t>David A. Newman, Steve Harvey, Keith Merryman</t>
  </si>
  <si>
    <t>David A. Newman, Glenn S. Gainor, Rushion McDonald, Will Packer, Steve Harvey, Keith Merryman, Ben Waisbren, Rob Hardy</t>
  </si>
  <si>
    <t>Christopher Lennertz</t>
  </si>
  <si>
    <t>/bsKfhf0y9Zx7h4j5GHu1JANpKwl.jpg</t>
  </si>
  <si>
    <t>think like a man too</t>
  </si>
  <si>
    <t>blank (10), dvd premiere (4), internet (2), dvd and blu-ray premiere (1), tv premiere (1), tv release (1)</t>
  </si>
  <si>
    <t>Third Person</t>
  </si>
  <si>
    <t>tt2343793</t>
  </si>
  <si>
    <t>An acclaimed novelist struggles to write an analysis of love in one of three stories, each set in a different city, that detail the beginning, middle and end of a relationship.</t>
  </si>
  <si>
    <t>Life can change at the turn of a page.</t>
  </si>
  <si>
    <t>Drama, Romance</t>
  </si>
  <si>
    <t>corsan, hwy61, volten, lailaps pictures, filmfinance xii, apulia film commission</t>
  </si>
  <si>
    <t>Belgium, Germany, United Kingdom, United States of America</t>
  </si>
  <si>
    <t>Italiano, English</t>
  </si>
  <si>
    <t>David Harewood, Loan Chabanol, Vincent Riotta, Moran Atias, Gianni Franco, Caroline Goodall, Maria Bello, Adrien Brody, Emanuela Postacchini, Mila Kunis, Fabrizio Biggio, Daniela Virgilio, Vinicio Marchioni, Ilaria Genatiempo, Marius Biz∆í√âu, Liam Neeson, Katy Louise Saunders, Olivia Wilde, Michele Melega, Kim Basinger, Riccardo Scamarcio, James Franco, Bob Messini, Michael Margotta</t>
  </si>
  <si>
    <t>Paul Haggis</t>
  </si>
  <si>
    <t>Gian Filippo Corticelli</t>
  </si>
  <si>
    <t>Paul Haggis, Moran Atias, Michael Nozik, Paul Breuls</t>
  </si>
  <si>
    <t>Dario Marianelli</t>
  </si>
  <si>
    <t>/8HfxGEbQnPvIzaYAHMvu947r8sQ.jpg</t>
  </si>
  <si>
    <t>third person</t>
  </si>
  <si>
    <t>toronto international film festival (1), beijing international film festival (1), tribeca film festival (1), blank (28), limited (2), film festival oostende (1), dvd premiere (6), internet (1)</t>
  </si>
  <si>
    <t>The Damned</t>
  </si>
  <si>
    <t>tt2387408</t>
  </si>
  <si>
    <t>After suffering the recent loss of his wife, David Reynolds decides to take his family on a cathartic trip to her home village in Columbia. While en route, they get into a car accident and seek refuge in a secluded inn. While there they find a mysterious young girl, Ana Maria, locked up with cryptic symbols painted on the walls of her cell. Shocked by the treatment of her caretaker, the family sets Ana free only to realize that she is possessed by an evil spirit from centuries past. What‚Äö√Ñ√¥s worse, the spirit can jump from person to person, creating a deadly dynamic amongst the once loving family. Now, David must figure out a way to lock the spirit up for good before it destroys him and his family.</t>
  </si>
  <si>
    <t>Heaven help us.</t>
  </si>
  <si>
    <t>Thriller, Horror, Mystery</t>
  </si>
  <si>
    <t>launchpad productions, bowery hills entertainment, rcn films &amp; e-nnovva</t>
  </si>
  <si>
    <t>Gustavo Angarita, Peter Facinelli, Carolina Guerra, Sebastian Martinez, Sophia Myles, Juan Pablo Gamboa, Tatiana Renter‚àö‚â†a, Nathalia Ramos, Julieta Salazar</t>
  </si>
  <si>
    <t>V‚àö‚â†ctor Garc‚àö‚â†a</t>
  </si>
  <si>
    <t>Alejandro Moreno</t>
  </si>
  <si>
    <t>David Higgins, Richard D'Ovidio</t>
  </si>
  <si>
    <t>David Higgins, Peter Block, Andrea Chung</t>
  </si>
  <si>
    <t>Frederik Wiedmann</t>
  </si>
  <si>
    <t>/jtTlnB7jOfEBiK5eVSLUMWR6aKg.jpg</t>
  </si>
  <si>
    <t>the damned</t>
  </si>
  <si>
    <t>sitges film festival (1), blank (18), dvd and blu-ray premiere (1), dvd premiere (1)</t>
  </si>
  <si>
    <t>Transformers: Age of Extinction</t>
  </si>
  <si>
    <t>tt2109248</t>
  </si>
  <si>
    <t>As humanity picks up the pieces after the battle of Chicago, a shadowy group reveals itself in an attempt to control the direction of history‚Äö√Ñ¬∂while an ancient, powerful new menace sets Earth in its crosshairs. With help from Cade Yeager, Optimus Prime and the Autobots rise to meet their most fearsome challenge yet.</t>
  </si>
  <si>
    <t>This is not war, it's extinction.</t>
  </si>
  <si>
    <t>Science Fiction, Action, Adventure</t>
  </si>
  <si>
    <t>di bonaventura pictures, desanto/murphy productions, ian bryce productions, paramount pictures, hasbro</t>
  </si>
  <si>
    <t>√ä√¥√Ü√à√Ñ√∂√ã√ò√π, English</t>
  </si>
  <si>
    <t>Charles Parnell, Thomas Lennon, Richard Riehle, Alexander Leeb, Andreas Beckett, Kevin Kent, Zhang Tianyu, James Bachman, Ray Lui, Ken Watanabe, Eddie San Chan, Abigail Klein, Michael Wong, Jessica Gomes, Calvin Wimmer, Patrick Bristow, T.J. Miller, Li Bingbing, Austin Lin, Cleo King, Kassem Gharaibeh, William Wang, Greg Matthew Anderson, Victoria Summer, B. Adam Baillio, Jack Reynor, Li Jun Ting, Candice Zhao, Winston Yeh Ying-Wen, Titus Welliver, Andrew Arrabito, Teresa Daley, Wu Gang, Robert Foxworth, Ben Wang, Howard Y. Woo, Michael Bay, Gene Shieh, Stanley Tucci, Sophia Myles, John Goodman, John DiMaggio, Han Geng, Michael Christopher Collins, Richard Gallion, Glenn Keogh, Drew Wicks, Woei Bee, Jingsheng Yu, Jamison Haase, Tyrone Smith, Melanie Specht, Reno Wilson, Frank Welker, Zou Shiming, Yanis Kalnins, Erika Fong, Mark Wahlberg, Nicola Peltz Beckham, Mikal Vega, Peter Cullen, Nick Horst, Peter A Kelly, David Midthunder, Wang Ying, Edward T. Welburn, Kevin Covais, Mark Ryan, Kenny Sheard, Kelsey Grammer</t>
  </si>
  <si>
    <t>Michael Bay</t>
  </si>
  <si>
    <t>Amir Mokri</t>
  </si>
  <si>
    <t>Ehren Kruger</t>
  </si>
  <si>
    <t>Don Murphy, Michael Bay, Lorenzo di Bonaventura, Tom DeSanto, Brian Goldner, Steven Spielberg, Ian Bryce, Mark Vahradian</t>
  </si>
  <si>
    <t>Steve Jablonsky</t>
  </si>
  <si>
    <t>/jyzrfx2WaeY60kYZpPYepSjGz4S.jpg</t>
  </si>
  <si>
    <t>transformers: age of extinction</t>
  </si>
  <si>
    <t>tsim sha tsui (1), premiere (3), shanghai international film festival (1), blank (68), new york city, new york (1), dhaka (1), german speaking region (1), dvd premiere (1)</t>
  </si>
  <si>
    <t>Begin Again</t>
  </si>
  <si>
    <t>tt1980929</t>
  </si>
  <si>
    <t>Gretta, a budding songwriter, finds herself alone after her boyfriend Dave ditches her. Her life gains purpose when Dan, a record label executive, notices her talent.</t>
  </si>
  <si>
    <t>You're only as strong as your next move.</t>
  </si>
  <si>
    <t>Comedy, Music, Romance, Drama</t>
  </si>
  <si>
    <t>likely story, exclusive media, sycamore pictures, apatow productions, black label media</t>
  </si>
  <si>
    <t>Keira Knightley, Andrew Sellon, Cee Lo Green, Rich Mercurio, David Pendleton, Jen Jacob, Shannon Walsh, Melissa Maria Gonzalez, Stacey Maltin, Harvey Morris, Nicholas Daniel Gonzalez, Joanna Mauer, Alexis Sykes, Ed Renninger, Danielle Brisebois, Jimmy Palumbo, Sharman Macdonald, Catherine Keener, Mary Catherine Garrison, James Corden, David Abeles, Emily Yarbourgh, Ian Brodsky, Ann McGowan, Erin Benin, Erik Detusch, Emilie Cardinaux, Aya Cash, Curtis Fowlkes, Colin Love, Jennifer Li Jackson, Kena Onyenjekwe, Sama Fernands, Marco Assante, Mark Ruffalo, Hailee Steinfeld, Karen Pittman, Eric Burton, Maddie Corman, Rob Morrow, Ron Voz, Terry Lewis, Simon Delaney, Keen Ruffalo, Madison Love, Paul Romero, Yasiin Bey, Julia Bruskin, Adam Levine</t>
  </si>
  <si>
    <t>John Carney</t>
  </si>
  <si>
    <t>Yaron Orbach</t>
  </si>
  <si>
    <t>Molly Smith, Anthony Bregman, Marc Schipper, Nigel Sinclair, Sam Hoffman, Tobin Armbrust, Judd Apatow, Ben Nearn, Guy East, Tom Rice</t>
  </si>
  <si>
    <t>Gregg Alexander</t>
  </si>
  <si>
    <t>/qx4HXHXt528hS4rwePZbZo20xqZ.jpg</t>
  </si>
  <si>
    <t>begin again</t>
  </si>
  <si>
    <t>toronto international film festival (1), premiere (1), tribeca film festival (1), san francisco international film festival (1), seattle international film festival (1), sydney film festival (1), shanghai international film festival (1), provincetown international film festival (1), peace &amp; love film festival (1), limited (1), nantucket film festival (1), blank (52), tartu love film festival tartuff (1), stardust theater in haramura (1), dvd premiere (2), shibuyagawa film festival (1), kawasaki shinyuri film festival (1), pyeongchang international peace film festival (1), tokyo international film festival (1), re-release (2)</t>
  </si>
  <si>
    <t>Deliver Us from Evil</t>
  </si>
  <si>
    <t>tt2377322</t>
  </si>
  <si>
    <t>When a frightening wave of violence sweeps through New York City, troubled cop Sarchie fails to find a rational explanation for the bizarre crimes. However, his eyes are opened to a frightening alternate reality when renegade Jesuit priest Mendoza convinces him that demonic possession may be to blame for the gruesome murders. Together, they wage a valiant supernatural struggle to rid the city of an otherworldly evil.</t>
  </si>
  <si>
    <t>You haven't seen true evil.</t>
  </si>
  <si>
    <t>Thriller, Crime, Horror</t>
  </si>
  <si>
    <t>lstar capital, screen gems, jerry bruckheimer films</t>
  </si>
  <si>
    <t>Dennis Jay Funny, Ben Horner, Eric Bana, Sebastian La Cause, Olivia Horton, Victor Pagan, Robert Peoples, Mari-Ange Ramirez, Scott Johnsen, Mike Houston, Adam Kobylarz, Dorian Missick, Antoinette LaVecchia, Robert Keiley, Valentina Rend‚àö‚â•n, Mikhael DeVille, Steve Hamm, Carol Stanzione, Joseph Basile, Joel McHale, John Auer, Sean Bennett, Lulu Wilson, Blair Sams, Joseph Anthony Jerez, Daniel Sauli, Kevin Nagle, John Cenatiempo, Aidan Gemme, Lauro David Chartrand-DelValle, Jenna Gavigan, Sean Harris, Olivia Munn, Chris Coy, Amra Mallassi, Jos‚àö¬© B‚àö¬∞ez, Lolita Foster, Edgar Ram‚àö‚â†rez, John Cariani, Tijuana Ricks, Umar Khan, Sean Nelson, Ben Livingston, Ivan Cardona, Mark David Watson</t>
  </si>
  <si>
    <t>Scott Derrickson</t>
  </si>
  <si>
    <t>Scott Kevan</t>
  </si>
  <si>
    <t>Paul Harris Boardman, Scott Derrickson</t>
  </si>
  <si>
    <t>Paul Harris Boardman, Jerry Bruckheimer, Chad Oman, Glenn S. Gainor, Mike Stenson, Ben Waisbren</t>
  </si>
  <si>
    <t>Christopher Young</t>
  </si>
  <si>
    <t>/Uz32ERsyCmGwV8Eg2wmT2ooWpo.jpg</t>
  </si>
  <si>
    <t>deliver us from evil</t>
  </si>
  <si>
    <t>new york city, new york (1), premiere (1), blank (65), dvd premiere (1)</t>
  </si>
  <si>
    <t>Tammy</t>
  </si>
  <si>
    <t>tt2103254</t>
  </si>
  <si>
    <t>For Tammy, a burger-joint employee, a bad day keeps getting worse. She wrecks her car, loses her job, and finds that her husband has been unfaithful. It's time for Tammy to hit the road, but without money or transportation, her options are limited. Her only choice is a road trip with her hard-drinking grandmother, Pearl, who has a car, cash, and an itch to see Niagara Falls. It's not the escape Tammy had in mind, but it may be what she needs.</t>
  </si>
  <si>
    <t>She hit the road. The road hit back.</t>
  </si>
  <si>
    <t>Comedy</t>
  </si>
  <si>
    <t>gary sanchez productions, new line cinema, on the day</t>
  </si>
  <si>
    <t>Leon Lamar, Nat Faxon, Penn Holderness, Jason Vail, Toni Collette, Oscar Gale, Steve Little, Larry Dorf, William Flaman, Damon Jones, Jones Smith, Ben Falcone, Willie Hill, Cricket Ellis, Michelle Li, Sandy McCarthy, Mark L. Young, Dan Aykroyd, Big Al Hall, Rich Williams, Susan Sarandon, Joe Baxter, Keith Welborn, Mark Duplass, Rey Hernandez, Kaitlyn Christian, Justin Smith, Kathy Bates, J.R. Rodriguez, Sarah Baker, Mia Rose Frampton, Margo Passas, Sean Gould, Sheila Brothers, Gary Cole, David Andrew Nash, Dakota Lee, Rob Springer, Sandra Oh, Barbara Weetman, Steve Mallory, Benjamin Chontos, Ricky Muse, Zach Hanner, Michelle Rivera Huckaby, Raven Angeline Whisnant, Allison Janney, Melissa McCarthy</t>
  </si>
  <si>
    <t>Ben Falcone</t>
  </si>
  <si>
    <t>Russ T. Alsobrook</t>
  </si>
  <si>
    <t>Ben Falcone, Melissa McCarthy</t>
  </si>
  <si>
    <t>Adam McKay, Will Ferrell, Ben Falcone, Rob Cowan, Chris Henchy, Richard Brener, Toby Emmerich, Kevin J. Messick, Michael Disco, Melissa McCarthy</t>
  </si>
  <si>
    <t>Michael Andrews</t>
  </si>
  <si>
    <t>/efsVMziwE9BNTDX5fNmYVA5oAzJ.jpg</t>
  </si>
  <si>
    <t>tammy</t>
  </si>
  <si>
    <t>hollywood, california (1), premiere (1), blank (11), dvd premiere (8), internet (4), tv premiere (1)</t>
  </si>
  <si>
    <t>The Games Maker</t>
  </si>
  <si>
    <t>tt2766268</t>
  </si>
  <si>
    <t>es</t>
  </si>
  <si>
    <t>El inventor de juegos</t>
  </si>
  <si>
    <t>Young Ivan Drago's newfound love of board games catapults him into the fantastical and competitive world of game invention, and pits him against the inventor Morodian, who has long desired to destroy the city of Zyl, founded by Ivan's grandfather. To save his family and defeat Morodian, Ivan must come to know what it is to be a true games maker.</t>
  </si>
  <si>
    <t>Make your move</t>
  </si>
  <si>
    <t>Adventure, Family</t>
  </si>
  <si>
    <t>orinoco films, sepia films, dap italy, pampa films, benteveo, 7glab entertainment, telefe</t>
  </si>
  <si>
    <t>Argentina, Canada, Italy</t>
  </si>
  <si>
    <t>Valentina Lodovini, Megan Charpentier, Vando Villamil, Tom Cavanagh, Toto Rovito, Joseph Fiennes, David Mazouz, Ed Asner, Alejandro Awada, Ay‚âà√ºen Bat∆í¬±g‚àö¬∫n</t>
  </si>
  <si>
    <t>Juan Pablo Buscarini</t>
  </si>
  <si>
    <t>Roman Osin</t>
  </si>
  <si>
    <t>Juan Pablo Buscarini, Pablo De Santis</t>
  </si>
  <si>
    <t>Tina Pehme, Guido De Angelis, Kim Roberts, Ver‚àö‚â•nica Cura, Nicola De Angelis, Ben Odell, Marco De Angelis, Pablo E. Bossi, Juan Pablo Buscarini, Roberto Manni, Jos‚àö¬© Ib‚àö¬∞‚àö¬±ez</t>
  </si>
  <si>
    <t>Keith Power</t>
  </si>
  <si>
    <t>/5X2IqHXicO3miUlenOdnGhZWnn2.jpg</t>
  </si>
  <si>
    <t>the games maker</t>
  </si>
  <si>
    <t>blank (11), cinefest sudbury international film festival (1), sundance film festival (1), sarasota film festival (1), stockholm filmfestival junior (1), seattle international film festival (1), munich international film festival (1), seoul international youth film festival (1), cinekid film festival (1), dvd premiere (2), tv premiere (1)</t>
  </si>
  <si>
    <t>Open Windows</t>
  </si>
  <si>
    <t>tt2409818</t>
  </si>
  <si>
    <t>Nick is excited to discover he's won a dinner date with his favorite actress, Jill Goddard. But when Jill refuses to honor the contest, he receives an offer he can't refuse: the ability to view Jill secretly via computer. Nick begins watching the unknowing star on her webcam, not realizing that this decision will put himself and Jill at risk as they enter a terrifying world of cat-and-mouse.</t>
  </si>
  <si>
    <t>The 21st Century REAR WINDOW.</t>
  </si>
  <si>
    <t>Thriller, Action, Crime</t>
  </si>
  <si>
    <t>wild bunch, sayaka producciones, apaches films, la panda, atresmedia, spectrevision</t>
  </si>
  <si>
    <t>France, United States of America, Spain</t>
  </si>
  <si>
    <t>Espa‚àö¬±ol, English</t>
  </si>
  <si>
    <t>Michelle Jenner, Scott Weinberg, Ra‚àö‚à´l Cimas, Richard Diment, Miguel Noguera, Jaime Ol‚àö‚â†as, Eugenio Mira, Nancy Yao, Daniel P‚àö¬©rez Prada, Rachel Arieff, Neil Maskell, Iv‚àö¬∞n Gonz‚àö¬∞lez, Carlos Areces, Brian Elder, Jake Klamburg, Nacho Vigalondo, Adam Quintero, Luis Sanchez-Ca‚àö¬±ete, Elijah Wood, Juli‚àö¬∞n Villagr‚àö¬∞n, Sasha Grey</t>
  </si>
  <si>
    <t>Nacho Vigalondo</t>
  </si>
  <si>
    <t>Jon D. Dom‚àö‚â†nguez</t>
  </si>
  <si>
    <t>Mercedes Gamero, Enrique L‚àö‚â•pez Lavigne, Pau Brunet, Josh C. Waller, Elijah Wood, Nahikari Ipi‚àö¬±a, Bel‚àö¬©n Atienza, Garrett Basch, Daniel Noah, Ricardo Garc‚àö‚â†a Arrojo</t>
  </si>
  <si>
    <t>Jorge Magaz</t>
  </si>
  <si>
    <t>/dHA9jV7xKWjOvv2lYWxDwAmZjhk.jpg</t>
  </si>
  <si>
    <t>open windows</t>
  </si>
  <si>
    <t>south by southwest film festival (1), premiere (1), miami international film festival (1), beaune film festival (1), stanley film festival (1), blank (16), fantasia international film festival (1), fantasy filmfest (1), l'√©trange festival (1), motelx - lisbon international horror film festival (1), fantastic fest (1), lund fantastisk film festival (1), internet (1), monsters of film, stockholm (1), gent international film festival (1), toronto after dark film festival (1), night visions film festival (1), talinn black nights film festival (1), taipei golden horse film festival (1), dvd premiere (2), dvd and blu-ray premiere (1), tv release (1)</t>
  </si>
  <si>
    <t>Dawn of the Planet of the Apes</t>
  </si>
  <si>
    <t>tt2103281</t>
  </si>
  <si>
    <t>A group of scientists in San Francisco struggle to stay alive in the aftermath of a plague that is wiping out humanity, while Caesar tries to maintain dominance over his community of intelligent apes.</t>
  </si>
  <si>
    <t>The future is worth fighting for.</t>
  </si>
  <si>
    <t>Science Fiction, Action, Drama, Thriller</t>
  </si>
  <si>
    <t>tsg entertainment, chernin entertainment, ingenious media, 20th century fox</t>
  </si>
  <si>
    <t>United Kingdom, United States of America</t>
  </si>
  <si>
    <t>Angela Kerecz, Bobby Kerecz, Andy Serkis, Enrique Murciano, Jazzy Ellis, Lombardo Boyar, John Parsons, Nick Thurston, Scott Lang, Carol Sutton, Richard King, Kodi Smit-McPhee, Anthony A. Kung, Jocko Sims, Deneen Tyler, Karin Konoval, Michael Bloomberg, Matthew James, Joe Bravo, Christopher Berry, Jon Eyez, Mustafa Harris, Al Vicente, Lynnanne Zager, Doc Shaw, Lucky Johnson, J.D. Evermore, Mel Powell, Keri Russell, Thomas Rosales Jr., Kirk Acevedo, Mike R. Moreau, Barack Obama, Gary Oldman, Toby Kebbell, Judy Greer, Caleb Wiley, John R Mangus, John L. Armijo, Lee Ross, Michael Papajohn, Jason Clarke, Terry Notary, Sergio Kato, Allyson Leigh Jordan, Kevin Rankin, Chase Boltin, Carl Joseph Schreiber, Timothy Wyant, Keir O'Donnell, Steve D'Assis, Mike Seal</t>
  </si>
  <si>
    <t>Matt Reeves</t>
  </si>
  <si>
    <t>Michael Seresin</t>
  </si>
  <si>
    <t>Amanda Silver, Rick Jaffa, Mark Bomback</t>
  </si>
  <si>
    <t>Thomas M. Hammel, Rick Jaffa, Mark Bomback, Peter Chernin, Amanda Silver, Jenno Topping, Dylan Clark</t>
  </si>
  <si>
    <t>Michael Giacchino</t>
  </si>
  <si>
    <t>/kScdQEwS9jPEdnO23XjGAtaoRcT.jpg</t>
  </si>
  <si>
    <t>dawn of the planet of the apes</t>
  </si>
  <si>
    <t>san francisco, california (1), premiere (4), new york city, new york (1), blank (82), buenos aires (1), madrid (1), limited (1), leiden international film festival (1), internet (1)</t>
  </si>
  <si>
    <t>And So It Goes</t>
  </si>
  <si>
    <t>tt2465146</t>
  </si>
  <si>
    <t>Nobody likes self-centered realtor Oren Little, and he prefers it that way. He's deliberately mean to anyone who crosses his path and wants nothing more than to sell one final house and retire. His life turns upside-down when his estranged son drops off a granddaughter he never knew existed. Suddenly left in charge of her and with no idea how to take care of a child, he pawns the girl off on his neighbor, Leah -- but he eventually learns how to open his heart.</t>
  </si>
  <si>
    <t>You could call Oren Little 'charming' ‚Äö√Ñ√Æ except no one does.</t>
  </si>
  <si>
    <t>Comedy, Drama, Romance</t>
  </si>
  <si>
    <t>castle rock entertainment, asig productions, envision entertainment, foresight unlimited</t>
  </si>
  <si>
    <t>Maurice Jones, Diane Keaton, Barbara Vincent, Rob Reiner, Sawyer Simpkins, Frankie Valli, Michael Douglas, Markley Rizzi, Frances Sternhagen, David Aaron Baker, Alvin Crawford, Kerry Flanagan, Theo Stockman, Julie E. Davis, Meryl Jones Williams, Michael Terra, Luis Augusto Figueroa, Murphy Occhino, Yaya DaCosta, Scott Shepherd, Johnny Tran, Tony Bailey, Austin Lysy, Maxwell Simkins, Paloma Guzm‚àö¬∞n, Andy Karl, Dave Leitch, Annie Parisse, Mina Mirkhah, Sterling Jerins, Amirah Vann, Mary Rasmussen, Remington Chase, Luke Robertson, Judy Wong, Albert Jones, Rosemary Howard</t>
  </si>
  <si>
    <t>Rob Reiner</t>
  </si>
  <si>
    <t>Reed Morano</t>
  </si>
  <si>
    <t>Mark Andrus</t>
  </si>
  <si>
    <t>Grant Cramer, Ron Lynch, Mark Damon, Vitaly Grigoriants, Jared Ian Goldman, Rob Reiner, Stepan Martirosyan, Remington Chase, Martin Shafer, Alan Greisman, Tamara Birkemoe, Liz Glotzer, Andrew Scheinman</t>
  </si>
  <si>
    <t>Marc Shaiman</t>
  </si>
  <si>
    <t>/mp6aEHJa1SUQD0BvmbytvVjHk8.jpg</t>
  </si>
  <si>
    <t>and so it goes</t>
  </si>
  <si>
    <t>blank (43), jerusalem film festival (1), limited (2), zurich film festival (1), dvd premiere (2), deauville film festival (1), rtp 1 (1), internet (1), tv release (1)</t>
  </si>
  <si>
    <t>Step Up All In</t>
  </si>
  <si>
    <t>tt2626350</t>
  </si>
  <si>
    <t>All-stars from the previous Step Up installments come together in glittering Las Vegas, battling for a victory that could define their dreams and their careers.</t>
  </si>
  <si>
    <t>Every Step Has Led To This</t>
  </si>
  <si>
    <t>Romance, Drama, Music</t>
  </si>
  <si>
    <t>summit entertainment, offspring entertainment</t>
  </si>
  <si>
    <t>Janick Arseneau, Mark Siller, Eric Ardila, Jay Brazeau, Gui DaSilva-Greene, Comfort Fedoke, Luis Rosado, Christopher Scott, Fulvio Cecere, Nicholas Stewart, Sarah Katie Holmes, David Shreibman, Stephen Stevo Jones, Carly Louth, Mart‚àö‚â†n Lombard, Chad Mayate, Christie Laing, Stephen 'tWitch' Boss, Brittny Sugarman, Peter Newman, Marc Inniss, Josue Anthony, Handy Yacinthe, Laura Soltis, Brian Yang, Facundo Lombard, Olivier Blais, Aason Nadjiwan, St‚àö¬©phane Charbonneau, Nolan Padilla, Phillip Chbeeb, Jeffrey 'Machine' McCann, Hayden Fong, Ryan Guzman, Lawrence Devera, Marc-Antoine Millette, Brandy Lamkin, Eric Martel, Allie Meixner, Justin Valles, Tiger Kirchharz, Tae Helgeth, Saxon Fraser, Viv Leacock, Briana Evigan, Charles Nguyen, Can Nguyen, Celestina Aladekoba, Brandon Shaw, Raymond Cham Jr., Izabella Miko, Edith Collin-Marcoux, Emilio Dosal, Mathieu Dumoulin, Patricia Mayen-Salazar, Martine Bruneau, Marina Bastarache, Adrienne Chan, Kim Marko Germar, Lorella Boccia, Jenny Dailey, Vincent Poirier, Frank Crudele, Cyrus Spencer, Chadd Smith, Julie Dombrowski, Ian Arcudi, Teya Wild, Mackenzie Green, Parris Goebel, Elizabeth Weinstein, Yoshiharu Hashimoto, Adam Sevani, Jesse 'Casper' Brown, Jayme Rae Dailey, Nicolas Begin, Derek Rice, Alyson Stoner, Mecdy Jean-Pierre, Jaja Vankova, Chaton Anderson, Kenny Mugisha, Max Paradis, Dean Placzek, Anthony Joseph, Jill Morrison, Lorena Liebman, Misha Gabriel, Leah Christ, Tony Bellissimo, Daniel Morrison, Graeme Duffy, Fiona Vroom, Erika Prevost, Karin Konoval, Chelsee Albo, Mari Koda, Bianca Brewton, Axelle Munezero</t>
  </si>
  <si>
    <t>Trish Sie</t>
  </si>
  <si>
    <t>Brian Pearson</t>
  </si>
  <si>
    <t>John Swetnam, Duane Adler</t>
  </si>
  <si>
    <t>Matt Smith, Adam Shankman, Jennifer Gibgot, Erik Feig, Patrick Wachsberger</t>
  </si>
  <si>
    <t>Jeff Cardoni</t>
  </si>
  <si>
    <t>/hgAjyJyEvj5S9CeztXs39iEUJKS.jpg</t>
  </si>
  <si>
    <t>step up all in</t>
  </si>
  <si>
    <t>blank (50), limited (1), dvd premiere (1), tv release (1), tv premiere (1)</t>
  </si>
  <si>
    <t>Planes: Fire &amp; Rescue</t>
  </si>
  <si>
    <t>tt2980706</t>
  </si>
  <si>
    <t>When world-famous air racer Dusty learns that his engine is damaged and he may never race again, he must shift gears and is launched into the world of aerial firefighting. Dusty joins forces with veteran fire and rescue helicopter Blade Ranger and his team, a bunch of all-terrain vehicles known as The Smokejumpers. Together, the fearless team battles a massive wildfire, and Dusty learns what it takes to become a true hero.</t>
  </si>
  <si>
    <t>When others fly out, heroes fly in.</t>
  </si>
  <si>
    <t>Animation, Comedy, Adventure, Family</t>
  </si>
  <si>
    <t>disney television animation, prana animation studios, disneytoon studios, walt disney pictures, prana studios</t>
  </si>
  <si>
    <t>Jerry Stiller, Ed Harris, Barry Corbin, Regina King, Matt Jones, Bryan Callen, Corri English, Dale Dye, Brad Paisley, Steve Schirripa, Brad Garrett, Caroline Aaron, Julie Bowen, Kevin Michael Richardson, Kate Micucci, Cedric the Entertainer, Curtis Armstrong, Kari Wahlgren, Masasa Moyo, Teri Hatcher, Hal Holbrook, Brent Musburger, Danny Mann, Dane Cook, Ferrell Barron, Wes Studi, John Ratzenberger, Stacy Keach, Erik Estrada, Anne Meara, Patrick Warburton, Fred Willard, Bobs Gannaway, Ren‚àö¬© Auberjonois, John Michael Higgins, Danny Pardo</t>
  </si>
  <si>
    <t>Bobs Gannaway</t>
  </si>
  <si>
    <t>John Lasseter, Klay Hall, Jeffrey M. Howard, Bobs Gannaway</t>
  </si>
  <si>
    <t>John Lasseter, Ferrell Barron</t>
  </si>
  <si>
    <t>Mark Mancina</t>
  </si>
  <si>
    <t>/pOmteFeBDI9FJOPTDvYJYFeAtdp.jpg</t>
  </si>
  <si>
    <t>planes: fire &amp; rescue</t>
  </si>
  <si>
    <t>hollywood, california (1), premiere (1), blank (61), limited (2), balinale international film festival (1)</t>
  </si>
  <si>
    <t>Sex Tape</t>
  </si>
  <si>
    <t>tt1956620</t>
  </si>
  <si>
    <t>When Jay and Annie first got together, their romantic connection was intense ‚Äö√Ñ√¨ but ten years and two kids later, the flame of their love needs a spark.  To kick things up a notch, they decide ‚Äö√Ñ√¨ why not? ‚Äö√Ñ√¨ to make a video of themselves trying out every position in The Joy of Sex in one marathon three-hour session.  It seems like a great idea ‚Äö√Ñ√¨ until they discover that their most private video is no longer private.  With their reputations on the line, they know they‚Äö√Ñ√¥re just one click away from being laid bare to the world... but as their race to reclaim their video leads to a night they'll never forget, they'll find that their video will expose even more than they bargained for.</t>
  </si>
  <si>
    <t>A movie about a movie they don't want you to see.</t>
  </si>
  <si>
    <t>escape artists, lstar capital, mrc, columbia pictures</t>
  </si>
  <si>
    <t>Artemis Pebdani, Nancy Lenehan, Susan Garfield, Samil Battenfeld, Harrison Holzer, Krisztina Koltai, Randall Park, James Wilcox, Rob Lowe, Erin Brehm, Brendan Egan, Sebastian Hedges Thomas, Jolene Blalock, Tiffany Crosby, Rob Corddry, Joe Stapleton, Dave Allen, Alexis Rosasco, Melvin Brown, Melissa Paulo, Kimberly Mae Waller, Cameron Diaz, Whitney Meyer, Kumail Nanjiani, Ellie Kemper, Giselle Eisenberg, Jack Black, Michael Maggiani, Timothy Brennen, Celeste Oliva, Nat Faxon, Osmani Rodriguez, Jason Segel</t>
  </si>
  <si>
    <t>Jake Kasdan</t>
  </si>
  <si>
    <t>Tim Suhrstedt</t>
  </si>
  <si>
    <t>Kate Angelo, Nicholas Stoller, Jason Segel</t>
  </si>
  <si>
    <t>Ben Waisbren, David B. Householter, Jason Blumenthal, Todd Black, David Bloomfield, Jason Segel, Jake Kasdan, Steve Tisch</t>
  </si>
  <si>
    <t>/pFdS7SIdjcrYXtf141dabWVly9B.jpg</t>
  </si>
  <si>
    <t>sex tape</t>
  </si>
  <si>
    <t>blank (75), blu-ray release (2), qualite fantastic cinema collection (1), dvd premiere (1)</t>
  </si>
  <si>
    <t>Wish I Was Here</t>
  </si>
  <si>
    <t>tt2870708</t>
  </si>
  <si>
    <t>Aidan Bloom, a struggling actor, father and husband, is 35 years old and still trying to find a purpose for his life. He and his wife are barely getting by financially and Aidan passes his time by fantasizing about being the great futuristic Space-Knight he'd always dreamed he'd be as a little kid. When his ailing father can no longer afford to pay for private school for his two kids and the only available public school is on its last legs, Aidan reluctantly agrees to attempt to home-school them. Through teaching them about life his way, Aidan gradually discovers some of the parts of himself he couldn't find.</t>
  </si>
  <si>
    <t>Life is an occasion. Rise to it.</t>
  </si>
  <si>
    <t>Drama, Comedy</t>
  </si>
  <si>
    <t>wild bunch, worldview entertainment, double feature films, second stix films, focus features</t>
  </si>
  <si>
    <t>France, United States of America</t>
  </si>
  <si>
    <t>Ato Essandoh, Silvia Curiel, Taylor Bagley, Nichole Galicia, Ashley Greene, Jackie Johnson, Mark Thudium, Bill Blair, Jennifer Terry, Josh Gad, Alexander Chaplin, Michael Weston, Mandy Patinkin, Bob Clendenin, Max Wright, Donald Faison, Allan Rich, Joey King, Andrew Anderson, Cody Sullivan, Jim Parsons, Zach Braff, Bruce Nozick, James Avery, Pierce Gagnon, Matt Winston, Kate Hudson, Leslie David Baker</t>
  </si>
  <si>
    <t>Zach Braff</t>
  </si>
  <si>
    <t>Lawrence Sher</t>
  </si>
  <si>
    <t>Adam J. Braff, Zach Braff</t>
  </si>
  <si>
    <t>Sarah E. Johnson, Hoyt David Morgan, Molly Conners, Michael Shamberg, Adam J. Braff, Stacey Sher, Maria Cestone, Christopher Woodrow, Zach Braff</t>
  </si>
  <si>
    <t>Rob Simonsen</t>
  </si>
  <si>
    <t>/hDDXIWLBS6rNPJS4tQvEXWxGXjK.jpg</t>
  </si>
  <si>
    <t>wish i was here</t>
  </si>
  <si>
    <t>sundance film festival (1), sydney film festival (1), limited (3), blank (21), sundance hong kong selects (1), zurich film festival (1), dvd and blu-ray premiere (1), leiden international film festival (1), uk jewish film festival (1), dvd premiere (1), festival internacional de cine judio (1), tv release (1)</t>
  </si>
  <si>
    <t>Hate Story 2</t>
  </si>
  <si>
    <t>tt3619772</t>
  </si>
  <si>
    <t>hi</t>
  </si>
  <si>
    <t>A young photographer from Mumbai uses her mind to play games with a prominent Hindu rightist leader.</t>
  </si>
  <si>
    <t>Back With a Vengeance</t>
  </si>
  <si>
    <t>Drama, Thriller</t>
  </si>
  <si>
    <t>t-series</t>
  </si>
  <si>
    <t>India</t>
  </si>
  <si>
    <t>‚Ä°¬ßœÄ‚Ä°¬ß√∏‚Ä°¬ß¬Æ‚Ä°‚Ä¢√ß‚Ä°¬ß¬∂‚Ä°‚Ä¢√Ñ</t>
  </si>
  <si>
    <t>Surveen Chawla, Rajesh Khera, Neha Kaul, Sushant Singh, Bikramjeet Kanwarpal, Shashank Shende, Siddharth Kher, Jay Bhanushali, Sunny Leone</t>
  </si>
  <si>
    <t>Vishal Pandya</t>
  </si>
  <si>
    <t>Kedar Gaikwad</t>
  </si>
  <si>
    <t>Girish Dhamija, Nyra Banerjee</t>
  </si>
  <si>
    <t>Manmohan Singh, Bhushan Kumar, Vikram Bhatt</t>
  </si>
  <si>
    <t>Arko Pravo Mukherjee, Mithoon Sharma, Meet Bros Anjjan</t>
  </si>
  <si>
    <t>/y5fg6O5ttxvh2wkMY1fUchLfZSL.jpg</t>
  </si>
  <si>
    <t>hate story 2</t>
  </si>
  <si>
    <t>internet (1), blank (3), dvd premiere (1)</t>
  </si>
  <si>
    <t>Hercules</t>
  </si>
  <si>
    <t>tt1267297</t>
  </si>
  <si>
    <t>When a new enemy threatens the innocent, Hercules must lead his fearless team of warriors in a battle against overwhelming odds.</t>
  </si>
  <si>
    <t>Before he was a legend, he was a man.</t>
  </si>
  <si>
    <t>Action, Adventure</t>
  </si>
  <si>
    <t>paramount pictures, radical studios, flynn picture company, metro-goldwyn-mayer</t>
  </si>
  <si>
    <t>Aden G. Wright, Dora Kanizsa, Lilla Babos, Aksel Hennie, Stephen Peacocke, John Hurt, Tamas Csernus, Rufus Sewell, Ian Whyte, Barbara Palvin, Isaac Andrews, Petra Piringer, Erik Orgovan, Reece Ritchie, Robert Maillet, Matt Devere, Kristina Starostina, Joe Anderson, Dwayne Johnson, Ian McShane, T‚àö‚â†mea Vajna, N‚àö‚â•ra Lili H‚àö‚àÇrich, Jean Pigozzi, Csilla Baksa, Mark Phelan, Peter Ivanyi, Dalma L‚àö‚àÇrincz, Ingrid Bols‚àö‚àè Berdal, John Cross, Tom Doherty, Dorottya Podmaniczky, Peter Mullan, Rebecca Ferguson, Karolina Szymczak, Christopher Fairbank, Athina Papadimitriu, Nicholas Moss, Benjamin Blankenship, Elena V. Holovcsak, Caroline Boulton, Lilla Bozoki, Tobias Santelmann, Sydney van den Bosch, Anna Skidanova, Oliver Doherty, Kov‚àö¬∞cs Panka, Erika Marozs‚àö¬∞n, Patricia Hegedus, Shay Sabag, Robert Whitelock, Tonia Sotiropoulou, Anna Trok‚àö¬∞n, Judit Viktor, M‚àö¬∞t‚àö¬© Haumann, Joseph Fiennes, Anna Zs‚àö‚â†ros, Irina Shayk, Erika Lajos</t>
  </si>
  <si>
    <t>Brett Ratner</t>
  </si>
  <si>
    <t>Dante Spinotti</t>
  </si>
  <si>
    <t>Ryan Condal, Evan Spiliotopoulos</t>
  </si>
  <si>
    <t>Peter Berg, Barry Levine, Ross T. Fanger, Brett Ratner, Beau Flynn, Sarah Aubrey, Jesse Berger</t>
  </si>
  <si>
    <t>Fernando Vel‚àö¬∞zquez</t>
  </si>
  <si>
    <t>/5X3VOy9lD44VclKsWTi8gHZGjhL.jpg</t>
  </si>
  <si>
    <t>hercules</t>
  </si>
  <si>
    <t>blank (71), hollywood, california (1), premiere (2), italian speaking region (1), berlin (1), french speaking region (1), german speaking region (1)</t>
  </si>
  <si>
    <t>A Most Wanted Man</t>
  </si>
  <si>
    <t>tt1972571</t>
  </si>
  <si>
    <t>A Chechen Muslim illegally immigrates to Hamburg and becomes a person of interest for a covert government team tracking the movements of potential terrorists.</t>
  </si>
  <si>
    <t>When national security is the mission, intelligence is the key.</t>
  </si>
  <si>
    <t>Thriller</t>
  </si>
  <si>
    <t>amusement park films, demarest films, filmnation entertainment, senator film, the ink factory, film4 productions, potboiler productions, media programme of the european union, roadside attractions, lionsgate</t>
  </si>
  <si>
    <t>Martin Wuttke, Ren‚àö¬© Lay, Tamer Yi∆í√ºit, Mehdi Dehbi, Vicky Krieps, Robin Wright, Max Volkert Martens, Rainer Bock, Neil Malik Abdullah, Grigoriy Dobrygin, Rachel McAdams, Daniel Br‚àö¬∫hl, Bernhard Sch‚àö¬∫tz, Imke B‚àö¬∫chel, Jessica Joffe, Willem Dafoe, Georg Ebinal, Vedat Erincin, Herbert Gr‚àö‚àÇnemeyer, Corinna Kropiunig, Derya Alabora, Philip Seymour Hoffman, Nina Hoss, Franz Hartwig, Kostja Ullmann, Homayoun Ershadi, Ursina Lardi, Uwe Dag Berlin</t>
  </si>
  <si>
    <t>Anton Corbijn</t>
  </si>
  <si>
    <t>Beno‚àö√Üt Delhomme</t>
  </si>
  <si>
    <t>Andrew Bovell, John le Carr‚àö¬©</t>
  </si>
  <si>
    <t>Stephen Cornwell, Malte Grunert, Simon Cornwell, Sam Englebardt, Tessa Ross, John le Carr‚àö¬©, Gail Egan, Andrea Calderwood, William D. Johnson</t>
  </si>
  <si>
    <t>Herbert Gr‚àö‚àÇnemeyer</t>
  </si>
  <si>
    <t>/6B76Z5Ct758RfKFoFg37skVRiMp.jpg</t>
  </si>
  <si>
    <t>a most wanted man</t>
  </si>
  <si>
    <t>blank (41), sundance film festival (1), new york city, new york (1), premiere (2), limited (2), deauville film festival (1), buenos aires (1), film festival oostende (1), whiskey creek film festival (1), rio de janeiro international film festival (1), zurich film festival (1), beirut international film festival (1), mumbai film festival (1), rome film festival (1), dvd premiere (2), cinedays film festival (1), ljubljana international film festival (1)</t>
  </si>
  <si>
    <t>The Admiral: Roaring Currents</t>
  </si>
  <si>
    <t>tt3541262</t>
  </si>
  <si>
    <t>ko</t>
  </si>
  <si>
    <t>√é‚Ñ¢√ñ√é√º√¢</t>
  </si>
  <si>
    <t>Admiral Yi Sun-sin faces a tough challenge when he is forced to defend his nation with just 13 battleships against 300 Japanese enemy ships in the Battle of Myeongryang.</t>
  </si>
  <si>
    <t>12 ships against a fleet of 330.</t>
  </si>
  <si>
    <t>War, Action, Drama, History</t>
  </si>
  <si>
    <t>big stone pictures</t>
  </si>
  <si>
    <t>South Korea</t>
  </si>
  <si>
    <t>√å√Ø√∫√ç¬µ‚â†√è√±¬•/√è¬∞‚àû√è√ë‚Ä†√é√ü√™, √ä√≥‚Ä¢√ä√∫¬®√ã‚Ñ¢√ª</t>
  </si>
  <si>
    <t>Kim Koo-taek, Kang Tae-young, Ha Soo-ho, Go Kyung-pyo, Ryohei Otani, Jang Jun-nyeong, Jo Bok-rae, Cho Jin-woong, Choi Min-sik, Lee Hae-yeong, Shin Yoo-ram, Kim Hyeon-tae, Jin Goo, Kim Moon-jong, Jung Je-woo, Jo Ha-seok, Lee Joo-sil, No Min-woo, Lee Seung-joon, Lee Jung-hyun, Ryu Seung-ryong, Ju Seok-tae, Kim Myung-gon, Choi Deok-moon, Lee Jae-gu, Kwon Yul, Kim Min-sik, Kyul Hwi, Kim Tae-hun, Moon Young-dong, Kim Won-hae, Kim Kang-il, Park Bo-gum, Park No-shik</t>
  </si>
  <si>
    <t>Kim Han-min</t>
  </si>
  <si>
    <t>Kim Tae-sung</t>
  </si>
  <si>
    <t>Kim Han-min, Lee Yoon-ho, Jeon Cheol-hong</t>
  </si>
  <si>
    <t>Jeong Tae-sung, Bang Ok-kyung, Kim Ju-kyung, Jeong Byeong-wuk, Kim Min-gi, Kim Han-min</t>
  </si>
  <si>
    <t>Kim Tae-seong</t>
  </si>
  <si>
    <t>/xx701fnV2e4BlQGwgISLYUG0DsG.jpg</t>
  </si>
  <si>
    <t>the admiral: roaring currents</t>
  </si>
  <si>
    <t>blank (5), limited (1), imagine film festival (1), brussels international fantastic film festival (1), dvd premiere (2), blu-ray release (1), dvd and blu-ray premiere (1), extended version (1), internet (3), han cine - korean film festival (1), blu ray release (1), korean film festival (1), london korean film festival (1)</t>
  </si>
  <si>
    <t>These Final Hours</t>
  </si>
  <si>
    <t>tt2268458</t>
  </si>
  <si>
    <t>What would you do on the last day on Earth?  With the end of the world only hours away, the self-absorbed James heads to the ultimate party-to-end-all-parties. On his way there, he saves the life of a young girl named Rose who is searching desperately for her missing father. This simple act sets James on a path to redemption.</t>
  </si>
  <si>
    <t>It's never too late to find someone worth living for.</t>
  </si>
  <si>
    <t>Science Fiction, Drama, Thriller</t>
  </si>
  <si>
    <t>8th in line, xyz films</t>
  </si>
  <si>
    <t>Australia</t>
  </si>
  <si>
    <t>Phil Bennett, David Partridge, Flynn Lockwood, Benj Daddario, Keiko Kalaitzis, Justin Burford, Ryan Knight, Matt Lovkis, Leanne Curran, Brendan Kalin, Alison Van Reelen, Michael McCall, Loukia Clemeno, Neil Stewart, Lauren Thomas, Lauren Cleary, Paul Montague, Lara Bezuidenhout, Zaydah-lee, Wendy Burns, Caleb Helm, David Field, Aron Dyer, Sarah Snook, Josephine Hirst, Kathryn Beck, Brodie Masini, Daniel Henshall, Angourie Rice, Samantha Harper, Jessica De Gouw, Steve McCall, Nelson Aspen, Talei Howell-Price, Aaron McCann, Peter Docker, Ben Sutton, Ken Backshall, Troy Coward, Brendan Johansen, Kingsley Judd, Nathan Phillips, Lynette Curran, Adam T Perkins, Emily Crew, Korum Ellis</t>
  </si>
  <si>
    <t>Zak Hilditch</t>
  </si>
  <si>
    <t>Bonnie Elliott</t>
  </si>
  <si>
    <t>Simon van der Borgh, Zak Hilditch, Jonathan Rawlinson</t>
  </si>
  <si>
    <t>Liz Kearney, Mark Woods, Robert Connolly</t>
  </si>
  <si>
    <t>Cornel Wilczek</t>
  </si>
  <si>
    <t>/AmVgGpLdAUzCszbyQ4THY8eB0HL.jpg</t>
  </si>
  <si>
    <t>these final hours</t>
  </si>
  <si>
    <t>melbourne international film festival (1), adelaide film festival (1), cannes film festival (1), neuch√¢tel international fantastic film festival (1), blank (3), fantasy filmfest (1), l'√©trange festival (1), athens film festival (1), lund fantastisk film festival (1), monsters of film, stockholm (1), gent international film festival (1), toronto (1), night visions film festival (1), dvd premiere (6), dvd and blu-ray premiere (1), limited (1), chattanooga film festival (1), imagine film festival (1), film4 frightfest (1)</t>
  </si>
  <si>
    <t>Get on Up</t>
  </si>
  <si>
    <t>tt2473602</t>
  </si>
  <si>
    <t>A chronicle of James Brown's rise from extreme poverty to become one of the most influential musicians in history.</t>
  </si>
  <si>
    <t>The Funk Don't Quit</t>
  </si>
  <si>
    <t>Drama, Music, History</t>
  </si>
  <si>
    <t>jagged films, imagine entertainment, universal pictures</t>
  </si>
  <si>
    <t>Taura Cherne, Elliott June Rogers, Randy Smith, Jim Gleason, Jill Scott, Sandra DeNise, Ritchie Montgomery, Jordan Scott, Joe T. Blankenship, Nelsan Ellis, Viola Davis, Aunjanue Ellis-Taylor, Justin Hall, Aakomon Jones, Brandon Mychal Smith, Cariella Smith, Nick Eversman, Corey Sorenson, Liz Mikel, Dominic Thigpen, Ahna O'Reilly, Donald Watkins, Julius Tennon, Denzel Reed, Adrien Scott Robinson, Aloe Blacc, Michael Papajohn, James DuMont, Alvin Edney II, Jamell Richardson, Hunter Burke, Jamarion Scott, Aaron J. Brooks, Tariq Trotter, Lennie James, Billy Slaughter, Keith D. Robinson, Fred Melamed, Matt Thompson, Chadwick Boseman, Cleta Elaine Ellington, J.D. Evermore, Josh Hopkins, Antonius Charles, Clyde Jones, Kirk Bovill, David Carzell, Allison Janney, Aaron Jay Rome, Stacey Scowley, Mario J. Radford, Tika Sumpter, Phyllis Montana LeBlanc, Octavia Spencer, George Quinones, Atkins Estimond, Craig Robinson, John Benjamin Hickey, Jacinte Blankenship, Carol Lee, Dan Aykroyd, Sheldon Frett, Rena DeAngelo, Jason Davis</t>
  </si>
  <si>
    <t>Tate Taylor</t>
  </si>
  <si>
    <t>Stephen Goldblatt</t>
  </si>
  <si>
    <t>Steven Baigelman, Jez Butterworth, John-Henry Butterworth</t>
  </si>
  <si>
    <t>Victoria Pearman, Peter Afterman, Mick Jagger, Brian Grazer, Trish Hofmann, Tate Taylor, Jez Butterworth, Erica Huggins, Anna Culp, John-Henry Butterworth, John Norris</t>
  </si>
  <si>
    <t>Thomas Newman</t>
  </si>
  <si>
    <t>/dVbGeU5agxFGcJnL5hk4uO8W7i2.jpg</t>
  </si>
  <si>
    <t>get on up</t>
  </si>
  <si>
    <t>blank (23), zurich film festival (1), rio de janeiro international film festival (1), gent international film festival (1), camerimage international film festival (1), limited (2), dvd premiere (7), tv premiere (1)</t>
  </si>
  <si>
    <t>Into the Storm</t>
  </si>
  <si>
    <t>tt2106361</t>
  </si>
  <si>
    <t>As a new day begins in the town of Silverton, its residents have little reason to believe it will be anything other than ordinary. Mother Nature, however has other plans. In the span of just a few hours, an unprecedented onslaught of powerful tornadoes ravages Silverton. Storm trackers predict that the worst is still to come, as terrified residents seek shelter, and professional storm-chasers run toward the danger, hoping to study the phenomenon close up and get a once-in-a-lifetime shot.</t>
  </si>
  <si>
    <t>There is no calm before the storm.</t>
  </si>
  <si>
    <t>Action, Thriller</t>
  </si>
  <si>
    <t>new line cinema, village roadshow pictures, ratpac entertainment, broken road productions, warner bros. pictures</t>
  </si>
  <si>
    <t>Mikayla Bouchard, Matt Walsh, Don Lemon, Jimmy Groce, Linda Gehringer, David Drumm, Kim Adams, Kyle Davis, Max Deacon, Arlen Escarpeta, Ron Causey, Vincent McCurdy-Clark, Maryanne Nagel, Mike Ancrile, Rick Wooley, Steven Hauptman, Pam German, James Feaheny, Alex Wayne Winterhalt, Christine Bell, Niki Cipriano, Apollo Bacala, London Elise Moore, Brandon Ruiter, Chuck Gaidica, Rose Anne Nepa, Michael Ellison, Terri Partyka, Stephanie Koenig, Amanda Ryskamp, Lee Whittaker, Gary England, Kron Moore, Patricia Lynne Cissell, Jon Reep, Carey Torrice, Chris Mansa, John W. Hardy, John Dickerson, Gino Borri, Sarah Wayne Callies, Taras Los, Richard Armitage, Chris Bellant, Steve Garagiola, Jeremy Sumpter, Alycia Debnam-Carey, Helena Ellison, Frank Zieger, Jeff Hill, Dennis Doyle Jr., Karla Cipriano, Scott Lawrence, Nathan Kress</t>
  </si>
  <si>
    <t>Steven Quale</t>
  </si>
  <si>
    <t>John Swetnam</t>
  </si>
  <si>
    <t>W. Mark McNair, Walter Hamada, Dave Neustadter, Richard Brener, Todd Garner, Bruce Berman, Jeremy Stein</t>
  </si>
  <si>
    <t>Brian Tyler</t>
  </si>
  <si>
    <t>/kBgrhrES9kMKSPxawUYV61KjlnB.jpg</t>
  </si>
  <si>
    <t>into the storm</t>
  </si>
  <si>
    <t>fantasia international film festival (1), blank (76), german speaking region (1)</t>
  </si>
  <si>
    <t>The Hundred-Foot Journey</t>
  </si>
  <si>
    <t>tt2980648</t>
  </si>
  <si>
    <t>A story centered around an Indian family who moves to France and opens a restaurant across the street from a Michelin-starred French restaurant.</t>
  </si>
  <si>
    <t>Life's greatest journey begins with the first step.</t>
  </si>
  <si>
    <t>amblin entertainment, harpo films, participant, image nation abu dhabi, reliance entertainment, touchstone pictures, dreamworks pictures</t>
  </si>
  <si>
    <t>India, United States of America, United Arab Emirates</t>
  </si>
  <si>
    <t>‚Ä°¬ßœÄ‚Ä°¬ß√∏‚Ä°¬ß¬Æ‚Ä°‚Ä¢√ß‚Ä°¬ß¬∂‚Ä°‚Ä¢√Ñ, English, Fran‚àö√üais</t>
  </si>
  <si>
    <t>Shuna Lemoine, Patrick Blatger, Didier Joy, Rohan Chand, Vincent Elbaz, Antoine Blanquefort, Manish Dayal, Arthur Mazet, Max Rangotte, Dillon Mitra, Matyelok Gibbs, Amit Shah, Audrey Meschi, Charlotte Le Bon, Christian Allieres, Michel Blanc, Piero Filippi, Masood Akhtar, Aria Pandya, Morgan Perez, Laetitia de Fombelle, Juhi Chawla Mehta, Robert Gailhard, Chantal Filippi, C‚àö¬©dric Weber, Paul Daubeze, Alban Aumard, Shaunak Parekh, Abhijit Buddhisagar, Farzana Dua Elahe, St‚àö¬©phanie Renouvin, Helen Mirren, Sanjay Sharma, Jean Kinsell, Cl‚àö¬©ment Sibony, Saachi Parekh, Frederic Violante, Malcolm Granath, Om Puri</t>
  </si>
  <si>
    <t>Lasse Hallstr‚àö‚àÇm</t>
  </si>
  <si>
    <t>Linus Sandgren</t>
  </si>
  <si>
    <t>Steven Knight, Richard C. Morais</t>
  </si>
  <si>
    <t>Jeff Skoll, Jonathan King, Steven Spielberg, Caroline Hewitt, Oprah Winfrey, Carla Gardini</t>
  </si>
  <si>
    <t>A.R. Rahman</t>
  </si>
  <si>
    <t>/1vFhSr7INoulu18smHqicft05i8.jpg</t>
  </si>
  <si>
    <t>the hundred-foot journey</t>
  </si>
  <si>
    <t>new york city, new york (1), premiere (1), blank (70), tartu love film festival (1), locarno film festival (1), deauville film festival (1), san sebastian film festival (1), dvd premiere (2), beijing international film festival (1), kosmorama trondheim international film festival (1)</t>
  </si>
  <si>
    <t>The Pirates</t>
  </si>
  <si>
    <t>tt3485166</t>
  </si>
  <si>
    <t>√å√Ø¬•√è‚Ä†√Ö: √é‚àû√Æ√é√£¬ß√é¬∞√∫ √ç‚àû√ë √è√á‚àû√è‚Ä†√Ö</t>
  </si>
  <si>
    <t>At the cusp of the founding of Joseon Dynasty, an envoy from China is delivering Emperor‚Äö√Ñ√¥s Ming‚Äö√Ñ√¥s Royal Seal. But nature in the form of a giant whale intervenes and swallows the royal seal.  When a generous reward is offered to whomever can retrieve the royal seal from the belly of the whale, the race is on. A group of mountain bandits led by Jang Sa Jung and a group of pirates led by Yeo Wol  go after the lost treasure, but who will get to to it first?</t>
  </si>
  <si>
    <t>Those who conquer the sea will have it all!</t>
  </si>
  <si>
    <t>Action, Adventure, Comedy, Fantasy</t>
  </si>
  <si>
    <t>lotte entertainment, harimao pictures, cinedigm</t>
  </si>
  <si>
    <t>√å√Ø√∫√ç¬µ‚â†√è√±¬•/√è¬∞‚àû√è√ë‚Ä†√é√ü√™</t>
  </si>
  <si>
    <t>Kim Tae-woo, Lee Yi-kyung, Park Cheol-min, Kim Nam-gil, Kim Kyung-sik, Sulli, Kim Won-jung, Hyun Bong-sik, Oh Dal-su, Shin Jung-keun, Yoo Hai-jin, Park Hae-soo, Son Cheol-min, Jeon Bae-soo, Shin Jung-yoon, Jo Hee-bong, Ahn Nae-sang, Chung Sung-hwa, Kim Ian, Lee Kyu-ho, Lee Dae-yeon, Son Ye-jin, Kim Won-hae, Lee Kyung-young</t>
  </si>
  <si>
    <t>Lee Suk-hoon</t>
  </si>
  <si>
    <t>Kim Yeong-ho</t>
  </si>
  <si>
    <t>Lee Suk-hoon, Choi Lee-Young, Chun Sung-il</t>
  </si>
  <si>
    <t>Im Yeong-ho, Chun Sung-il, Kim Dae-seung, Kang Min-gyu, Cha Won-chun, Park A-hyoung</t>
  </si>
  <si>
    <t>Hwang Sang-jun</t>
  </si>
  <si>
    <t>/4qU1SW1b2Txf3Ge9rGlddDthSgx.jpg</t>
  </si>
  <si>
    <t>the pirates</t>
  </si>
  <si>
    <t>blank (5), limited (1), dvd premiere (1), dvd and blu-ray premiere (1), beijing international film festival (1), korean film week (1), tv premiere (1)</t>
  </si>
  <si>
    <t>Teenage Mutant Ninja Turtles</t>
  </si>
  <si>
    <t>tt1291150</t>
  </si>
  <si>
    <t>When a kingpin threatens New York City, a group of mutated turtle warriors must emerge from the shadows to protect their home.</t>
  </si>
  <si>
    <t>Mysterious. Dangerous. Reptilious. You've never seen heroes like this.</t>
  </si>
  <si>
    <t>Science Fiction, Action, Adventure, Comedy</t>
  </si>
  <si>
    <t>nickelodeon movies, paramount pictures, platinum dunes, mirage studios, gama entertainment partners, mednick productions, heavy metal</t>
  </si>
  <si>
    <t>Pete Ploszek, Paul Fitzgerald, Will Arnett, Tony Shalhoub, K. Todd Freeman, Leyna Nguyen, William Fichtner, Minae Noji, Braeson Herold, Alison Fern‚àö¬∞ndez, Chris Wylde, Chance Kelly, Tohoru Masamune, Johnny Knoxville, Madison Mason, Derek Mears, Rick Chambers, Taran Killam, Danny Woodburn, Megan Fox, Malina Weissman, Jeremy Howard, Whoopi Goldberg, Mikal Vega, Gwen Stefani, Harley Pasternak, Abby Elliott, Alan Ritchson, Venida Evans, Noel Fisher</t>
  </si>
  <si>
    <t>Jonathan Liebesman</t>
  </si>
  <si>
    <t>Lula Carvalho</t>
  </si>
  <si>
    <t>Peter Laird, Kevin Eastman, Andr‚àö¬© Nemec, Josh Appelbaum, Evan Daugherty</t>
  </si>
  <si>
    <t>Eric J. Crown, Ian Bryce, Napoleon Smith III, Jason Reed, Michael Bay, Andrew Form, Brad Fuller, Denis L. Stewart, Galen Walker, Scott Mednick</t>
  </si>
  <si>
    <t>/azL2ThbJMIkts3ZMt3j1YgBUeDB.jpg</t>
  </si>
  <si>
    <t>teenage mutant ninja turtles</t>
  </si>
  <si>
    <t>los angeles, california (1), premiere (4), new york city, new york (1), blank (91), seoul (1), italian speaking region (1), scotland only (1), french speaking region (1), german speaking region (1), tokyo (1), kyoto historica international film festival (1), internet (1)</t>
  </si>
  <si>
    <t>The Expendables 3</t>
  </si>
  <si>
    <t>tt2333784</t>
  </si>
  <si>
    <t>Barney, Christmas and the rest of the team comes face-to-face with Conrad Stonebanks, who years ago co-founded The Expendables with Barney. Stonebanks subsequently became a ruthless arms trader and someone who Barney was forced to kill‚Äö√Ñ¬∂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Expendables‚Äö√Ñ√¥ most personal battle yet.</t>
  </si>
  <si>
    <t>New team. New attitude. New mission.</t>
  </si>
  <si>
    <t>Action, Adventure, Thriller</t>
  </si>
  <si>
    <t>davis films, ex3 productions, fipex holding, lionsgate, millennium media, nu image entertainment</t>
  </si>
  <si>
    <t>United States of America, France, Germany, Bulgaria</t>
  </si>
  <si>
    <t>Ivan Rangelov, Ivaylo Grancharov, Kelsey Grammer, Daniel Angelov, Slavi Slavov, Thomas Canestraro, Dolph Lundgren, Harry Anichkin, Glen Powell, Boswell Maloka, Aleksandra Bogdanska, Jeremiah Krage, Cyndy Powell, Wesley Snipes, Kellan Lutz, Liubomir Simeonov, Wendy Kay, Mel Gibson, Jet Li, Nikolay Stanoev, Harrison Ford, Sylvester Stallone, Robert Davi, Natalie Burn, Ivan Kostadinov, Frank Pesce, Jason Statham, Velizar Binev, Nikolay Stoyanov Ilchev, Lilia Doytchinova, Ronda Rousey, Aleksandar Belovski, Randy Couture, Dimiter Doichinov, Victor Ortiz, Bashar Rahal, Tzvetislav Samardjiev, Antonio Banderas, Steve Wood, Sarai Givaty, Terry Crews, Arnold Schwarzenegger</t>
  </si>
  <si>
    <t>Patrick Hughes</t>
  </si>
  <si>
    <t>Peter Menzies Jr.</t>
  </si>
  <si>
    <t>Katrin Benedikt, David Callaham, Sylvester Stallone, Creighton Rothenberger</t>
  </si>
  <si>
    <t>Jason Constantine, Les Weldon, Trevor Short, Jon Feltheimer, John Thompson, Kevin King Templeton, Eda Kowan, Basil Iwanyk, Avi Lerner, Guymon Casady, Danny Lerner, Boaz Davidson</t>
  </si>
  <si>
    <t>/ruW3malZtlg66ODfg614dFbXO68.jpg</t>
  </si>
  <si>
    <t>the expendables 3</t>
  </si>
  <si>
    <t>london (1), premiere (6), blank (73), marbella (1), cologne (1), paris (1), los angeles, california (1), macao (1), old town taito international comedy film festival (1), tokyo international film festival (1), dvd premiere (2), internet (1)</t>
  </si>
  <si>
    <t>Stand by Me Doraemon</t>
  </si>
  <si>
    <t>tt3331846</t>
  </si>
  <si>
    <t>ja</t>
  </si>
  <si>
    <t>STAND BY ME ‚Äû√â√¢‚Äû√â¬©‚Äû√Ö√†‚Äû√á√á‚Äû√á√¨</t>
  </si>
  <si>
    <t>Sewashi and Doraemon find themselves way back in time and meet Nobita. It is up to Doraemon to take care of Nobita or else he will not return to the present.</t>
  </si>
  <si>
    <t>Is Doraemon ending this summer?</t>
  </si>
  <si>
    <t>Animation, Adventure, Science Fiction, Drama, Family, Fantasy</t>
  </si>
  <si>
    <t>toho, shirogumi, robot communications, shin-ei animation, fujiko productions, shogakukan, adk, tv asahi, shogakukan-shueisha productions, dentsu, asahi broadcasting corporation, nagoya broadcasting network, shuji abe office, kyushu asahi broadcasting, hokkaido television broadcasting, hiroshima home television</t>
  </si>
  <si>
    <t>Japan</t>
  </si>
  <si>
    <t>√ä√≥‚Ä¢√ä√∫¬®√ã‚Ñ¢√ª</t>
  </si>
  <si>
    <t>Aruno Tahara, Yumi Kakazu, Satoshi Tsumabuki, Sachi Matsumoto, Kotono Mitsuishi, Yasunori Matsumoto, Wataru Takagi, Tomokazu Seki, Vanilla Yamazaki, Megumi Oohara, Subaru Kimura, Shihoko Hagino, Miyako Takeuchi, Wasabi Mizuta</t>
  </si>
  <si>
    <t>Ryuichi Yagi, Takashi Yamazaki</t>
  </si>
  <si>
    <t>Takashi Yamazaki, Fujiko F. Fujio</t>
  </si>
  <si>
    <t>Shuji Abe, Shunsuke ‚àö√Ækura, Keiichiro Moriya, Takaaki Kabuto, Kyoko Shibuya, Yoshiaki It‚àö¬•, Michihiko Umezawa</t>
  </si>
  <si>
    <t>Naoki Sato</t>
  </si>
  <si>
    <t>/wc7XQbfx6EIQqCuvmBMt3aisb2Y.jpg</t>
  </si>
  <si>
    <t>stand by me doraemon</t>
  </si>
  <si>
    <t>blank (19), tokyo international film festival (1), brussels animation film festival (1), tv premiere (1), internet (10), re-release (1)</t>
  </si>
  <si>
    <t>Let's Be Cops</t>
  </si>
  <si>
    <t>tt1924435</t>
  </si>
  <si>
    <t>Best pals Ryan and Justin are stalled in their respective careers -- a fact that is painfully driven home when they go to a college reunion. Dressed as police in the mistaken belief that they were to attend a costume party, Ryan and Justin find that the uniforms earn them much respect and attention. Although Justin is uncomfortable with the idea, Ryan decides to continue with the charade, putting them both in increasingly dangerous situations. When these newly-minted ‚Äö√Ñ√∫heroes‚Äö√Ñ√π get tangled in a real life web of mobsters and dirty detectives, they must put their fake badges on the line.</t>
  </si>
  <si>
    <t>Fake Cops. Real Trouble.</t>
  </si>
  <si>
    <t>wideawake pictures, genre films, 20th century fox, tsg entertainment</t>
  </si>
  <si>
    <t>Jessica Luza, Patricia French, Nina Dobrev, Andy Garc‚àö‚â†a, Joshua Ormond, Skye P. Marshall, Jennifer Allison Chavez, Bob Jennings, Andrew Kochman, Daniel Parvis, Jason Pendergraft, Jamie Moore, Randy Havens, Adam Rosenberg, Allie O'Neill, Sal Verena, Briana Venskus, Wilson Schwarz, Matt Mangum, Jake Johnson, Ryan Girard, Courtney Patterson, Patch Darragh, Damon Wayans Jr., Rose Locke, Jennifer Stearns, Rico Ball, Michael Scialabba, Rebecca Koon, Corey James Wright, Katie Deal, Matthew Wiese, Brittany Susko, Colin Dennard, Dane Davenport, Americus Abesamis, Nelson Bonilla, Jamie Renell, Jackie Costello, Michael McCormick, Sam Medina, Chen Tang, Rebecca Galarza, Ted Huckabee, Marc Farley, Vickie Eng, Rob Riggle, Brian Oerly, Keegan-Michael Key, Antwan Mills, Desmond Phillips, Chelsea Hayes, Tom Mardirosian, James D'Arcy, Jeff Chase, Hoke Faser, Jwaundace Candece, Joy Glover Walters, Patricia Taylor, L. Warren Young, Jon Lajoie, Chas Harvey, Raven-Danielle Baker, Caroline Kiger, Michael Flores, Damon Sementilli, Angela Kerecz, Luke Greenfield, Kara Flowers, Alec Rayme, Elliott Dixon, Bill Pankow, Natasha Leggero, Mary Jo Catlett, Ron Caldwell, Justin Miles</t>
  </si>
  <si>
    <t>Luke Greenfield</t>
  </si>
  <si>
    <t>Daryn Okada</t>
  </si>
  <si>
    <t>Luke Greenfield, Nicholas Thomas</t>
  </si>
  <si>
    <t>Simon Kinberg, Jeremiah Samuels, Luke Greenfield, Nicholas Thomas, Aditya Sood</t>
  </si>
  <si>
    <t>Christophe Beck, Jake Monaco</t>
  </si>
  <si>
    <t>/pf4FoUr2phn5WyZjU7rLXSiW1Ve.jpg</t>
  </si>
  <si>
    <t>let's be cops</t>
  </si>
  <si>
    <t>hollywood, california (1), premiere (1), blank (73), dvd premiere (1), internet (1)</t>
  </si>
  <si>
    <t>The Giver</t>
  </si>
  <si>
    <t>tt0435651</t>
  </si>
  <si>
    <t>In a seemingly perfect community, without war, pain, suffering, differences or choice, a young boy is chosen to learn from an elderly man about the true pain and pleasure of the "real" world.</t>
  </si>
  <si>
    <t>Search for truth. Find freedom.</t>
  </si>
  <si>
    <t>Drama, Science Fiction</t>
  </si>
  <si>
    <t>the weinstein company, asis productions, tonik productions, walden media, yucaipa films</t>
  </si>
  <si>
    <t>Meganne Young, Meryl Streep, Odeya Rush, Saige Fernandes, Alexander Skarsg‚àö‚Ä¢rd, Katie Holmes, Emma Tremblay, Jaime Coue, Alexander Jillings, Renate Stuurman, Vaughn Lucas, Jefferson Mays, Taylor Swift, Jeff Bridges, Kira Wilkinson, Katharina Damm, John Whiteley, Brenton Thwaites, Cameron Monaghan, Thabo Rametsi, Jordan Nicholas Smal, Vanessa Cooke, James Jillings</t>
  </si>
  <si>
    <t>Phillip Noyce</t>
  </si>
  <si>
    <t>Ross Emery</t>
  </si>
  <si>
    <t>Lois Lowry, Michael Mitnick, Robert B. Weide</t>
  </si>
  <si>
    <t>Nikki Silver, Dylan Sellers, Ralph Winter, Bob Weinstein, Neil Koenigsberg, Harvey Weinstein, Jeff Bridges, Scooter Braun, Alison Owen</t>
  </si>
  <si>
    <t>Marco Beltrami</t>
  </si>
  <si>
    <t>/dul62Av4pgi5x8LP7ELHzNyka9Z.jpg</t>
  </si>
  <si>
    <t>the giver</t>
  </si>
  <si>
    <t>new york city, new york (1), premiere (1), blank (62), limited (1), internet (1), dvd premiere (1)</t>
  </si>
  <si>
    <t>As Above, So Below</t>
  </si>
  <si>
    <t>tt2870612</t>
  </si>
  <si>
    <t>When a team of explorers ventures into the uncharted maze of bones that lies beneath the streets of Paris, they embark on a journey into madness and terror.</t>
  </si>
  <si>
    <t>The only way out is down.</t>
  </si>
  <si>
    <t>Horror, Thriller</t>
  </si>
  <si>
    <t>brothers dowdle productions, legendary pictures</t>
  </si>
  <si>
    <t>Olivia Csiky Trnka, Aryan Rahimian, Samuel Aouizerate, Th‚àö¬©o Cholbi, Fran‚àö√üois Civil, Ben Feldman, Ali Marhyar, Cosme Castro, Hamid Djavadan, Roger Van Hool, Hellyette Bess, Edwin Hodge, Emy L‚àö¬©vy, Perdita Weeks, Marion Lambert, Kaya Blocksage</t>
  </si>
  <si>
    <t>John Erick Dowdle</t>
  </si>
  <si>
    <t>L‚àö¬©o Hinstin</t>
  </si>
  <si>
    <t>John Erick Dowdle, Drew Dowdle</t>
  </si>
  <si>
    <t>Jon Jashni, Patrick Aiello, Thomas Tull, Drew Dowdle</t>
  </si>
  <si>
    <t>Keefus Ciancia</t>
  </si>
  <si>
    <t>/oJZSajKLJkoTOzSZQN2ZwRnPwHZ.jpg</t>
  </si>
  <si>
    <t>as above, so below</t>
  </si>
  <si>
    <t>blank (60), limited (1), dvd premiere (2), dvd and blu-ray premiere (1), internet (3)</t>
  </si>
  <si>
    <t>Life After Beth</t>
  </si>
  <si>
    <t>tt2581244</t>
  </si>
  <si>
    <t>Zach is devastated by the unexpected death of his girlfriend, Beth. When she mysteriously returns, he gets a second chance at love. Soon his whole world turns upside down...</t>
  </si>
  <si>
    <t>Boy meets girl. Girl eats boy.</t>
  </si>
  <si>
    <t>Romance, Comedy, Horror</t>
  </si>
  <si>
    <t>abbolita productions, starstream entertainment, destro films, american zoetrope</t>
  </si>
  <si>
    <t>Garry Marshall, Zo‚àö¬¥ Worth, Keedar Whittle, Elizabeth Jayne Stillwell, Allan McLeod, John C. Reilly, Jim O'Heir, Brian Groh, Peggy Miley, Rob Delaney, Eva La Dare, Adam Pally, Aubrey Plaza, Bechir Sylvain, Dane DeHaan, Bonnie Burroughs, Chloe Searcy, Eileen Finizza, Matthew Gray Gubler, Bud Sabatino, Paul Reiser, Anna Kendrick, Paul Weitz, Cheryl Hines, Michelle Azar, Jenna Nye, Molly Shannon, David Dustin Kenyon</t>
  </si>
  <si>
    <t>Jeff Baena</t>
  </si>
  <si>
    <t>Jay Hunter</t>
  </si>
  <si>
    <t>Tim Nye, Courtney Kivowitz, Wendy Benge, Kim Leadford, Brent Romagnolo, Elizabeth Destro, Michael Zakin, Elizabeth Jayne Stillwell, Charles Sauveur Bonan, Christopher Herghelegiu, Daniel McCarney, Brian Young</t>
  </si>
  <si>
    <t>Robert Levon Been, Leah Shapiro, Peter Hayes</t>
  </si>
  <si>
    <t>/4ZQ8LoU9SwSxSrmc3aOtHmruk26.jpg</t>
  </si>
  <si>
    <t>life after beth</t>
  </si>
  <si>
    <t>sundance film festival (1), shanghai international film festival (1), edinburgh international film festival (1), internet (2), fantasia international film festival (1), new zealand international film festival (1), limited (2), fantasy filmfest (1), blank (7), motelx - lisbon international horror film festival (1), utopia film festival (1), sundance hong kong selects (1), grimmfest international festival of fantastic film (1), saskatoon fantastic film festival (1), dvd premiere (6), taipei golden horse film festival (1), torino film festival (1), imagine film festival (1), stockholm filmfestival junior (1), dvd and blu-ray premiere (1)</t>
  </si>
  <si>
    <t>Sin City: A Dame to Kill For</t>
  </si>
  <si>
    <t>tt0458481</t>
  </si>
  <si>
    <t>Some of Sin City's most hard-boiled citizens cross paths with a few of its more reviled inhabitants.</t>
  </si>
  <si>
    <t>There is no justice without sin.</t>
  </si>
  <si>
    <t>Action, Crime, Thriller</t>
  </si>
  <si>
    <t>residaco, miramax, troublemaker studios, aldamisa entertainment, demarest films, solipsist film, ar films</t>
  </si>
  <si>
    <t>Christopher Meloni, Jaime King, Jeremy Piven, Tommy Townsend, Stacy Keach, Lady Gaga, Marton Csokas, Julia Garner, Jamie Chung, Bob Schreck, Luis Albert Acevedo Jr., Alejandro Rose-Garcia, Bruce Willis, Vincent Fuentes, Christopher Lloyd, Emmy Robbin, Mike Davis, Dimitrius Pulido, Gregory Kelly, Jessica Alba, Johnny Reno, Alcides Dias, Greg Ingram, Rob Franco, Joseph Gordon-Levitt, Juno Temple, Mickey Rourke, Eva Green, Dennis Haysbert, Will Beinbrink, Robert Rodriguez, Robert Lott, Bart Fletcher, Samuel Davis, Jimmy Gonz‚àö¬∞les, Ray Liotta, John Wirt, Alexa PenaVega, Kea Ho, Powers Boothe, Patrick Sane, Josh Brolin, Daylon Walton, Patricia Vonne, Billy Blair, Eloise DeJoria, Christian Bowman, Callie Hernandez, Rosario Dawson, Kimberly Cox, Lawrence Varnado, Jude Ciccolella</t>
  </si>
  <si>
    <t>Frank Miller, Robert Rodriguez</t>
  </si>
  <si>
    <t>Robert Rodriguez</t>
  </si>
  <si>
    <t>Frank Miller</t>
  </si>
  <si>
    <t>Sergey Bespalov, Bob Weinstein, Harvey Weinstein, Aaron Kaufman, Stephen L'Heureux, Alexander Rodnyansky, Mark C. Manuel, Robert Rodriguez, Frank Miller</t>
  </si>
  <si>
    <t>Robert Rodriguez, Carl Thiel</t>
  </si>
  <si>
    <t>/50kALxDX4mmzIRljbNbPY0u4cie.jpg</t>
  </si>
  <si>
    <t>sin city: a dame to kill for</t>
  </si>
  <si>
    <t>los angeles, california (1), premiere (1), blank (72), london (1), limited (1), internet (1), dvd premiere (1)</t>
  </si>
  <si>
    <t>If I Stay</t>
  </si>
  <si>
    <t>tt1355630</t>
  </si>
  <si>
    <t>Mia Hall, a talented young cellist, thought the most difficult decision she would ever have to make would be whether to pursue her musical dreams at prestigious Juilliard or follow her heart to be with the love of her life, Adam, a rock singer/guitarist. However, a car wreck changes everything in an instant, and now Mia's life hangs in the balance. Suspended between life and death, Mia faces a choice that will decide her future.</t>
  </si>
  <si>
    <t>Live for Love.</t>
  </si>
  <si>
    <t>Drama</t>
  </si>
  <si>
    <t>new line cinema, metro-goldwyn-mayer, di novi pictures, warner bros. pictures</t>
  </si>
  <si>
    <t>Ali Milner, Ben Klassen, Jakob Davies, Chlo‚àö¬¥ Grace Moretz, Camille Atebe, John Shaw, Jameson Trenholm, Michael Adamthwaite, Christine Willes, Alisa Weilerstein, Brett Wise, Jessica Rotter, John Emmet Tracy, Donnie MacNeil, Arielle Tuliao, Mireille Enos, Joshua Leonard, Steven Jeays, Jamie Blackley, Giles Panton, William Vaughan, Toby Hargrave, Liana Liberato, David Orth, Chelah Horsdal, Genevieve Buechner, Stacy Keach, Dave Collette, Sylvesta Stuart, Gabrielle Cerys Haslett, Tony Dubroy, Adam Solomonian, Ryan Stephenson, Tom Vanderkam, Lauren Lee Smith, Aisha Hinds, Paul Jarrett, Primo Allon, Gabrielle Rose, Aliyah O'Brien, Boyd Ferguson, Sarah Grey, Annabel Kershaw, Elisa King</t>
  </si>
  <si>
    <t>R. J. Cutler</t>
  </si>
  <si>
    <t>John de Borman</t>
  </si>
  <si>
    <t>Shauna Cross, Gayle Forman</t>
  </si>
  <si>
    <t>Brad Van Arragon, Denise Di Novi, Gayle Forman, Alison Greenspan</t>
  </si>
  <si>
    <t>Heitor Pereira</t>
  </si>
  <si>
    <t>/7Twh8h3Wh7GC9npTAEUThgkxkWL.jpg</t>
  </si>
  <si>
    <t>if i stay</t>
  </si>
  <si>
    <t>new york city, new york (1), premiere (2), los angeles, california (1), blank (62), german speaking region (1)</t>
  </si>
  <si>
    <t>Wild Tales</t>
  </si>
  <si>
    <t>tt3011894</t>
  </si>
  <si>
    <t>Relatos salvajes</t>
  </si>
  <si>
    <t>Injustice and the demands of the world can cause stress for many people. Some of them, however, explode. This includes a waitress serving a grouchy loan shark, an altercation between two motorists, an ill-fated wedding reception, and a wealthy businessman who tries to buy his family out of trouble.</t>
  </si>
  <si>
    <t>We can all lose control</t>
  </si>
  <si>
    <t>Drama, Thriller, Comedy</t>
  </si>
  <si>
    <t>el deseo, k &amp; s films, telefe, incaa</t>
  </si>
  <si>
    <t>Argentina, Spain, France, United Kingdom</t>
  </si>
  <si>
    <t>Espa‚àö¬±ol</t>
  </si>
  <si>
    <t>Pablo Chao, M‚àö‚â•nica Villa, Alfonso Grispino, Horacio Vay, Paula Grinszpan, Mart‚àö‚â†n Gervasoni, Camila Franco, Abi‚àö¬∞n Vainstein, Miguel ‚àö√Öngel Platinado Grando, Walter Donado, Mar‚àö‚â†a Rosa L‚àö‚â•pez Ottonello, Horacio Nin Uria, Diego Vel‚àö¬∞zquez, Daniel Merwicer, Victoria Rolando Gonz‚àö¬∞lez, Fiorella Pedrazzini, Julieta Zylberberg, Alejandro Angelini, Ricardo Dar‚àö‚â†n, Pablo Moseinco, Camila Sof‚àö‚â†a Casas, ‚àö√Öngel Frega, Claudio Delan, Leonardo Sbaraglia, ‚àö√¢rica Rivas, H‚àö¬©ctor Drachtman, Rita Cortese, Diego Starosta, Mariano Sigman, Pablo Machado, Liliana Weimer, Oscar Mart‚àö‚â†nez, Federico Liss, Mar‚àö‚â†a Marull, Alan Daicz, Juan Pablo Colombo, Marcelo Pozzi, Javier Pedersoli, Margarita Molfino, Lucrecia Gelardi, Cristina Blanco, Noem‚àö‚â† Ron, Ramiro Vayo, Miguel Di Lemme, Carlos Alberto Vavassori, Carlos Moy‚àö¬∞, Osmar N‚àö‚à´‚àö¬±ez, Mar‚àö‚â†a Onetto, Lucila Mangone, Andrea Garrote, Marcelo Frasca, Juan Santiago Linari, Diego Gentile, Graciela Fodrini, Ricardo Truppel, Luis Mazzeo, Gustavo Bonfigli, Dar‚àö‚â†o Grandinetti, C‚àö¬©sar Bord‚àö‚â•n, Mar‚àö‚â†a Laura Caccamo, Germ‚àö¬∞n de Silva, Nancy Dupl‚àö¬∞a</t>
  </si>
  <si>
    <t>Dami‚àö¬∞n Szifron</t>
  </si>
  <si>
    <t>Javier Julia</t>
  </si>
  <si>
    <t>Pedro Almod‚àö‚â•var, Agust‚àö‚â†n Almod‚àö‚â•var, Matias Mosteirin, Leticia Cristi, Pola Zito, Hugo Sigman, Esther Garc‚àö‚â†a</t>
  </si>
  <si>
    <t>Gustavo Santaolalla</t>
  </si>
  <si>
    <t>/ucFsh8uU0Lsw7zouQFaRrs2ElOs.jpg</t>
  </si>
  <si>
    <t>wild tales</t>
  </si>
  <si>
    <t>cannes film festival (1), paris cin√©ma (1), karlovy vary international film festival (1), new horizons film festival (1), new zealand international film festival (2), two riversides film and art festival (1), blank (46), sarajevo film festival (1), telluride film festival (1), toronto international film festival (1), film by the sea film festival (1), athens film festival (1), cinefest sudbury international film festival (1), donostia-san sebasti√°n international film festival (1), hamburg film festival (1), edmonton international film festival (1), vancouver international film festival (1), sitges film festival (1), bfi london film festival (1), s√£o paulo international film festival (1), morelia international film festival (1), kaohsiung film festival (1), filmcolumbia festival (1), arras film festival (1), afi fest (1), sarlat film festival (1), tallinn black nights film festival (1), morbido film fest (1), brighton film festival (1), dubai international film festival (1), palm springs international film festival (2), sundance film festival (1), g√∂teborg film festival (1), limited (3), glasgow film festival (1), belgrade film festival (1), pantalla pinamar festival (1), international film festival vilnius (1), beijing international film festival (1), skopje film festival (1), shanghai international film festival (1), blu-ray release (1), bengaluru international film festival (1), dvd premiere (1), re-release (2)</t>
  </si>
  <si>
    <t>The Prince</t>
  </si>
  <si>
    <t>tt1085492</t>
  </si>
  <si>
    <t>A family man who turns out to be a retired mob enforcer must travel across the country to find his daughter who has gone missing.</t>
  </si>
  <si>
    <t>Mercy is for the Weak</t>
  </si>
  <si>
    <t>Thriller, Action</t>
  </si>
  <si>
    <t>efo films, aperture entertainment, grindstone entertainment group</t>
  </si>
  <si>
    <t>South Korea, United States of America</t>
  </si>
  <si>
    <t>Jason Patric, Natalie Light, Tim Fields, Andr‚àö¬©a Burns, Johnathon Schaech, 50 Cent, John Cusack, Tyler Jon Olson, Jim Bennett, Pak Ho-Sung, Tara Holt, Martin Blencowe, Andrew Wert, Jesse Pruett, Didi Costine, David Gordon, Bonnie Somerville, Bruce Willis, Jessica Lowndes, Jonathan Carkeek, Danielle Phelan, Gia Mantegna, Don Harvey, Rain, Courtney Blythe Turk, Jay Oringer</t>
  </si>
  <si>
    <t>Brian A. Miller</t>
  </si>
  <si>
    <t>Yaron Levy</t>
  </si>
  <si>
    <t>Andre Fabrizio, Jeremy Passmore</t>
  </si>
  <si>
    <t>Brandt Andersen, Montgomery Blencowe, George Furla, Barry Brooker, Michael Blencowe, Viviana Zarragoitia, Fred Song, Stephen J. Eads, Pak Ho-Sung, Tarek Anthony Jabre, Patricia Eberle, Mark Stewart, Randall Emmett, Ted Fox, Stan Wertlieb</t>
  </si>
  <si>
    <t>Andrew Grush, Taylor Stewart</t>
  </si>
  <si>
    <t>/22b2fmxhZveWSyWkgUz2y94fp3w.jpg</t>
  </si>
  <si>
    <t>the prince</t>
  </si>
  <si>
    <t>blank (17), dvd premiere (9), limited (2), dvd and blu-ray premiere (3), tv premiere (1), internet (1)</t>
  </si>
  <si>
    <t>The November Man</t>
  </si>
  <si>
    <t>tt2402157</t>
  </si>
  <si>
    <t>An ex-CIA operative is brought back in on a very personal mission and finds himself pitted against his former pupil in a deadly game involving high level CIA officials and the Russian president-elect.</t>
  </si>
  <si>
    <t>A spy is never out of the game.</t>
  </si>
  <si>
    <t>Crime, Action, Thriller</t>
  </si>
  <si>
    <t>spd films, relativity media, irish dreamtime</t>
  </si>
  <si>
    <t>Chad Z. King, Will Patton, Nina Jankovi∆í√°, Nina Lazarevic, Olga Kurylenko, Petar Ben∆í√ßina, Eliza Taylor, Dragan Marinkovi∆í√° 'Maca', Neboj‚âà¬∞a ∆í√™or∆í√´evi∆í√°, Milo‚âà¬∞ Timotijevi∆í√°, Ben Dimmock, Mark Mottram, Lazar Ristovski, Radoje Jeli∆í√°, Yulia Martynyuk, Patrick Kennedy, Marija Daki∆í√°, Pierce Brosnan, Milutin Milo‚âà¬∞evi∆í√°, Caterina Scorsone, Miodrag Stojanovi∆í√°, Greg De Cuir, Akie Kotabe, Nina Mr∆í√´a, Jadranka Bugarski, Ilija Labalo, Amila Terzimehi∆í√°, Marko Markovi∆í√°, Bill Smitrovich, Tara Jevrosimovi∆í√°, Luke Bracey, Justin Chapman, Dragan Dvojakovi∆í√°, Ben Willens, Tijana Plemi∆í√°, Dragana Atlija, Steve Shapiro, Mediha Musliovi∆í√°</t>
  </si>
  <si>
    <t>Roger Donaldson</t>
  </si>
  <si>
    <t>Romain Lacourbas</t>
  </si>
  <si>
    <t>Karl Gajdusek, Michael Finch</t>
  </si>
  <si>
    <t>Sriram Das, Vishal Rungta, Alan Pao, Kevin Scott Frakes, Kevan Van Thompson, Scott Fischer, Brandt Andersen, Pierce Brosnan, Ryan Kavanaugh, Myles Nestel, Kevin Robledo, Corey Large, Beau St. Clair, Stepan Martirosyan, Ankur Rungta, Haroon Saleem, Raj Brinder Singh, Grant Cramer, Remington Chase</t>
  </si>
  <si>
    <t>/4ejNFbCgLMDAuy7jFQmc7cr6UAW.jpg</t>
  </si>
  <si>
    <t>the november man</t>
  </si>
  <si>
    <t>los angeles, california (1), premiere (1), blank (51), fantasy filmfest (1), internet (1), deauville american cinema festival (1), busan international film festival (1), dvd premiere (2), dvd and blu-ray premiere (1), tv release (1)</t>
  </si>
  <si>
    <t>Predestination</t>
  </si>
  <si>
    <t>tt2397535</t>
  </si>
  <si>
    <t>Predestination chronicles the life of a Temporal Agent sent on an intricate series of time-travel journeys designed to prevent future killers from committing their crimes. Now, on his final assignment, the Agent must stop the one criminal that has eluded him throughout time and prevent a devastating attack in which thousands of lives will be lost.</t>
  </si>
  <si>
    <t>To save the future he must reshape the past.</t>
  </si>
  <si>
    <t>Science Fiction, Thriller</t>
  </si>
  <si>
    <t>screen queensland, screen australia, blacklab entertainment, wolfhound pictures</t>
  </si>
  <si>
    <t>Tyler Coppin, Sophie Cusworth, Katie Avram, Aria Taylor, Marky Lee Campbell, Carmen Warrington, Paul Moder, Christina Tan, Giordano Gangl, David Rock, Felicity Steel, Michael Norman, Raj Sidhu, Lucinda Armstrong Hall, Emily Coupe, Christopher Kirby, Jim Knobeloch, Rob Jenkins, Noel Herriman, Ruby Simmonds, Madeleine West, Charlie Alexander-Powell, Smith Alexander-Powell, Richard Whybrow, Sarah Snook, Freya Stafford, Grant Piro, Alexis Fernandez, Christopher Stollery, Ben Prendergast, Alicia Pavlis, Vanessa Crouch, Jamie Gleeson, Madeleine Dixon, Kristen Norman, Arielle O'Neill, Rebecca Cullinan, Elise Jansen, Christopher Bunworth, Ewa Bartecki, Ethan Hawke, Maja Sarosiek, Carolyn Shakespeare-Allen, Sophie Van Den Akker, Kuni Hashimoto, Ray Tiernan, Dick York, Dennis Coard, Steven Carroll, Louise Talmadge, Milla Simmonds, Annabelle Norman, Tony Nikolakopoulos, Noah Taylor, Sharon Kershaw, Hayley Butcher, Finegan Sampson, Grant Carter, Burcin Eser, Christopher Sommers, Melissa Avram, Kristie Jandric, Olivia Sprague, Scott Norman, Emma Bosworth, Monique Heath, Cate Wolfe, Sara El-Yafi, Eliza Matengu</t>
  </si>
  <si>
    <t>Michael Spierig, Peter Spierig</t>
  </si>
  <si>
    <t>Ben Nott</t>
  </si>
  <si>
    <t>Michael Spierig, Peter Spierig, Robert A. Heinlein</t>
  </si>
  <si>
    <t>Gary Hamilton, James M. Vernon, Peter Spierig, Michael Burton, Paddy McDonald, Michael Spierig, Matt Kennedy, Tim McGahan</t>
  </si>
  <si>
    <t>Peter Spierig</t>
  </si>
  <si>
    <t>/38Xr1JnV1ZcLQ55zmdSp6n475cZ.jpg</t>
  </si>
  <si>
    <t>predestination</t>
  </si>
  <si>
    <t>south by southwest film festival (1), blank (21), shanghai international film festival (1), fantasia international film festival (1), melbourne international film festival (1), lund fantastisk film festival (1), mix copenhagen (1), monsters of film, stockholm (1), gent international film festival (1), toronto after dark film festival (1), trieste science+fiction festival (1), paris international fantastic film festival (1), dvd premiere (8), dvd and blu-ray premiere (2), blu-ray release (2), blu-ray premiere (1), tv release (1), barcelona (1), subtitled version (1), premiere (1), internet (2), cine universitario (1), tv premiere (1)</t>
  </si>
  <si>
    <t>Before I Go to Sleep</t>
  </si>
  <si>
    <t>tt1726592</t>
  </si>
  <si>
    <t>A woman wakes up every day, remembering nothing as a result of a traumatic accident in her past. One day, new terrifying truths emerge that force her to question everyone around her.</t>
  </si>
  <si>
    <t>Who do you trust?</t>
  </si>
  <si>
    <t>Thriller, Mystery</t>
  </si>
  <si>
    <t>studiocanal, scott free productions, clarius entertainment, filmgate films, millennium media, film i v‚àö¬ßst</t>
  </si>
  <si>
    <t>France, Sweden, United Kingdom, United States of America</t>
  </si>
  <si>
    <t>Nick Turner, Mark Strong, Anne-Marie Duff, Flynn MacArthur, Samantha Kelly, Llewella Gideon, Steve Munroe, Gabriel Strong, Jing Lusi, Ben Crompton, Rosie MacPherson, Adam Levy, Kevin Hudson, Dean-Charles Chapman, Colin Firth, Nicole Kidman</t>
  </si>
  <si>
    <t>Rowan Joff‚àö¬©</t>
  </si>
  <si>
    <t>Ben Davis</t>
  </si>
  <si>
    <t>Rowan Joff‚àö¬©, S.J. Watson</t>
  </si>
  <si>
    <t>Boaz Davidson, Carlo Dusi, Liza Marshall, Avi Lerner, Jenny Borgars, Matthew O'Toole, Kristina Dubin, Danny Perkins, Trevor Short, Ridley Scott, Lonnie Ramati, Mark Gill</t>
  </si>
  <si>
    <t>Edward Shearmur</t>
  </si>
  <si>
    <t>/1sSWpTupVixOanIpZdLGzsKvcZS.jpg</t>
  </si>
  <si>
    <t>before i go to sleep</t>
  </si>
  <si>
    <t>london (1), premiere (1), blank (53), deauville film festival (1), limited (2), dvd premiere (1), video premiere (1), beijing international film festival (1), dvd and blu-ray premiere (1), tv premiere (1)</t>
  </si>
  <si>
    <t>The Guest</t>
  </si>
  <si>
    <t>tt2980592</t>
  </si>
  <si>
    <t>A soldier introduces himself to the Peterson family, claiming to be a friend of their son who died in action. After the young man is welcomed into their home, a series of accidental deaths seem to be connected to his presence.</t>
  </si>
  <si>
    <t>Be careful who you let in.</t>
  </si>
  <si>
    <t>Mystery, Thriller, Action</t>
  </si>
  <si>
    <t>hanway films, snoot entertainment</t>
  </si>
  <si>
    <t>United States of America, United Kingdom</t>
  </si>
  <si>
    <t>Joel David Moore, Leland Orser, Brendan Meyer, Kelsey Leos Montoya, Frank Bond, Maika Monroe, Ethan Embry, Mike Miller, Brenden Wedner, Justin Ramsey, Katie Anne Mitchell, Steven John Brown, Darlene Kellum, Vanessa Torres, Alex Knight, Tina Borek, Tyler Riegleman, Jesse Luken, Candice Patton, Lance Reddick, AJ Bowen, Justin Yu, Dan Stevens, Lonnie Lane, Chase Williamson, Tabatha Shaun, J. Nathan Simmons, Nancy Jeris, Matthew Page, Chris Ellis, Sheila Kelley</t>
  </si>
  <si>
    <t>Adam Wingard</t>
  </si>
  <si>
    <t>Robby Baumgartner</t>
  </si>
  <si>
    <t>Simon Barrett</t>
  </si>
  <si>
    <t>Jessica Wu, Keith Calder, Simon Barrett</t>
  </si>
  <si>
    <t>Steve Moore</t>
  </si>
  <si>
    <t>/8hGMD8PhOJrzkew0RZyOWqDhGJR.jpg</t>
  </si>
  <si>
    <t>the guest</t>
  </si>
  <si>
    <t>internet (5), sundance film festival (1), south by southwest film festival (1), blank (12), motelx - lisbon international horror film festival (1), toronto international film festival (1), limited (2), lund fantastisk film festival (1), toronto (1), night visions film festival (1), windsor international film festival (1), torino film festival (1), dvd premiere (9), dvd and blu-ray premiere (4), blu-ray premiere (1), madrid (1), premiere (1), fantasy filmfest (1), tv premiere (1), imagine film festival (1), subtitled version (1), technical release (1), melbourne international film festival (1), tv release (3), blu-ray release (1)</t>
  </si>
  <si>
    <t>Black or White</t>
  </si>
  <si>
    <t>tt2883434</t>
  </si>
  <si>
    <t>A grieving widower is drawn into a custody battle over his granddaughter, whom he helped raise her entire life.</t>
  </si>
  <si>
    <t>There's more to family than what you see.</t>
  </si>
  <si>
    <t>im global, treehouse films, sunlight productions, venture forth</t>
  </si>
  <si>
    <t>Janet Lynn Carey, Bill Burr, Ireyon Johnson, Lindsey G. Smith, Ronnie Hooks, Indigo, Kevin Costner, Mpho Koaho, Claire McReynolds, David Jensen, Kenneth Kynt Bryan, Jillian Estell, Jennifer Ehle, John McConnell, Sadarias Harrell, Andr‚àö¬© Holland, Bertha Bindewald, Janeline Hayes, Mark Kroner, Lily Costner, Ernest Wells, Gillian Jacobs, Anthony Mackie, Angela Jones, Robert Larriviere, Lola Phillips, Joe Chrest, Joseph Fischer, Octavia Spencer, Paula Newsome</t>
  </si>
  <si>
    <t>Mike Binder</t>
  </si>
  <si>
    <t>Todd Lewis, Kevin Costner, Mike Binder</t>
  </si>
  <si>
    <t>Terence Blanchard</t>
  </si>
  <si>
    <t>/hOxxudUwgh5KGC7LtxDCkkwn1YP.jpg</t>
  </si>
  <si>
    <t>black or white</t>
  </si>
  <si>
    <t>toronto international film festival (1), mill valley film festival (1), new orleans film festival (1), rome film festival (1), napa valley film festival (1), limited (3), blank (11), dvd premiere (4), dvd and blu-ray premiere (1), digital platforms (1)</t>
  </si>
  <si>
    <t>Cake</t>
  </si>
  <si>
    <t>tt3442006</t>
  </si>
  <si>
    <t>After having visions of a member of her support group who killed herself, a woman who also suffers with chronic pain seeks out the widower of the suicide.</t>
  </si>
  <si>
    <t>Forgiveness is a bitter pill to swallow.</t>
  </si>
  <si>
    <t>we're not brothers productions, cinelou films, echo films</t>
  </si>
  <si>
    <t>Rose Abdoo, Misty Upham, Julio Oscar Mechoso, Britt Robertson, Evan O'Toole, Anna Kendrick, Chris Messina, Ashley Crow, Mamie Gummer, Camille Mana, Alma Martinez, Felicity Huffman, Paula Cale, Robert Zimiga, Sam Worthington, Lucy Punch, Andrew Elvis Miller, Allen Maldonado, Laura Putney, William H. Macy, Jennifer Aniston, Pepe Serna, Manuel Garcia-Rulfo, Camille Guaty, Lizzie Peet, Louie Novoa, Adriana Barraza</t>
  </si>
  <si>
    <t>Daniel Barnz</t>
  </si>
  <si>
    <t>Rachel Morrison</t>
  </si>
  <si>
    <t>Patrick Tobin</t>
  </si>
  <si>
    <t>Ben Barnz, Courtney Solomon, Kristin Hahn, Mark Canton, Shyam Madiraju, Jennifer Aniston</t>
  </si>
  <si>
    <t>Christophe Beck</t>
  </si>
  <si>
    <t>/5GJEZovjtKisJxNMG6fBTCxNzZi.jpg</t>
  </si>
  <si>
    <t>cake</t>
  </si>
  <si>
    <t>toronto international film festival (1), limited (2), blank (19), g√∂teborg film festival (1), taipei golden horse fantastic film festival (1), dvd premiere (5), shanghai international film festival (1), dvd and blu-ray premiere (1), tv release (1), internet (1)</t>
  </si>
  <si>
    <t>My Old Lady</t>
  </si>
  <si>
    <t>tt2908856</t>
  </si>
  <si>
    <t>Mathias Gold is a down-on-his-luck New Yorker who inherits a Parisian apartment from his estranged father. But when he arrives in France to sell the vast domicile, he's shocked to discover a live-in tenant who is not prepared to budge. His apartment is a viager‚Äö√Ñ√Æan ancient French real estate system with complex rules pertaining to its resale‚Äö√Ñ√Æand the feisty Englishwoman Mathilde Girard, who has lived in the apartment with her daughter Chlo‚àö¬© for many years, can by contract collect monthly payments from Mathias until her death.</t>
  </si>
  <si>
    <t>He's in the will. She's in the way.</t>
  </si>
  <si>
    <t>Romance, Comedy, Drama</t>
  </si>
  <si>
    <t>deux chevaux films, cohen media group, bbc film, krasnoff / foster entertainment, protagonist pictures</t>
  </si>
  <si>
    <t>France, United Kingdom, United States of America</t>
  </si>
  <si>
    <t>Maggie Smith, Michael Burstin, St‚àö¬©phane De Groodt, Elie Wajeman, Kristin Scott Thomas, Dominique Pinon, Kevin Kline, St‚àö¬©phane Freiss, No‚àö¬©mie Lvovsky</t>
  </si>
  <si>
    <t>Israel Horovitz</t>
  </si>
  <si>
    <t>Michel Amathieu</t>
  </si>
  <si>
    <t>Daniel Battsek, Mike Goodridge, Rapha‚àö¬¥l Benoliel, Russ Krasnoff, Christine Langan, Joe Oppenheimer, Israel Horovitz, David C. Barrot, Charles S. Cohen, Nitsa Benchetrit, Gary Foster, Rachael Horovitz</t>
  </si>
  <si>
    <t>Mark Orton</t>
  </si>
  <si>
    <t>/hPLAUrmJkXdv1sEtIqk9EwXvmbH.jpg</t>
  </si>
  <si>
    <t>my old lady</t>
  </si>
  <si>
    <t>limited (2), cinefest sudbury international film festival (1), aspen film festival (1), zurich film festival (1), blank (26), bfi london film festival (1), abu dhabi film festival (1), jewish film festival (1), windsor international film festival (1), leiden international film festival (1), bath film festival (1), leeds international film festival (1), dvd and blu-ray premiere (1)</t>
  </si>
  <si>
    <t>No Good Deed</t>
  </si>
  <si>
    <t>tt2011159</t>
  </si>
  <si>
    <t>Terri is a devoted wife and mother of two, living an ideal suburban life in Atlanta when Colin, a charming but dangerous escaped convict, shows up at her door claiming car trouble. Terri offers her phone to help him but soon learns that no good deed goes unpunished as she finds herself fighting for survival when he invades her home and terrorizes her family.</t>
  </si>
  <si>
    <t>First he gets into your house. Then he gets into your head.</t>
  </si>
  <si>
    <t>Crime, Thriller</t>
  </si>
  <si>
    <t>Henry Simmons, Ron Goss, Stacey Turner, Wilbur Fitzgerald, Dolan Wilson, Gregory Marshall Smith, Leon Lamar, Idris Elba, Gregory Cook, Mirage Moonschein, Bryce Durfee, Bobbie Elzey, Kate del Castillo, Brianna Slate, Kelly O'Neal, Mark Rhino Smith, Tatom Pender, Frank Brennan, Serrell K. Rollins, Dan Caudill, Leslie Bibb, Taraji P. Henson, Kenny Alfonso</t>
  </si>
  <si>
    <t>Sam Miller</t>
  </si>
  <si>
    <t>Michael Barrett</t>
  </si>
  <si>
    <t>Aimee Lagos</t>
  </si>
  <si>
    <t>Will Packer, Rob Hardy, Aimee Lagos, Idris Elba, Glenn S. Gainor, Lindsay Williams, Taraji P. Henson, Ellen Goldsmith-Vein, Lee Clay</t>
  </si>
  <si>
    <t>Paul Haslinger</t>
  </si>
  <si>
    <t>/wcDLqCS70LsPcovieuQrb311Qr1.jpg</t>
  </si>
  <si>
    <t>no good deed</t>
  </si>
  <si>
    <t>blank (27), dvd premiere (5), dvd and blu-ray premiere (1), qualite fantastic cinema collection (1), tv release (2), tv premiere (1)</t>
  </si>
  <si>
    <t>The Boxtrolls</t>
  </si>
  <si>
    <t>tt0787474</t>
  </si>
  <si>
    <t>An orphaned boy raised by underground creatures called Boxtrolls comes up from the sewers and out of his box to save his family and the town from the evil exterminator, Archibald Snatcher.</t>
  </si>
  <si>
    <t>Heroes come in all shapes and sizes... even rectangles.</t>
  </si>
  <si>
    <t>Animation, Comedy, Family, Fantasy</t>
  </si>
  <si>
    <t>laika</t>
  </si>
  <si>
    <t>Dee Bradley Baker, Maurice LaMarche, Ben Kingsley, Isaac Hempstead Wright, Nick Frost, Max Mitchell, Laraine Newman, Reckless Jack, James Urbaniak, Richard Ayoade, Lori Tritel, Tracy Morgan, Nika Futterman, Fred Tatasciore, Pat Fraley, Toni Collette, Jared Harris, Brian George, Elle Fanning, Steve Blum, Simon Pegg</t>
  </si>
  <si>
    <t>Anthony Stacchi, Graham Annable</t>
  </si>
  <si>
    <t>John Ashlee Prat</t>
  </si>
  <si>
    <t>Anthony Stacchi, Alan Snow, Phil Dale, Irena Brignull, Adam Pava</t>
  </si>
  <si>
    <t>David Bleiman Ichioka, Travis Knight</t>
  </si>
  <si>
    <t>/npBf0yc5Gt7aAyyVOcYtFyT2IPa.jpg</t>
  </si>
  <si>
    <t>the boxtrolls</t>
  </si>
  <si>
    <t>venice film festival (1), blank (72), los angeles, california (1), premiere (1), tehran (1), morbido film fest (1), tokyo (1), dvd and blu-ray premiere (1)</t>
  </si>
  <si>
    <t>The Maze Runner</t>
  </si>
  <si>
    <t>tt1790864</t>
  </si>
  <si>
    <t>A teenager with no memory of his past finds himself among a group of boys living in a walled enclosure surrounded by a massive, ever-changing maze. As he struggles to adapt to their rules and society, he begins to uncover clues that may lead to escape and the truth behind their confinement.</t>
  </si>
  <si>
    <t>Get ready to run.</t>
  </si>
  <si>
    <t>Action, Mystery, Science Fiction, Thriller</t>
  </si>
  <si>
    <t>ingenious media, the gotham group, dayday films, temple hill entertainment, tsg entertainment, 20th century fox</t>
  </si>
  <si>
    <t>Joe Adler, James Dashner, Travis Michael Myers, Patricia Clarkson, Blake Cooper, Andrew Varenhorst, Janet L'Aube, Tommy Sheppard, Adriana Acosta, Zach Nichols, Tony Vo, Sheldon Maurer, Kaya Scodelario, Bryce Romero, Dylan Gaspard, Aml Ameen, Lester Millet, Randall D. Cunningham, Sawyer Pierce, John Langston, Cory Gooding, Johnny Stockwell, Michael Deville, McKenna Pippen, Giovanni Silva, Nick Killebrew, Kin-Lam Chan, Chris Sheffield, Will Poulter, Carol Jean Wells, Tyler Harrison, Dexter Darden, Cazi Greene, Chad Martinez, Michael Bow, Gary Hood, Weston Rachal, SanChavis Torns, Duane Cothren, Dylan O'Brien, Ki Hong Lee, Nicolas Stan, Gustavo I. Ortiz, Landon Hazel, Jacob Latimore, Mark Gibson, Alexander Flores, Adrian Acosta, Seth Nichols, Don McManus, Thomas Brodie-Sangster, Lane Westerhaus, Jeff Wiesen, Darryl Harvey, Jerry Clark, Dustin Guitreau, Gentry Williams, Jacob Deville</t>
  </si>
  <si>
    <t>Wes Ball</t>
  </si>
  <si>
    <t>Enrique Chediak</t>
  </si>
  <si>
    <t>Noah Oppenheim, T.S. Nowlin, James Dashner, Grant Pierce Myers</t>
  </si>
  <si>
    <t>Ellen Goldsmith-Vein, Lindsay Williams, Lee Stollman, Eddie Gamarra, Marty Bowen, Wyck Godfrey, Joe Hartwick Jr.</t>
  </si>
  <si>
    <t>John Paesano</t>
  </si>
  <si>
    <t>/ode14q7WtDugFDp78fo9lCsmay9.jpg</t>
  </si>
  <si>
    <t>the maze runner</t>
  </si>
  <si>
    <t>blank (100), buenos aires (1), premiere (1), internet (1)</t>
  </si>
  <si>
    <t>This Is Where I Leave You</t>
  </si>
  <si>
    <t>tt1371150</t>
  </si>
  <si>
    <t>When their father passes away, four grown, world-weary siblings return to their childhood home and are requested -- with an admonition -- to stay there together for a week, along with their free-speaking mother and a collection of spouses, exes and might-have-beens. As the brothers and sisters re-examine their shared history and the status of each tattered relationship among those who know and love them best, they reconnect in hysterically funny and emotionally significant ways.</t>
  </si>
  <si>
    <t>Welcome home. Get uncomfortable.</t>
  </si>
  <si>
    <t>spring creek pictures, 21 laps entertainment, warner bros. pictures</t>
  </si>
  <si>
    <t>Timothy Olyphant, Abigail Spencer, Kenneth De Abrew, Michael Barra, Connie Britton, Corey Stoll, Jane Fonda, Gerry Vichi, Tina Fey, Lance Roberts, Aaron Lazar, Oakes Fegley, Carol Schultz, Carly Brooke, Michael Bryan French, Debra Monk, Brady Bryson, Kathryn Hahn, Mia Fram Davidson, Dax Shepard, Rose Byrne, Adam Driver, Jason Bateman, Crystal Anne Dickinson, Barbara Spiegel, Cheryl Stern, Olivia Oguma, Beth Leavel, Brahm Schenkman, Clayton Sauer, Ben Schwartz, Cade Lappin, Will Swenson, Evan Wadle, Carolyn Seiff, Kevin McCormick, George Schroeder</t>
  </si>
  <si>
    <t>Shawn Levy</t>
  </si>
  <si>
    <t>Terry Stacey</t>
  </si>
  <si>
    <t>Jonathan Tropper</t>
  </si>
  <si>
    <t>Shawn Levy, Paula Weinstein, Jonathan Tropper, James Packer, Mary McLaglen, Jeffrey Levine, Steven Mnuchin</t>
  </si>
  <si>
    <t>/rVUI2267FdetVWz9UBQbqTmRVhQ.jpg</t>
  </si>
  <si>
    <t>this is where i leave you</t>
  </si>
  <si>
    <t>toronto international film festival (1), blank (51), wine country film festival (1), german speaking region (1), uk jewish film festival (1), buenos aires (1), premiere (1), limited (1), dvd premiere (3), internet (1), dvd and blu-ray release (1), tv premiere (1)</t>
  </si>
  <si>
    <t>Dolphin Tale 2</t>
  </si>
  <si>
    <t>tt2978462</t>
  </si>
  <si>
    <t>The team of people who saved Winter's life reassemble in the wake of her surrogate mother's passing in order to find her a companion so she can remain at the Clearwater Marine Hospital.</t>
  </si>
  <si>
    <t>WINTER's amazing true story... now has HOPE.</t>
  </si>
  <si>
    <t>Family, Drama</t>
  </si>
  <si>
    <t>alcon entertainment</t>
  </si>
  <si>
    <t>Tyler Ellrodt, Ashley Nicole, Tom Hillmann, Lauren O'Quinn, Tom Ohmer, Nathan Gamble, Hope Hanafin, Juliana Harkavy, Tamara Austin, Austin Stowell, Julia Jordan, Lee Karlinsky, Baylee Klein, Adrianne Walsh, Cozi Zuehlsdorff, Bethany Hamilton, Taylor Blackwell, Charles Martin Smith, Cassie Livingston, Jeremy Fore, Lorenza Navarro, Mark Kelliher, Kellyann Cernese, Breannalee Hansen, Winter The Dolphin, Dawn Fiech, Malcolm Modele, Harry Connick Jr., Carlos G‚àö‚â•mez, Damon Sementilli, Sierra Klein, Austin Highsmith Garces, Jessica Braswell, Kim Ostrenko, Trey Lewis Sands, Parker Brenneman, Steve Heinz, Tom Nowicki, Andrew McKeough, Kris Kristofferson, John S. Linkogle, Carinne Julien, Cayla Brady, Gloria de Luna, Rodolfo Madrigal, Raheem Babalola, Ashley Nicole Hutto, Madison Absher, Amy Jordan, Ashley Judd, Jim R. Coleman, Kasity Koehn, Joshua Lagos, Autumn Klein, Kevin Tyler Moody, Darlene Kole, Denis Arndt, Morgan Freeman, Betzaida Land‚àö‚â†n, Amanda Powell, Thia Marie, Alana Cavanaugh, Denisea Wilson</t>
  </si>
  <si>
    <t>Charles Martin Smith</t>
  </si>
  <si>
    <t>Charles Martin Smith, Noam Dromi, Karen Janszen</t>
  </si>
  <si>
    <t>Robert Engelman, Steven P. Wegner, Broderick Johnson, David Yates, Andrew A. Kosove</t>
  </si>
  <si>
    <t>Rachel Portman</t>
  </si>
  <si>
    <t>/7ujGA9YqxQ3uwtMelCEsaBKasuR.jpg</t>
  </si>
  <si>
    <t>dolphin tale 2</t>
  </si>
  <si>
    <t>blank (43), dvd premiere (2), ytv premiere (1), internet (1)</t>
  </si>
  <si>
    <t>Atlas Shrugged: Part III</t>
  </si>
  <si>
    <t>tt2800038</t>
  </si>
  <si>
    <t>In a post-apocalyptic America, the iron fist of the totalitarian government seeks to crush one mysterious man named John Galt, who has the power and influence to change everything...</t>
  </si>
  <si>
    <t>Who is John Galt?</t>
  </si>
  <si>
    <t>Drama, Science Fiction, Mystery</t>
  </si>
  <si>
    <t>atlas distribution company</t>
  </si>
  <si>
    <t>Nicola Lambo, Garikayi Mutambirwa, Andrew Wilkow, Scott Levy, Jen Nikolaisen, Ned Vaughn, Stephen Tobolowsky, Shon Lange, Rob Morrow, Joaquim de Almeida, Claude Knowlton, Jack Forbes, Jason McBeth, George Jonson, Mark Moses, Cooper Thornton, Kira Halling, Greg Germann, Gill Gayle, Matt Kibbe, Brent Briscoe, Sean Hannity, Peter MacKenzie, Lucinda Manera, Jeff Grismer, Eltony Williams, Craig Hosking, Glenn Beck, JJ Snyder, Scott Klace, Dominic Daniel, Phil Valentine, Chris Hampton, Laura Regan, Keith Ewell, Ronnie Clark, Kristoffer Polaha, Lew Temple, Eric Allan Kramer, David Doumeng, Jeff Yagher, Tim DeZarn, Michael Wiseman, Larry Cedar, Neil Dickson, Louis Herthum, Ed Corbin, Ron Paul, Rebecca Dunn, Tony Denison, Lindsey Ginter</t>
  </si>
  <si>
    <t>J. James Manera</t>
  </si>
  <si>
    <t>Gale Tattersall</t>
  </si>
  <si>
    <t>J. James Manera, John Aglialoro, Ayn Rand, Harmon Kaslow</t>
  </si>
  <si>
    <t>Ronald G. Smith, Harmon Kaslow, William A. Dunn, Ed Snider, John Aglialoro</t>
  </si>
  <si>
    <t>Elia Cmiral</t>
  </si>
  <si>
    <t>/wR7NM125F63zxECZKCVMzibkWpZ.jpg</t>
  </si>
  <si>
    <t>atlas shrugged: part iii</t>
  </si>
  <si>
    <t>limited (1), dvd premiere (1)</t>
  </si>
  <si>
    <t>Rio, I Love You</t>
  </si>
  <si>
    <t>tt1456606</t>
  </si>
  <si>
    <t>pt</t>
  </si>
  <si>
    <t>Rio, Eu Te Amo</t>
  </si>
  <si>
    <t>The third episode of the Cities of Love franchise, Rio, I Love You is an anthology, created by 10 visionary directors from across the globe. The story line of each segment focuses on an encounter of love in a different neighborhood of the city, demonstrating the distinctive qualities and character of that location. The film serves to bridge gaps between cultures, educating and entertaining the audience, while celebrating unique and universal expressions of love.</t>
  </si>
  <si>
    <t>Love happens everywhere. Some love stories only happen in Rio.</t>
  </si>
  <si>
    <t>Romance, Drama</t>
  </si>
  <si>
    <t>conspira‚àö√ü‚àö¬£o filmes, americas film conservancy, bossa nova films, empyrean pictures, riofilme</t>
  </si>
  <si>
    <t>Brazil</t>
  </si>
  <si>
    <t>English, Fran‚àö√üais, Portugu‚àö‚Ñ¢s, Espa‚àö¬±ol</t>
  </si>
  <si>
    <t>Bruna Linzmeyer, Hugo Carvana, Roberta Rodrigues, Stepan Nercessian, Diogo de Lima, Fellipe Barbosa, Caio Junqueira, Jo‚àö¬£o Wlamir, John Turturro, Eduardo Sterblitch, Harvey Keitel, J‚àö¬©ssica Barbosa, Ryan Kwanten, Cleo, Paulo Campani, William Vorhees, Sandro Rocha, Cl‚àö¬∞udia Abreu, Jason Isaacs, Regina Cas‚àö¬©, Cassi Abranches, Henrique Pires, Nadine Labaki, M‚àö¬∞rcio Garcia, Cau‚àö¬£ Antunes, Rodrigo Santoro, Fernanda Montenegro, Paulo Verling, Vanessa Paradis, Marcio Rosario, Priscila Assum, Roney Villela, Tonico Pereira, Marcelo Serrado, Basil Hoffman, Wagner Moura, Daniel Weibel, Michel Melamed, Bebel Gilberto, Luiza Cesar, Vincent Cassel, D‚àö¬©bora Nascimento, Lucas Mendes, Xando Gra‚àö√üa, Emily Mortimer, La‚àö‚â†s Corr‚àö‚Ñ¢a, Land Vieira, Laura Neiva</t>
  </si>
  <si>
    <t>Stephan Elliott, Andrucha Waddington, Guillermo Arriaga, Carlos Saldanha, Nadine Labaki, Jos‚àö¬© Padilha, Vicente Amorim, Im Sang-soo, Paolo Sorrentino, John Turturro, C‚àö¬©sar Charlone, Fernando Meirelles</t>
  </si>
  <si>
    <t>Adrian Teijido, Daria D'Antonio, Ricardo Della Rosa, Yves Sehnaoui</t>
  </si>
  <si>
    <t>Otavio Leonidio, Andrucha Waddington, Stephan Elliott, Khaled Mouzanar, Chico Mattoso, Antonio Prata, Guillermo Arriaga, Elena Soarez, Nadine Labaki, Fellipe Barbosa, Rodney El Haddad, Mauricio Zacharias, Im Sang-soo, Paolo Sorrentino, John Turturro</t>
  </si>
  <si>
    <t>John S. Lyons, Lucas Ricardo Assun‚àö√ü‚àö¬£o Rangel, Eliana So‚àö¬∞rez, Ariel Elia, Pedro Buarque de Hollanda, Denise Gomes, Joshua Skurla, Oliver Kwon, Edu Tibiri‚àö√ü‚àö¬∞, Emmanuel Benbihy, Dan Klabin, Marcos Tellechea, Leonardo M. Barros</t>
  </si>
  <si>
    <t>Pedro Bromfman, Khaled Mouzanar</t>
  </si>
  <si>
    <t>/e4MEGQlEE7VojlBpwaJvjMcXJPg.jpg</t>
  </si>
  <si>
    <t>rio, i love you</t>
  </si>
  <si>
    <t>blank (12), rio de janeiro (1), premiere (1), kinomania (1), festival cinema brasil (1), edinburgh international film festival (1), tv premiere (1), dvd premiere (1), limited (1)</t>
  </si>
  <si>
    <t>Honeymoon</t>
  </si>
  <si>
    <t>tt3177316</t>
  </si>
  <si>
    <t>On her honeymoon, a young bride sleepwalks into the woods surrounding a secluded cabin. When she returns, she looks the same‚Äö√Ñ√Æbut something about her is terrifyingly different.</t>
  </si>
  <si>
    <t>After the ceremony comes the ritual.</t>
  </si>
  <si>
    <t>Horror, Science Fiction</t>
  </si>
  <si>
    <t>fewlas entertainment</t>
  </si>
  <si>
    <t>Ben Huber, Rose Leslie, Peter Leo, Hanna Brown, John Lauterbach, Harry Treadaway</t>
  </si>
  <si>
    <t>Leigh Janiak</t>
  </si>
  <si>
    <t>Kyle Klutz</t>
  </si>
  <si>
    <t>Leigh Janiak, Phil Graziadei</t>
  </si>
  <si>
    <t>Julie Parker Benello, Patrick Baker, Esme Howard</t>
  </si>
  <si>
    <t>Heather McIntosh</t>
  </si>
  <si>
    <t>/8XPGgvhsJxFvmVH9xAm9q9J7Coy.jpg</t>
  </si>
  <si>
    <t>honeymoon</t>
  </si>
  <si>
    <t>south by southwest film festival (1), tribeca film festival (1), edinburgh international film festival (1), neuchatel international fantastic film festival (1), neuch√¢tel international fantastic film festival (1), fantasia international film festival (1), film4 frightfest (1), fantasy filmfest (1), strasbourg european fantastic film festival (1), motelx - lisbon international horror film festival (1), internet (2), film by the sea film festival (1), blank (6), slash film festival (1), lund fantastisk film festival (1), kaohsiung film festival (1), dvd premiere (4), dvd and blu-ray premiere (1), offscreen film festival (1), imagine film festival (1), tv release (1), blu-ray release (1)</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</si>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</sst>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5BBDA0-9E68-0B49-AF9F-7AF0E0BE2F18}" name="Table1" displayName="Table1" ref="A1:AQ53" totalsRowCount="1">
  <autoFilter ref="A1:AQ52" xr:uid="{A15BBDA0-9E68-0B49-AF9F-7AF0E0BE2F18}"/>
  <tableColumns count="43">
    <tableColumn id="1" xr3:uid="{5DA5D120-B882-8D40-8D59-3F1FDE1B372F}" name="id" totalsRowLabel="Total"/>
    <tableColumn id="2" xr3:uid="{FF87A384-AC95-C04B-ABB2-20216541A6D7}" name="title"/>
    <tableColumn id="3" xr3:uid="{935AB3A2-86A4-8845-8155-27F5BC34092D}" name="vote_average"/>
    <tableColumn id="4" xr3:uid="{3982465A-657B-9742-82B1-9CFD753BE4C2}" name="vote_count"/>
    <tableColumn id="5" xr3:uid="{349D9AC0-684C-D142-B8D1-056296A9300B}" name="status"/>
    <tableColumn id="6" xr3:uid="{1B3E59C3-6658-1B44-998F-C973EA6C53BB}" name="release_date" dataDxfId="0"/>
    <tableColumn id="7" xr3:uid="{04EF0718-044E-7548-A4E4-3E52E00F3EAB}" name="revenue"/>
    <tableColumn id="8" xr3:uid="{752470D9-8EC7-7346-AC0F-9808715BB8F9}" name="runtime"/>
    <tableColumn id="9" xr3:uid="{75955705-0A70-4949-9728-971FD9CB1A93}" name="budget"/>
    <tableColumn id="10" xr3:uid="{2D09FE6C-F737-114D-8983-D6D1A7859552}" name="imdb_id"/>
    <tableColumn id="11" xr3:uid="{D196D956-4C90-AF41-A58E-5C0F0B62A259}" name="original_language"/>
    <tableColumn id="12" xr3:uid="{14DB8A63-1E86-8A4C-BAB8-94B98C663CB6}" name="original_title"/>
    <tableColumn id="13" xr3:uid="{DD508A14-9F17-E745-BBC9-D4FFDFC0D10D}" name="overview"/>
    <tableColumn id="14" xr3:uid="{21D34CFA-DD5C-1046-B901-6F9107C118D4}" name="popularity"/>
    <tableColumn id="15" xr3:uid="{C1B592C7-F82C-0F4D-8F41-45D3437F8934}" name="tagline"/>
    <tableColumn id="16" xr3:uid="{098F9981-0D0B-C841-AB08-1FB5BA3242A1}" name="genres"/>
    <tableColumn id="17" xr3:uid="{6EF22F7E-1086-3447-8C72-FF5D5CE0D79B}" name="production_companies"/>
    <tableColumn id="18" xr3:uid="{F28D54E5-8E31-0140-B678-671E51CB51CB}" name="production_countries"/>
    <tableColumn id="19" xr3:uid="{1C9E1C7E-D77A-954C-8170-5B0E5084BA7D}" name="spoken_languages"/>
    <tableColumn id="20" xr3:uid="{E9E7EB93-3EB4-1A47-B466-66490042AEAD}" name="cast"/>
    <tableColumn id="21" xr3:uid="{73AF73C5-9224-184C-9F3D-A02DAD704CA3}" name="director"/>
    <tableColumn id="22" xr3:uid="{815B5DDC-4327-524C-B391-E441429948C1}" name="director_of_photography"/>
    <tableColumn id="23" xr3:uid="{4ECD3D65-A843-8B4B-BE31-01BC5BB62228}" name="writers"/>
    <tableColumn id="24" xr3:uid="{1F27F267-469C-4548-9C96-ED7321C94F16}" name="producers"/>
    <tableColumn id="25" xr3:uid="{8D4ACB2B-8433-C746-A89C-D0A43C6C103F}" name="music_composer"/>
    <tableColumn id="26" xr3:uid="{C651BEC9-7944-7A46-9637-9301E925EC8E}" name="imdb_rating"/>
    <tableColumn id="27" xr3:uid="{263BBF1F-1F1D-324A-8C03-4E7160582516}" name="imdb_votes"/>
    <tableColumn id="28" xr3:uid="{C62DD6D9-B07E-D04C-B227-0F8C2D6390B2}" name="poster_path"/>
    <tableColumn id="29" xr3:uid="{AC5177C4-35D7-1D46-B647-A2EDF283A0A0}" name="release_month"/>
    <tableColumn id="30" xr3:uid="{7F4B474F-C9CC-934A-A20A-FB4894CFBC0E}" name="release_year"/>
    <tableColumn id="31" xr3:uid="{4C98D77B-7E24-5546-9E9E-C9290ED44985}" name="iso_week"/>
    <tableColumn id="32" xr3:uid="{444E67FE-86BA-794D-B411-D26C775BDB76}" name="title_clean"/>
    <tableColumn id="33" xr3:uid="{CCC43641-D9E1-2A45-A25F-5C040D0CD5B2}" name="distance"/>
    <tableColumn id="34" xr3:uid="{B758616A-859F-C74A-895F-E792F53C277A}" name="strength"/>
    <tableColumn id="35" xr3:uid="{DBFC120D-20A8-1942-8FE9-3EB99D64C84B}" name="score" totalsRowFunction="sum"/>
    <tableColumn id="36" xr3:uid="{A9835BB1-36BF-3248-B0BE-CA19F7044EB7}" name="marvel_movie"/>
    <tableColumn id="37" xr3:uid="{B9AB8B8A-EDAF-164F-A9BA-C80CFE50A986}" name="attributes"/>
    <tableColumn id="38" xr3:uid="{16FF607C-A7AD-244B-9AB7-F968FEDA022B}" name="blank"/>
    <tableColumn id="39" xr3:uid="{303CAB8E-1B20-5D47-A73B-E7F5A44181B2}" name="internet"/>
    <tableColumn id="40" xr3:uid="{A928B8CF-B2A0-144B-B385-EBFBAD2A56E3}" name="total"/>
    <tableColumn id="41" xr3:uid="{0A6E7B42-1632-7042-B96A-11725BCD77F3}" name="internet_ratio"/>
    <tableColumn id="42" xr3:uid="{192E074E-78F1-E943-B3E2-81C0D0E43D10}" name="internet_dominance"/>
    <tableColumn id="43" xr3:uid="{B9057135-DBFD-9447-98B3-41BE6D60C6A5}" name="error" totalsRowFunction="c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A324D-F3F5-434E-842F-11BADC33C7B5}">
  <dimension ref="A1:AQ53"/>
  <sheetViews>
    <sheetView tabSelected="1" topLeftCell="Z34" workbookViewId="0">
      <selection activeCell="AI53" sqref="AI53"/>
    </sheetView>
  </sheetViews>
  <sheetFormatPr baseColWidth="10" defaultRowHeight="16" x14ac:dyDescent="0.2"/>
  <cols>
    <col min="3" max="3" width="14.33203125" customWidth="1"/>
    <col min="4" max="4" width="12.5" customWidth="1"/>
    <col min="6" max="6" width="14.1640625" customWidth="1"/>
    <col min="11" max="11" width="18" customWidth="1"/>
    <col min="12" max="12" width="13.83203125" customWidth="1"/>
    <col min="14" max="14" width="11.6640625" customWidth="1"/>
    <col min="17" max="17" width="22.33203125" customWidth="1"/>
    <col min="18" max="18" width="21" customWidth="1"/>
    <col min="19" max="19" width="18.83203125" customWidth="1"/>
    <col min="22" max="22" width="23.5" customWidth="1"/>
    <col min="24" max="24" width="11.83203125" customWidth="1"/>
    <col min="25" max="25" width="17.83203125" customWidth="1"/>
    <col min="26" max="26" width="13.33203125" customWidth="1"/>
    <col min="27" max="27" width="13" customWidth="1"/>
    <col min="28" max="28" width="13.33203125" customWidth="1"/>
    <col min="29" max="29" width="15.83203125" customWidth="1"/>
    <col min="30" max="30" width="14" customWidth="1"/>
    <col min="31" max="31" width="11.1640625" customWidth="1"/>
    <col min="32" max="32" width="12.1640625" customWidth="1"/>
    <col min="36" max="36" width="15" customWidth="1"/>
    <col min="37" max="37" width="11.6640625" customWidth="1"/>
    <col min="41" max="41" width="14.6640625" customWidth="1"/>
    <col min="42" max="42" width="20" customWidth="1"/>
  </cols>
  <sheetData>
    <row r="1" spans="1:4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x14ac:dyDescent="0.2">
      <c r="A2">
        <v>278718</v>
      </c>
      <c r="B2" t="s">
        <v>43</v>
      </c>
      <c r="C2">
        <v>5.6</v>
      </c>
      <c r="D2">
        <v>34</v>
      </c>
      <c r="E2" t="s">
        <v>44</v>
      </c>
      <c r="F2" s="1">
        <v>41808</v>
      </c>
      <c r="G2">
        <v>92500</v>
      </c>
      <c r="H2">
        <v>128</v>
      </c>
      <c r="I2">
        <v>1250000</v>
      </c>
      <c r="J2" t="s">
        <v>45</v>
      </c>
      <c r="K2" t="s">
        <v>46</v>
      </c>
      <c r="L2" t="s">
        <v>47</v>
      </c>
      <c r="M2" t="s">
        <v>48</v>
      </c>
      <c r="N2">
        <v>2.9329000000000001</v>
      </c>
      <c r="O2" t="s">
        <v>49</v>
      </c>
      <c r="P2" t="s">
        <v>50</v>
      </c>
      <c r="Q2" t="s">
        <v>51</v>
      </c>
      <c r="R2" t="s">
        <v>52</v>
      </c>
      <c r="S2" t="s">
        <v>53</v>
      </c>
      <c r="T2" t="s">
        <v>54</v>
      </c>
      <c r="U2" t="s">
        <v>55</v>
      </c>
      <c r="V2" t="s">
        <v>56</v>
      </c>
      <c r="W2" t="s">
        <v>57</v>
      </c>
      <c r="X2" t="s">
        <v>58</v>
      </c>
      <c r="Y2" t="s">
        <v>59</v>
      </c>
      <c r="Z2">
        <v>7</v>
      </c>
      <c r="AA2">
        <v>1142</v>
      </c>
      <c r="AB2" t="s">
        <v>60</v>
      </c>
      <c r="AC2">
        <v>6</v>
      </c>
      <c r="AD2">
        <v>2014</v>
      </c>
      <c r="AE2">
        <v>25</v>
      </c>
      <c r="AF2" t="s">
        <v>61</v>
      </c>
      <c r="AG2">
        <v>-42</v>
      </c>
      <c r="AH2">
        <v>11.434974734252799</v>
      </c>
      <c r="AI2">
        <v>0.265929644982625</v>
      </c>
      <c r="AJ2" t="s">
        <v>62</v>
      </c>
      <c r="AK2" t="s">
        <v>63</v>
      </c>
      <c r="AL2">
        <v>2</v>
      </c>
      <c r="AM2">
        <v>0</v>
      </c>
      <c r="AN2">
        <v>14</v>
      </c>
      <c r="AO2">
        <v>0</v>
      </c>
      <c r="AP2" t="s">
        <v>64</v>
      </c>
      <c r="AQ2" t="s">
        <v>64</v>
      </c>
    </row>
    <row r="3" spans="1:43" x14ac:dyDescent="0.2">
      <c r="A3">
        <v>184098</v>
      </c>
      <c r="B3" t="s">
        <v>65</v>
      </c>
      <c r="C3">
        <v>6.4</v>
      </c>
      <c r="D3">
        <v>575</v>
      </c>
      <c r="E3" t="s">
        <v>44</v>
      </c>
      <c r="F3" s="1">
        <v>41810</v>
      </c>
      <c r="G3">
        <v>70181428</v>
      </c>
      <c r="H3">
        <v>105</v>
      </c>
      <c r="I3">
        <v>24000000</v>
      </c>
      <c r="J3" t="s">
        <v>66</v>
      </c>
      <c r="K3" t="s">
        <v>67</v>
      </c>
      <c r="L3" t="s">
        <v>65</v>
      </c>
      <c r="M3" t="s">
        <v>68</v>
      </c>
      <c r="N3">
        <v>1.3648</v>
      </c>
      <c r="O3" t="s">
        <v>69</v>
      </c>
      <c r="P3" t="s">
        <v>70</v>
      </c>
      <c r="Q3" t="s">
        <v>71</v>
      </c>
      <c r="R3" t="s">
        <v>72</v>
      </c>
      <c r="S3" t="s">
        <v>73</v>
      </c>
      <c r="T3" t="s">
        <v>74</v>
      </c>
      <c r="U3" t="s">
        <v>75</v>
      </c>
      <c r="V3" t="s">
        <v>76</v>
      </c>
      <c r="W3" t="s">
        <v>77</v>
      </c>
      <c r="X3" t="s">
        <v>78</v>
      </c>
      <c r="Y3" t="s">
        <v>79</v>
      </c>
      <c r="Z3">
        <v>5.7</v>
      </c>
      <c r="AA3">
        <v>24041</v>
      </c>
      <c r="AB3" t="s">
        <v>80</v>
      </c>
      <c r="AC3">
        <v>6</v>
      </c>
      <c r="AD3">
        <v>2014</v>
      </c>
      <c r="AE3">
        <v>25</v>
      </c>
      <c r="AF3" t="s">
        <v>81</v>
      </c>
      <c r="AG3">
        <v>-40</v>
      </c>
      <c r="AH3">
        <v>18.066594289838498</v>
      </c>
      <c r="AI3">
        <v>0.44064864121557301</v>
      </c>
      <c r="AJ3" t="s">
        <v>62</v>
      </c>
      <c r="AK3" t="s">
        <v>82</v>
      </c>
      <c r="AL3">
        <v>10</v>
      </c>
      <c r="AM3">
        <v>2</v>
      </c>
      <c r="AN3">
        <v>19</v>
      </c>
      <c r="AO3">
        <v>0.11</v>
      </c>
      <c r="AP3" t="s">
        <v>64</v>
      </c>
      <c r="AQ3" t="s">
        <v>64</v>
      </c>
    </row>
    <row r="4" spans="1:43" x14ac:dyDescent="0.2">
      <c r="A4">
        <v>192145</v>
      </c>
      <c r="B4" t="s">
        <v>83</v>
      </c>
      <c r="C4">
        <v>5.9</v>
      </c>
      <c r="D4">
        <v>625</v>
      </c>
      <c r="E4" t="s">
        <v>44</v>
      </c>
      <c r="F4" s="1">
        <v>41810</v>
      </c>
      <c r="G4">
        <v>1749201</v>
      </c>
      <c r="H4">
        <v>137</v>
      </c>
      <c r="I4">
        <v>28000000</v>
      </c>
      <c r="J4" t="s">
        <v>84</v>
      </c>
      <c r="K4" t="s">
        <v>67</v>
      </c>
      <c r="L4" t="s">
        <v>83</v>
      </c>
      <c r="M4" t="s">
        <v>85</v>
      </c>
      <c r="N4">
        <v>2.0522</v>
      </c>
      <c r="O4" t="s">
        <v>86</v>
      </c>
      <c r="P4" t="s">
        <v>87</v>
      </c>
      <c r="Q4" t="s">
        <v>88</v>
      </c>
      <c r="R4" t="s">
        <v>89</v>
      </c>
      <c r="S4" t="s">
        <v>90</v>
      </c>
      <c r="T4" t="s">
        <v>91</v>
      </c>
      <c r="U4" t="s">
        <v>92</v>
      </c>
      <c r="V4" t="s">
        <v>93</v>
      </c>
      <c r="W4" t="s">
        <v>92</v>
      </c>
      <c r="X4" t="s">
        <v>94</v>
      </c>
      <c r="Y4" t="s">
        <v>95</v>
      </c>
      <c r="Z4">
        <v>6.3</v>
      </c>
      <c r="AA4">
        <v>30109</v>
      </c>
      <c r="AB4" t="s">
        <v>96</v>
      </c>
      <c r="AC4">
        <v>6</v>
      </c>
      <c r="AD4">
        <v>2014</v>
      </c>
      <c r="AE4">
        <v>25</v>
      </c>
      <c r="AF4" t="s">
        <v>97</v>
      </c>
      <c r="AG4">
        <v>-40</v>
      </c>
      <c r="AH4">
        <v>14.374670241900001</v>
      </c>
      <c r="AI4">
        <v>0.35060171321707501</v>
      </c>
      <c r="AJ4" t="s">
        <v>62</v>
      </c>
      <c r="AK4" t="s">
        <v>98</v>
      </c>
      <c r="AL4">
        <v>28</v>
      </c>
      <c r="AM4">
        <v>1</v>
      </c>
      <c r="AN4">
        <v>41</v>
      </c>
      <c r="AO4">
        <v>0.02</v>
      </c>
      <c r="AP4" t="s">
        <v>64</v>
      </c>
      <c r="AQ4" t="s">
        <v>64</v>
      </c>
    </row>
    <row r="5" spans="1:43" x14ac:dyDescent="0.2">
      <c r="A5">
        <v>258086</v>
      </c>
      <c r="B5" t="s">
        <v>99</v>
      </c>
      <c r="C5">
        <v>5.5</v>
      </c>
      <c r="D5">
        <v>252</v>
      </c>
      <c r="E5" t="s">
        <v>44</v>
      </c>
      <c r="F5" s="1">
        <v>41810</v>
      </c>
      <c r="G5">
        <v>5758519</v>
      </c>
      <c r="H5">
        <v>87</v>
      </c>
      <c r="I5">
        <v>3000000</v>
      </c>
      <c r="J5" t="s">
        <v>100</v>
      </c>
      <c r="K5" t="s">
        <v>67</v>
      </c>
      <c r="L5" t="s">
        <v>99</v>
      </c>
      <c r="M5" t="s">
        <v>101</v>
      </c>
      <c r="N5">
        <v>2.7248000000000001</v>
      </c>
      <c r="O5" t="s">
        <v>102</v>
      </c>
      <c r="P5" t="s">
        <v>103</v>
      </c>
      <c r="Q5" t="s">
        <v>104</v>
      </c>
      <c r="R5" t="s">
        <v>72</v>
      </c>
      <c r="S5" t="s">
        <v>73</v>
      </c>
      <c r="T5" t="s">
        <v>105</v>
      </c>
      <c r="U5" t="s">
        <v>106</v>
      </c>
      <c r="V5" t="s">
        <v>107</v>
      </c>
      <c r="W5" t="s">
        <v>108</v>
      </c>
      <c r="X5" t="s">
        <v>109</v>
      </c>
      <c r="Y5" t="s">
        <v>110</v>
      </c>
      <c r="Z5">
        <v>5.2</v>
      </c>
      <c r="AA5">
        <v>6953</v>
      </c>
      <c r="AB5" t="s">
        <v>111</v>
      </c>
      <c r="AC5">
        <v>6</v>
      </c>
      <c r="AD5">
        <v>2014</v>
      </c>
      <c r="AE5">
        <v>25</v>
      </c>
      <c r="AF5" t="s">
        <v>112</v>
      </c>
      <c r="AG5">
        <v>-40</v>
      </c>
      <c r="AH5">
        <v>15.5661910552117</v>
      </c>
      <c r="AI5">
        <v>0.37966319646857899</v>
      </c>
      <c r="AJ5" t="s">
        <v>62</v>
      </c>
      <c r="AK5" t="s">
        <v>113</v>
      </c>
      <c r="AL5">
        <v>18</v>
      </c>
      <c r="AM5">
        <v>0</v>
      </c>
      <c r="AN5">
        <v>21</v>
      </c>
      <c r="AO5">
        <v>0</v>
      </c>
      <c r="AP5" t="s">
        <v>64</v>
      </c>
      <c r="AQ5" t="s">
        <v>64</v>
      </c>
    </row>
    <row r="6" spans="1:43" x14ac:dyDescent="0.2">
      <c r="A6">
        <v>91314</v>
      </c>
      <c r="B6" t="s">
        <v>114</v>
      </c>
      <c r="C6">
        <v>5.9509999999999996</v>
      </c>
      <c r="D6">
        <v>8505</v>
      </c>
      <c r="E6" t="s">
        <v>44</v>
      </c>
      <c r="F6" s="1">
        <v>41815</v>
      </c>
      <c r="G6">
        <v>1104054072</v>
      </c>
      <c r="H6">
        <v>165</v>
      </c>
      <c r="I6">
        <v>210000000</v>
      </c>
      <c r="J6" t="s">
        <v>115</v>
      </c>
      <c r="K6" t="s">
        <v>67</v>
      </c>
      <c r="L6" t="s">
        <v>114</v>
      </c>
      <c r="M6" t="s">
        <v>116</v>
      </c>
      <c r="N6">
        <v>10.430400000000001</v>
      </c>
      <c r="O6" t="s">
        <v>117</v>
      </c>
      <c r="P6" t="s">
        <v>118</v>
      </c>
      <c r="Q6" t="s">
        <v>119</v>
      </c>
      <c r="R6" t="s">
        <v>72</v>
      </c>
      <c r="S6" t="s">
        <v>120</v>
      </c>
      <c r="T6" t="s">
        <v>121</v>
      </c>
      <c r="U6" t="s">
        <v>122</v>
      </c>
      <c r="V6" t="s">
        <v>123</v>
      </c>
      <c r="W6" t="s">
        <v>124</v>
      </c>
      <c r="X6" t="s">
        <v>125</v>
      </c>
      <c r="Y6" t="s">
        <v>126</v>
      </c>
      <c r="Z6">
        <v>5.6</v>
      </c>
      <c r="AA6">
        <v>345038</v>
      </c>
      <c r="AB6" t="s">
        <v>127</v>
      </c>
      <c r="AC6">
        <v>6</v>
      </c>
      <c r="AD6">
        <v>2014</v>
      </c>
      <c r="AE6">
        <v>26</v>
      </c>
      <c r="AF6" t="s">
        <v>128</v>
      </c>
      <c r="AG6">
        <v>-35</v>
      </c>
      <c r="AH6">
        <v>20.822254762768502</v>
      </c>
      <c r="AI6">
        <v>0.57839596563245899</v>
      </c>
      <c r="AJ6" t="s">
        <v>62</v>
      </c>
      <c r="AK6" t="s">
        <v>129</v>
      </c>
      <c r="AL6">
        <v>68</v>
      </c>
      <c r="AM6">
        <v>0</v>
      </c>
      <c r="AN6">
        <v>77</v>
      </c>
      <c r="AO6">
        <v>0</v>
      </c>
      <c r="AP6" t="s">
        <v>64</v>
      </c>
      <c r="AQ6" t="s">
        <v>64</v>
      </c>
    </row>
    <row r="7" spans="1:43" x14ac:dyDescent="0.2">
      <c r="A7">
        <v>198277</v>
      </c>
      <c r="B7" t="s">
        <v>130</v>
      </c>
      <c r="C7">
        <v>7.2329999999999997</v>
      </c>
      <c r="D7">
        <v>3896</v>
      </c>
      <c r="E7" t="s">
        <v>44</v>
      </c>
      <c r="F7" s="1">
        <v>41817</v>
      </c>
      <c r="G7">
        <v>63500000</v>
      </c>
      <c r="H7">
        <v>104</v>
      </c>
      <c r="I7">
        <v>8000000</v>
      </c>
      <c r="J7" t="s">
        <v>131</v>
      </c>
      <c r="K7" t="s">
        <v>67</v>
      </c>
      <c r="L7" t="s">
        <v>130</v>
      </c>
      <c r="M7" t="s">
        <v>132</v>
      </c>
      <c r="N7">
        <v>4.6422999999999996</v>
      </c>
      <c r="O7" t="s">
        <v>133</v>
      </c>
      <c r="P7" t="s">
        <v>134</v>
      </c>
      <c r="Q7" t="s">
        <v>135</v>
      </c>
      <c r="R7" t="s">
        <v>72</v>
      </c>
      <c r="S7" t="s">
        <v>73</v>
      </c>
      <c r="T7" t="s">
        <v>136</v>
      </c>
      <c r="U7" t="s">
        <v>137</v>
      </c>
      <c r="V7" t="s">
        <v>138</v>
      </c>
      <c r="W7" t="s">
        <v>137</v>
      </c>
      <c r="X7" t="s">
        <v>139</v>
      </c>
      <c r="Y7" t="s">
        <v>140</v>
      </c>
      <c r="Z7">
        <v>7.4</v>
      </c>
      <c r="AA7">
        <v>174382</v>
      </c>
      <c r="AB7" t="s">
        <v>141</v>
      </c>
      <c r="AC7">
        <v>6</v>
      </c>
      <c r="AD7">
        <v>2014</v>
      </c>
      <c r="AE7">
        <v>26</v>
      </c>
      <c r="AF7" t="s">
        <v>142</v>
      </c>
      <c r="AG7">
        <v>-33</v>
      </c>
      <c r="AH7">
        <v>17.966550479610898</v>
      </c>
      <c r="AI7">
        <v>0.52842795528267505</v>
      </c>
      <c r="AJ7" t="s">
        <v>62</v>
      </c>
      <c r="AK7" t="s">
        <v>143</v>
      </c>
      <c r="AL7">
        <v>52</v>
      </c>
      <c r="AM7">
        <v>0</v>
      </c>
      <c r="AN7">
        <v>73</v>
      </c>
      <c r="AO7">
        <v>0</v>
      </c>
      <c r="AP7" t="s">
        <v>64</v>
      </c>
      <c r="AQ7" t="s">
        <v>64</v>
      </c>
    </row>
    <row r="8" spans="1:43" x14ac:dyDescent="0.2">
      <c r="A8">
        <v>184346</v>
      </c>
      <c r="B8" t="s">
        <v>144</v>
      </c>
      <c r="C8">
        <v>6.2</v>
      </c>
      <c r="D8">
        <v>2142</v>
      </c>
      <c r="E8" t="s">
        <v>44</v>
      </c>
      <c r="F8" s="1">
        <v>41821</v>
      </c>
      <c r="G8">
        <v>87937815</v>
      </c>
      <c r="H8">
        <v>118</v>
      </c>
      <c r="I8">
        <v>30000000</v>
      </c>
      <c r="J8" t="s">
        <v>145</v>
      </c>
      <c r="K8" t="s">
        <v>67</v>
      </c>
      <c r="L8" t="s">
        <v>144</v>
      </c>
      <c r="M8" t="s">
        <v>146</v>
      </c>
      <c r="N8">
        <v>3.3445</v>
      </c>
      <c r="O8" t="s">
        <v>147</v>
      </c>
      <c r="P8" t="s">
        <v>148</v>
      </c>
      <c r="Q8" t="s">
        <v>149</v>
      </c>
      <c r="R8" t="s">
        <v>72</v>
      </c>
      <c r="S8" t="s">
        <v>73</v>
      </c>
      <c r="T8" t="s">
        <v>150</v>
      </c>
      <c r="U8" t="s">
        <v>151</v>
      </c>
      <c r="V8" t="s">
        <v>152</v>
      </c>
      <c r="W8" t="s">
        <v>153</v>
      </c>
      <c r="X8" t="s">
        <v>154</v>
      </c>
      <c r="Y8" t="s">
        <v>155</v>
      </c>
      <c r="Z8">
        <v>6.2</v>
      </c>
      <c r="AA8">
        <v>90072</v>
      </c>
      <c r="AB8" t="s">
        <v>156</v>
      </c>
      <c r="AC8">
        <v>7</v>
      </c>
      <c r="AD8">
        <v>2014</v>
      </c>
      <c r="AE8">
        <v>27</v>
      </c>
      <c r="AF8" t="s">
        <v>157</v>
      </c>
      <c r="AG8">
        <v>-29</v>
      </c>
      <c r="AH8">
        <v>18.292140486293601</v>
      </c>
      <c r="AI8">
        <v>0.60973801620978896</v>
      </c>
      <c r="AJ8" t="s">
        <v>62</v>
      </c>
      <c r="AK8" t="s">
        <v>158</v>
      </c>
      <c r="AL8">
        <v>65</v>
      </c>
      <c r="AM8">
        <v>0</v>
      </c>
      <c r="AN8">
        <v>68</v>
      </c>
      <c r="AO8">
        <v>0</v>
      </c>
      <c r="AP8" t="s">
        <v>64</v>
      </c>
      <c r="AQ8" t="s">
        <v>64</v>
      </c>
    </row>
    <row r="9" spans="1:43" x14ac:dyDescent="0.2">
      <c r="A9">
        <v>226486</v>
      </c>
      <c r="B9" t="s">
        <v>159</v>
      </c>
      <c r="C9">
        <v>5.3</v>
      </c>
      <c r="D9">
        <v>1249</v>
      </c>
      <c r="E9" t="s">
        <v>44</v>
      </c>
      <c r="F9" s="1">
        <v>41822</v>
      </c>
      <c r="G9">
        <v>100500000</v>
      </c>
      <c r="H9">
        <v>97</v>
      </c>
      <c r="I9">
        <v>20000000</v>
      </c>
      <c r="J9" t="s">
        <v>160</v>
      </c>
      <c r="K9" t="s">
        <v>67</v>
      </c>
      <c r="L9" t="s">
        <v>159</v>
      </c>
      <c r="M9" t="s">
        <v>161</v>
      </c>
      <c r="N9">
        <v>7.8970000000000002</v>
      </c>
      <c r="O9" t="s">
        <v>162</v>
      </c>
      <c r="P9" t="s">
        <v>163</v>
      </c>
      <c r="Q9" t="s">
        <v>164</v>
      </c>
      <c r="R9" t="s">
        <v>72</v>
      </c>
      <c r="S9" t="s">
        <v>73</v>
      </c>
      <c r="T9" t="s">
        <v>165</v>
      </c>
      <c r="U9" t="s">
        <v>166</v>
      </c>
      <c r="V9" t="s">
        <v>167</v>
      </c>
      <c r="W9" t="s">
        <v>168</v>
      </c>
      <c r="X9" t="s">
        <v>169</v>
      </c>
      <c r="Y9" t="s">
        <v>170</v>
      </c>
      <c r="Z9">
        <v>4.9000000000000004</v>
      </c>
      <c r="AA9">
        <v>56538</v>
      </c>
      <c r="AB9" t="s">
        <v>171</v>
      </c>
      <c r="AC9">
        <v>7</v>
      </c>
      <c r="AD9">
        <v>2014</v>
      </c>
      <c r="AE9">
        <v>27</v>
      </c>
      <c r="AF9" t="s">
        <v>172</v>
      </c>
      <c r="AG9">
        <v>-28</v>
      </c>
      <c r="AH9">
        <v>18.425668295413601</v>
      </c>
      <c r="AI9">
        <v>0.63536787225564295</v>
      </c>
      <c r="AJ9" t="s">
        <v>62</v>
      </c>
      <c r="AK9" t="s">
        <v>173</v>
      </c>
      <c r="AL9">
        <v>11</v>
      </c>
      <c r="AM9">
        <v>4</v>
      </c>
      <c r="AN9">
        <v>26</v>
      </c>
      <c r="AO9">
        <v>0.15</v>
      </c>
      <c r="AP9" t="s">
        <v>64</v>
      </c>
      <c r="AQ9" t="s">
        <v>64</v>
      </c>
    </row>
    <row r="10" spans="1:43" x14ac:dyDescent="0.2">
      <c r="A10">
        <v>262788</v>
      </c>
      <c r="B10" t="s">
        <v>174</v>
      </c>
      <c r="C10">
        <v>5.3</v>
      </c>
      <c r="D10">
        <v>74</v>
      </c>
      <c r="E10" t="s">
        <v>44</v>
      </c>
      <c r="F10" s="1">
        <v>41823</v>
      </c>
      <c r="G10">
        <v>5205106</v>
      </c>
      <c r="H10">
        <v>112</v>
      </c>
      <c r="I10">
        <v>6000000</v>
      </c>
      <c r="J10" t="s">
        <v>175</v>
      </c>
      <c r="K10" t="s">
        <v>176</v>
      </c>
      <c r="L10" t="s">
        <v>177</v>
      </c>
      <c r="M10" t="s">
        <v>178</v>
      </c>
      <c r="N10">
        <v>0.83440000000000003</v>
      </c>
      <c r="O10" t="s">
        <v>179</v>
      </c>
      <c r="P10" t="s">
        <v>180</v>
      </c>
      <c r="Q10" t="s">
        <v>181</v>
      </c>
      <c r="R10" t="s">
        <v>182</v>
      </c>
      <c r="S10" t="s">
        <v>73</v>
      </c>
      <c r="T10" t="s">
        <v>183</v>
      </c>
      <c r="U10" t="s">
        <v>184</v>
      </c>
      <c r="V10" t="s">
        <v>185</v>
      </c>
      <c r="W10" t="s">
        <v>186</v>
      </c>
      <c r="X10" t="s">
        <v>187</v>
      </c>
      <c r="Y10" t="s">
        <v>188</v>
      </c>
      <c r="Z10">
        <v>5.6</v>
      </c>
      <c r="AA10">
        <v>1522</v>
      </c>
      <c r="AB10" t="s">
        <v>189</v>
      </c>
      <c r="AC10">
        <v>7</v>
      </c>
      <c r="AD10">
        <v>2014</v>
      </c>
      <c r="AE10">
        <v>27</v>
      </c>
      <c r="AF10" t="s">
        <v>190</v>
      </c>
      <c r="AG10">
        <v>-27</v>
      </c>
      <c r="AH10">
        <v>15.465150816976401</v>
      </c>
      <c r="AI10">
        <v>0.55232681489201696</v>
      </c>
      <c r="AJ10" t="s">
        <v>62</v>
      </c>
      <c r="AK10" t="s">
        <v>191</v>
      </c>
      <c r="AL10">
        <v>11</v>
      </c>
      <c r="AM10">
        <v>0</v>
      </c>
      <c r="AN10">
        <v>22</v>
      </c>
      <c r="AO10">
        <v>0</v>
      </c>
      <c r="AP10" t="s">
        <v>64</v>
      </c>
      <c r="AQ10" t="s">
        <v>64</v>
      </c>
    </row>
    <row r="11" spans="1:43" x14ac:dyDescent="0.2">
      <c r="A11">
        <v>151368</v>
      </c>
      <c r="B11" t="s">
        <v>192</v>
      </c>
      <c r="C11">
        <v>5.0999999999999996</v>
      </c>
      <c r="D11">
        <v>459</v>
      </c>
      <c r="E11" t="s">
        <v>44</v>
      </c>
      <c r="F11" s="1">
        <v>41824</v>
      </c>
      <c r="G11">
        <v>100000</v>
      </c>
      <c r="H11">
        <v>101</v>
      </c>
      <c r="I11">
        <v>4000000</v>
      </c>
      <c r="J11" t="s">
        <v>193</v>
      </c>
      <c r="K11" t="s">
        <v>67</v>
      </c>
      <c r="L11" t="s">
        <v>192</v>
      </c>
      <c r="M11" t="s">
        <v>194</v>
      </c>
      <c r="N11">
        <v>19.402899999999999</v>
      </c>
      <c r="O11" t="s">
        <v>195</v>
      </c>
      <c r="P11" t="s">
        <v>196</v>
      </c>
      <c r="Q11" t="s">
        <v>197</v>
      </c>
      <c r="R11" t="s">
        <v>198</v>
      </c>
      <c r="S11" t="s">
        <v>199</v>
      </c>
      <c r="T11" t="s">
        <v>200</v>
      </c>
      <c r="U11" t="s">
        <v>201</v>
      </c>
      <c r="V11" t="s">
        <v>202</v>
      </c>
      <c r="W11" t="s">
        <v>201</v>
      </c>
      <c r="X11" t="s">
        <v>203</v>
      </c>
      <c r="Y11" t="s">
        <v>204</v>
      </c>
      <c r="Z11">
        <v>5.0999999999999996</v>
      </c>
      <c r="AA11">
        <v>15588</v>
      </c>
      <c r="AB11" t="s">
        <v>205</v>
      </c>
      <c r="AC11">
        <v>7</v>
      </c>
      <c r="AD11">
        <v>2014</v>
      </c>
      <c r="AE11">
        <v>27</v>
      </c>
      <c r="AF11" t="s">
        <v>206</v>
      </c>
      <c r="AG11">
        <v>-26</v>
      </c>
      <c r="AH11">
        <v>11.512935464920201</v>
      </c>
      <c r="AI11">
        <v>0.42640501721926699</v>
      </c>
      <c r="AJ11" t="s">
        <v>62</v>
      </c>
      <c r="AK11" t="s">
        <v>207</v>
      </c>
      <c r="AL11">
        <v>16</v>
      </c>
      <c r="AM11">
        <v>1</v>
      </c>
      <c r="AN11">
        <v>38</v>
      </c>
      <c r="AO11">
        <v>0.03</v>
      </c>
      <c r="AP11" t="s">
        <v>64</v>
      </c>
      <c r="AQ11" t="s">
        <v>64</v>
      </c>
    </row>
    <row r="12" spans="1:43" x14ac:dyDescent="0.2">
      <c r="A12">
        <v>119450</v>
      </c>
      <c r="B12" t="s">
        <v>208</v>
      </c>
      <c r="C12">
        <v>7.3339999999999996</v>
      </c>
      <c r="D12">
        <v>11895</v>
      </c>
      <c r="E12" t="s">
        <v>44</v>
      </c>
      <c r="F12" s="1">
        <v>41828</v>
      </c>
      <c r="G12">
        <v>710644566</v>
      </c>
      <c r="H12">
        <v>130</v>
      </c>
      <c r="I12">
        <v>170000000</v>
      </c>
      <c r="J12" t="s">
        <v>209</v>
      </c>
      <c r="K12" t="s">
        <v>67</v>
      </c>
      <c r="L12" t="s">
        <v>208</v>
      </c>
      <c r="M12" t="s">
        <v>210</v>
      </c>
      <c r="N12">
        <v>8.1014999999999997</v>
      </c>
      <c r="O12" t="s">
        <v>211</v>
      </c>
      <c r="P12" t="s">
        <v>212</v>
      </c>
      <c r="Q12" t="s">
        <v>213</v>
      </c>
      <c r="R12" t="s">
        <v>214</v>
      </c>
      <c r="S12" t="s">
        <v>73</v>
      </c>
      <c r="T12" t="s">
        <v>215</v>
      </c>
      <c r="U12" t="s">
        <v>216</v>
      </c>
      <c r="V12" t="s">
        <v>217</v>
      </c>
      <c r="W12" t="s">
        <v>218</v>
      </c>
      <c r="X12" t="s">
        <v>219</v>
      </c>
      <c r="Y12" t="s">
        <v>220</v>
      </c>
      <c r="Z12">
        <v>7.6</v>
      </c>
      <c r="AA12">
        <v>505797</v>
      </c>
      <c r="AB12" t="s">
        <v>221</v>
      </c>
      <c r="AC12">
        <v>7</v>
      </c>
      <c r="AD12">
        <v>2014</v>
      </c>
      <c r="AE12">
        <v>28</v>
      </c>
      <c r="AF12" t="s">
        <v>222</v>
      </c>
      <c r="AG12">
        <v>-22</v>
      </c>
      <c r="AH12">
        <v>20.381682957006401</v>
      </c>
      <c r="AI12">
        <v>0.88616012856549697</v>
      </c>
      <c r="AJ12" t="s">
        <v>62</v>
      </c>
      <c r="AK12" t="s">
        <v>223</v>
      </c>
      <c r="AL12">
        <v>82</v>
      </c>
      <c r="AM12">
        <v>1</v>
      </c>
      <c r="AN12">
        <v>93</v>
      </c>
      <c r="AO12">
        <v>0.01</v>
      </c>
      <c r="AP12" t="s">
        <v>64</v>
      </c>
      <c r="AQ12" t="s">
        <v>64</v>
      </c>
    </row>
    <row r="13" spans="1:43" x14ac:dyDescent="0.2">
      <c r="A13">
        <v>253235</v>
      </c>
      <c r="B13" t="s">
        <v>224</v>
      </c>
      <c r="C13">
        <v>6.0359999999999996</v>
      </c>
      <c r="D13">
        <v>469</v>
      </c>
      <c r="E13" t="s">
        <v>44</v>
      </c>
      <c r="F13" s="1">
        <v>41830</v>
      </c>
      <c r="G13">
        <v>25312387</v>
      </c>
      <c r="H13">
        <v>94</v>
      </c>
      <c r="I13">
        <v>18000000</v>
      </c>
      <c r="J13" t="s">
        <v>225</v>
      </c>
      <c r="K13" t="s">
        <v>67</v>
      </c>
      <c r="L13" t="s">
        <v>224</v>
      </c>
      <c r="M13" t="s">
        <v>226</v>
      </c>
      <c r="N13">
        <v>4.0098000000000003</v>
      </c>
      <c r="O13" t="s">
        <v>227</v>
      </c>
      <c r="P13" t="s">
        <v>228</v>
      </c>
      <c r="Q13" t="s">
        <v>229</v>
      </c>
      <c r="R13" t="s">
        <v>72</v>
      </c>
      <c r="S13" t="s">
        <v>73</v>
      </c>
      <c r="T13" t="s">
        <v>230</v>
      </c>
      <c r="U13" t="s">
        <v>231</v>
      </c>
      <c r="V13" t="s">
        <v>232</v>
      </c>
      <c r="W13" t="s">
        <v>233</v>
      </c>
      <c r="X13" t="s">
        <v>234</v>
      </c>
      <c r="Y13" t="s">
        <v>235</v>
      </c>
      <c r="Z13">
        <v>5.9</v>
      </c>
      <c r="AA13">
        <v>16131</v>
      </c>
      <c r="AB13" t="s">
        <v>236</v>
      </c>
      <c r="AC13">
        <v>7</v>
      </c>
      <c r="AD13">
        <v>2014</v>
      </c>
      <c r="AE13">
        <v>28</v>
      </c>
      <c r="AF13" t="s">
        <v>237</v>
      </c>
      <c r="AG13">
        <v>-20</v>
      </c>
      <c r="AH13">
        <v>17.0468044781298</v>
      </c>
      <c r="AI13">
        <v>0.81175259419666101</v>
      </c>
      <c r="AJ13" t="s">
        <v>62</v>
      </c>
      <c r="AK13" t="s">
        <v>238</v>
      </c>
      <c r="AL13">
        <v>43</v>
      </c>
      <c r="AM13">
        <v>1</v>
      </c>
      <c r="AN13">
        <v>53</v>
      </c>
      <c r="AO13">
        <v>0.02</v>
      </c>
      <c r="AP13" t="s">
        <v>64</v>
      </c>
      <c r="AQ13" t="s">
        <v>64</v>
      </c>
    </row>
    <row r="14" spans="1:43" x14ac:dyDescent="0.2">
      <c r="A14">
        <v>243683</v>
      </c>
      <c r="B14" t="s">
        <v>239</v>
      </c>
      <c r="C14">
        <v>6.8259999999999996</v>
      </c>
      <c r="D14">
        <v>1963</v>
      </c>
      <c r="E14" t="s">
        <v>44</v>
      </c>
      <c r="F14" s="1">
        <v>41835</v>
      </c>
      <c r="G14">
        <v>86165646</v>
      </c>
      <c r="H14">
        <v>112</v>
      </c>
      <c r="I14">
        <v>45000000</v>
      </c>
      <c r="J14" t="s">
        <v>240</v>
      </c>
      <c r="K14" t="s">
        <v>67</v>
      </c>
      <c r="L14" t="s">
        <v>239</v>
      </c>
      <c r="M14" t="s">
        <v>241</v>
      </c>
      <c r="N14">
        <v>5.3109999999999999</v>
      </c>
      <c r="O14" t="s">
        <v>242</v>
      </c>
      <c r="P14" t="s">
        <v>243</v>
      </c>
      <c r="Q14" t="s">
        <v>244</v>
      </c>
      <c r="R14" t="s">
        <v>72</v>
      </c>
      <c r="S14" t="s">
        <v>73</v>
      </c>
      <c r="T14" t="s">
        <v>245</v>
      </c>
      <c r="U14" t="s">
        <v>246</v>
      </c>
      <c r="V14" t="s">
        <v>247</v>
      </c>
      <c r="W14" t="s">
        <v>248</v>
      </c>
      <c r="X14" t="s">
        <v>249</v>
      </c>
      <c r="Y14" t="s">
        <v>250</v>
      </c>
      <c r="Z14">
        <v>5.9</v>
      </c>
      <c r="AA14">
        <v>37154</v>
      </c>
      <c r="AB14" t="s">
        <v>251</v>
      </c>
      <c r="AC14">
        <v>7</v>
      </c>
      <c r="AD14">
        <v>2014</v>
      </c>
      <c r="AE14">
        <v>29</v>
      </c>
      <c r="AF14" t="s">
        <v>252</v>
      </c>
      <c r="AG14">
        <v>-15</v>
      </c>
      <c r="AH14">
        <v>18.2717821295189</v>
      </c>
      <c r="AI14">
        <v>1.1419863830949299</v>
      </c>
      <c r="AJ14" t="s">
        <v>62</v>
      </c>
      <c r="AK14" t="s">
        <v>253</v>
      </c>
      <c r="AL14">
        <v>50</v>
      </c>
      <c r="AM14">
        <v>0</v>
      </c>
      <c r="AN14">
        <v>54</v>
      </c>
      <c r="AO14">
        <v>0</v>
      </c>
      <c r="AP14" t="s">
        <v>64</v>
      </c>
      <c r="AQ14" t="s">
        <v>64</v>
      </c>
    </row>
    <row r="15" spans="1:43" x14ac:dyDescent="0.2">
      <c r="A15">
        <v>218836</v>
      </c>
      <c r="B15" t="s">
        <v>254</v>
      </c>
      <c r="C15">
        <v>6.2</v>
      </c>
      <c r="D15">
        <v>882</v>
      </c>
      <c r="E15" t="s">
        <v>44</v>
      </c>
      <c r="F15" s="1">
        <v>41837</v>
      </c>
      <c r="G15">
        <v>151165787</v>
      </c>
      <c r="H15">
        <v>83</v>
      </c>
      <c r="I15">
        <v>50000000</v>
      </c>
      <c r="J15" t="s">
        <v>255</v>
      </c>
      <c r="K15" t="s">
        <v>67</v>
      </c>
      <c r="L15" t="s">
        <v>254</v>
      </c>
      <c r="M15" t="s">
        <v>256</v>
      </c>
      <c r="N15">
        <v>3.8134999999999999</v>
      </c>
      <c r="O15" t="s">
        <v>257</v>
      </c>
      <c r="P15" t="s">
        <v>258</v>
      </c>
      <c r="Q15" t="s">
        <v>259</v>
      </c>
      <c r="R15" t="s">
        <v>72</v>
      </c>
      <c r="S15" t="s">
        <v>73</v>
      </c>
      <c r="T15" t="s">
        <v>260</v>
      </c>
      <c r="U15" t="s">
        <v>261</v>
      </c>
      <c r="W15" t="s">
        <v>262</v>
      </c>
      <c r="X15" t="s">
        <v>263</v>
      </c>
      <c r="Y15" t="s">
        <v>264</v>
      </c>
      <c r="Z15">
        <v>5.9</v>
      </c>
      <c r="AA15">
        <v>21288</v>
      </c>
      <c r="AB15" t="s">
        <v>265</v>
      </c>
      <c r="AC15">
        <v>7</v>
      </c>
      <c r="AD15">
        <v>2014</v>
      </c>
      <c r="AE15">
        <v>29</v>
      </c>
      <c r="AF15" t="s">
        <v>266</v>
      </c>
      <c r="AG15">
        <v>-13</v>
      </c>
      <c r="AH15">
        <v>18.833887726265498</v>
      </c>
      <c r="AI15">
        <v>1.3452776947332501</v>
      </c>
      <c r="AJ15" t="s">
        <v>62</v>
      </c>
      <c r="AK15" t="s">
        <v>267</v>
      </c>
      <c r="AL15">
        <v>61</v>
      </c>
      <c r="AM15">
        <v>0</v>
      </c>
      <c r="AN15">
        <v>66</v>
      </c>
      <c r="AO15">
        <v>0</v>
      </c>
      <c r="AP15" t="s">
        <v>64</v>
      </c>
      <c r="AQ15" t="s">
        <v>64</v>
      </c>
    </row>
    <row r="16" spans="1:43" x14ac:dyDescent="0.2">
      <c r="A16">
        <v>225886</v>
      </c>
      <c r="B16" t="s">
        <v>268</v>
      </c>
      <c r="C16">
        <v>5.4139999999999997</v>
      </c>
      <c r="D16">
        <v>4124</v>
      </c>
      <c r="E16" t="s">
        <v>44</v>
      </c>
      <c r="F16" s="1">
        <v>41837</v>
      </c>
      <c r="G16">
        <v>126069509</v>
      </c>
      <c r="H16">
        <v>94</v>
      </c>
      <c r="I16">
        <v>40000000</v>
      </c>
      <c r="J16" t="s">
        <v>269</v>
      </c>
      <c r="K16" t="s">
        <v>67</v>
      </c>
      <c r="L16" t="s">
        <v>268</v>
      </c>
      <c r="M16" t="s">
        <v>270</v>
      </c>
      <c r="N16">
        <v>6.0990000000000002</v>
      </c>
      <c r="O16" t="s">
        <v>271</v>
      </c>
      <c r="P16" t="s">
        <v>163</v>
      </c>
      <c r="Q16" t="s">
        <v>272</v>
      </c>
      <c r="R16" t="s">
        <v>72</v>
      </c>
      <c r="S16" t="s">
        <v>73</v>
      </c>
      <c r="T16" t="s">
        <v>273</v>
      </c>
      <c r="U16" t="s">
        <v>274</v>
      </c>
      <c r="V16" t="s">
        <v>275</v>
      </c>
      <c r="W16" t="s">
        <v>276</v>
      </c>
      <c r="X16" t="s">
        <v>277</v>
      </c>
      <c r="Y16" t="s">
        <v>170</v>
      </c>
      <c r="Z16">
        <v>5.0999999999999996</v>
      </c>
      <c r="AA16">
        <v>121869</v>
      </c>
      <c r="AB16" t="s">
        <v>278</v>
      </c>
      <c r="AC16">
        <v>7</v>
      </c>
      <c r="AD16">
        <v>2014</v>
      </c>
      <c r="AE16">
        <v>29</v>
      </c>
      <c r="AF16" t="s">
        <v>279</v>
      </c>
      <c r="AG16">
        <v>-13</v>
      </c>
      <c r="AH16">
        <v>18.652343979470299</v>
      </c>
      <c r="AI16">
        <v>1.33231028424787</v>
      </c>
      <c r="AJ16" t="s">
        <v>62</v>
      </c>
      <c r="AK16" t="s">
        <v>280</v>
      </c>
      <c r="AL16">
        <v>75</v>
      </c>
      <c r="AM16">
        <v>0</v>
      </c>
      <c r="AN16">
        <v>79</v>
      </c>
      <c r="AO16">
        <v>0</v>
      </c>
      <c r="AP16" t="s">
        <v>64</v>
      </c>
      <c r="AQ16" t="s">
        <v>64</v>
      </c>
    </row>
    <row r="17" spans="1:43" x14ac:dyDescent="0.2">
      <c r="A17">
        <v>231576</v>
      </c>
      <c r="B17" t="s">
        <v>281</v>
      </c>
      <c r="C17">
        <v>6.5</v>
      </c>
      <c r="D17">
        <v>749</v>
      </c>
      <c r="E17" t="s">
        <v>44</v>
      </c>
      <c r="F17" s="1">
        <v>41838</v>
      </c>
      <c r="G17">
        <v>5483299</v>
      </c>
      <c r="H17">
        <v>107</v>
      </c>
      <c r="I17">
        <v>5500000</v>
      </c>
      <c r="J17" t="s">
        <v>282</v>
      </c>
      <c r="K17" t="s">
        <v>67</v>
      </c>
      <c r="L17" t="s">
        <v>281</v>
      </c>
      <c r="M17" t="s">
        <v>283</v>
      </c>
      <c r="N17">
        <v>1.3081</v>
      </c>
      <c r="O17" t="s">
        <v>284</v>
      </c>
      <c r="P17" t="s">
        <v>285</v>
      </c>
      <c r="Q17" t="s">
        <v>286</v>
      </c>
      <c r="R17" t="s">
        <v>287</v>
      </c>
      <c r="S17" t="s">
        <v>73</v>
      </c>
      <c r="T17" t="s">
        <v>288</v>
      </c>
      <c r="U17" t="s">
        <v>289</v>
      </c>
      <c r="V17" t="s">
        <v>290</v>
      </c>
      <c r="W17" t="s">
        <v>291</v>
      </c>
      <c r="X17" t="s">
        <v>292</v>
      </c>
      <c r="Y17" t="s">
        <v>293</v>
      </c>
      <c r="Z17">
        <v>6.6</v>
      </c>
      <c r="AA17">
        <v>39593</v>
      </c>
      <c r="AB17" t="s">
        <v>294</v>
      </c>
      <c r="AC17">
        <v>7</v>
      </c>
      <c r="AD17">
        <v>2014</v>
      </c>
      <c r="AE17">
        <v>29</v>
      </c>
      <c r="AF17" t="s">
        <v>295</v>
      </c>
      <c r="AG17">
        <v>-12</v>
      </c>
      <c r="AH17">
        <v>15.517217667461701</v>
      </c>
      <c r="AI17">
        <v>1.1936321282662801</v>
      </c>
      <c r="AJ17" t="s">
        <v>62</v>
      </c>
      <c r="AK17" t="s">
        <v>296</v>
      </c>
      <c r="AL17">
        <v>21</v>
      </c>
      <c r="AM17">
        <v>0</v>
      </c>
      <c r="AN17">
        <v>34</v>
      </c>
      <c r="AO17">
        <v>0</v>
      </c>
      <c r="AP17" t="s">
        <v>64</v>
      </c>
      <c r="AQ17" t="s">
        <v>64</v>
      </c>
    </row>
    <row r="18" spans="1:43" x14ac:dyDescent="0.2">
      <c r="A18">
        <v>282346</v>
      </c>
      <c r="B18" t="s">
        <v>297</v>
      </c>
      <c r="C18">
        <v>4.5</v>
      </c>
      <c r="D18">
        <v>30</v>
      </c>
      <c r="E18" t="s">
        <v>44</v>
      </c>
      <c r="F18" s="1">
        <v>41838</v>
      </c>
      <c r="G18">
        <v>4600000</v>
      </c>
      <c r="H18">
        <v>130</v>
      </c>
      <c r="I18">
        <v>2300000</v>
      </c>
      <c r="J18" t="s">
        <v>298</v>
      </c>
      <c r="K18" t="s">
        <v>299</v>
      </c>
      <c r="L18" t="s">
        <v>297</v>
      </c>
      <c r="M18" t="s">
        <v>300</v>
      </c>
      <c r="N18">
        <v>1.9970000000000001</v>
      </c>
      <c r="O18" t="s">
        <v>301</v>
      </c>
      <c r="P18" t="s">
        <v>302</v>
      </c>
      <c r="Q18" t="s">
        <v>303</v>
      </c>
      <c r="R18" t="s">
        <v>304</v>
      </c>
      <c r="S18" t="s">
        <v>305</v>
      </c>
      <c r="T18" t="s">
        <v>306</v>
      </c>
      <c r="U18" t="s">
        <v>307</v>
      </c>
      <c r="V18" t="s">
        <v>308</v>
      </c>
      <c r="W18" t="s">
        <v>309</v>
      </c>
      <c r="X18" t="s">
        <v>310</v>
      </c>
      <c r="Y18" t="s">
        <v>311</v>
      </c>
      <c r="Z18">
        <v>4.4000000000000004</v>
      </c>
      <c r="AA18">
        <v>2602</v>
      </c>
      <c r="AB18" t="s">
        <v>312</v>
      </c>
      <c r="AC18">
        <v>7</v>
      </c>
      <c r="AD18">
        <v>2014</v>
      </c>
      <c r="AE18">
        <v>29</v>
      </c>
      <c r="AF18" t="s">
        <v>313</v>
      </c>
      <c r="AG18">
        <v>-12</v>
      </c>
      <c r="AH18">
        <v>15.3415670788506</v>
      </c>
      <c r="AI18">
        <v>1.18012054452696</v>
      </c>
      <c r="AJ18" t="s">
        <v>62</v>
      </c>
      <c r="AK18" t="s">
        <v>314</v>
      </c>
      <c r="AL18">
        <v>3</v>
      </c>
      <c r="AM18">
        <v>1</v>
      </c>
      <c r="AN18">
        <v>5</v>
      </c>
      <c r="AO18">
        <v>0.2</v>
      </c>
      <c r="AP18" t="s">
        <v>64</v>
      </c>
      <c r="AQ18" t="s">
        <v>64</v>
      </c>
    </row>
    <row r="19" spans="1:43" x14ac:dyDescent="0.2">
      <c r="A19">
        <v>184315</v>
      </c>
      <c r="B19" t="s">
        <v>315</v>
      </c>
      <c r="C19">
        <v>5.8</v>
      </c>
      <c r="D19">
        <v>4219</v>
      </c>
      <c r="E19" t="s">
        <v>44</v>
      </c>
      <c r="F19" s="1">
        <v>41843</v>
      </c>
      <c r="G19">
        <v>244819862</v>
      </c>
      <c r="H19">
        <v>98</v>
      </c>
      <c r="I19">
        <v>100000000</v>
      </c>
      <c r="J19" t="s">
        <v>316</v>
      </c>
      <c r="K19" t="s">
        <v>67</v>
      </c>
      <c r="L19" t="s">
        <v>315</v>
      </c>
      <c r="M19" t="s">
        <v>317</v>
      </c>
      <c r="N19">
        <v>5.9485999999999999</v>
      </c>
      <c r="O19" t="s">
        <v>318</v>
      </c>
      <c r="P19" t="s">
        <v>319</v>
      </c>
      <c r="Q19" t="s">
        <v>320</v>
      </c>
      <c r="R19" t="s">
        <v>72</v>
      </c>
      <c r="S19" t="s">
        <v>73</v>
      </c>
      <c r="T19" t="s">
        <v>321</v>
      </c>
      <c r="U19" t="s">
        <v>322</v>
      </c>
      <c r="V19" t="s">
        <v>323</v>
      </c>
      <c r="W19" t="s">
        <v>324</v>
      </c>
      <c r="X19" t="s">
        <v>325</v>
      </c>
      <c r="Y19" t="s">
        <v>326</v>
      </c>
      <c r="Z19">
        <v>6</v>
      </c>
      <c r="AA19">
        <v>170102</v>
      </c>
      <c r="AB19" t="s">
        <v>327</v>
      </c>
      <c r="AC19">
        <v>7</v>
      </c>
      <c r="AD19">
        <v>2014</v>
      </c>
      <c r="AE19">
        <v>30</v>
      </c>
      <c r="AF19" t="s">
        <v>328</v>
      </c>
      <c r="AG19">
        <v>-7</v>
      </c>
      <c r="AH19">
        <v>19.316033245016602</v>
      </c>
      <c r="AI19">
        <v>2.4145041556270801</v>
      </c>
      <c r="AJ19" t="s">
        <v>62</v>
      </c>
      <c r="AK19" t="s">
        <v>329</v>
      </c>
      <c r="AL19">
        <v>71</v>
      </c>
      <c r="AM19">
        <v>0</v>
      </c>
      <c r="AN19">
        <v>78</v>
      </c>
      <c r="AO19">
        <v>0</v>
      </c>
      <c r="AP19" t="s">
        <v>64</v>
      </c>
      <c r="AQ19" t="s">
        <v>64</v>
      </c>
    </row>
    <row r="20" spans="1:43" x14ac:dyDescent="0.2">
      <c r="A20">
        <v>157849</v>
      </c>
      <c r="B20" t="s">
        <v>330</v>
      </c>
      <c r="C20">
        <v>6.4690000000000003</v>
      </c>
      <c r="D20">
        <v>1413</v>
      </c>
      <c r="E20" t="s">
        <v>44</v>
      </c>
      <c r="F20" s="1">
        <v>41845</v>
      </c>
      <c r="G20">
        <v>31554855</v>
      </c>
      <c r="H20">
        <v>121</v>
      </c>
      <c r="I20">
        <v>15000000</v>
      </c>
      <c r="J20" t="s">
        <v>331</v>
      </c>
      <c r="K20" t="s">
        <v>67</v>
      </c>
      <c r="L20" t="s">
        <v>330</v>
      </c>
      <c r="M20" t="s">
        <v>332</v>
      </c>
      <c r="N20">
        <v>2.8464</v>
      </c>
      <c r="O20" t="s">
        <v>333</v>
      </c>
      <c r="P20" t="s">
        <v>334</v>
      </c>
      <c r="Q20" t="s">
        <v>335</v>
      </c>
      <c r="R20" t="s">
        <v>89</v>
      </c>
      <c r="S20" t="s">
        <v>73</v>
      </c>
      <c r="T20" t="s">
        <v>336</v>
      </c>
      <c r="U20" t="s">
        <v>337</v>
      </c>
      <c r="V20" t="s">
        <v>338</v>
      </c>
      <c r="W20" t="s">
        <v>339</v>
      </c>
      <c r="X20" t="s">
        <v>340</v>
      </c>
      <c r="Y20" t="s">
        <v>341</v>
      </c>
      <c r="Z20">
        <v>6.7</v>
      </c>
      <c r="AA20">
        <v>83709</v>
      </c>
      <c r="AB20" t="s">
        <v>342</v>
      </c>
      <c r="AC20">
        <v>7</v>
      </c>
      <c r="AD20">
        <v>2014</v>
      </c>
      <c r="AE20">
        <v>30</v>
      </c>
      <c r="AF20" t="s">
        <v>343</v>
      </c>
      <c r="AG20">
        <v>-5</v>
      </c>
      <c r="AH20">
        <v>17.2672380495294</v>
      </c>
      <c r="AI20">
        <v>2.8778730082549</v>
      </c>
      <c r="AJ20" t="s">
        <v>62</v>
      </c>
      <c r="AK20" t="s">
        <v>344</v>
      </c>
      <c r="AL20">
        <v>41</v>
      </c>
      <c r="AM20">
        <v>0</v>
      </c>
      <c r="AN20">
        <v>60</v>
      </c>
      <c r="AO20">
        <v>0</v>
      </c>
      <c r="AP20" t="s">
        <v>64</v>
      </c>
      <c r="AQ20" t="s">
        <v>64</v>
      </c>
    </row>
    <row r="21" spans="1:43" x14ac:dyDescent="0.2">
      <c r="A21">
        <v>282631</v>
      </c>
      <c r="B21" t="s">
        <v>345</v>
      </c>
      <c r="C21">
        <v>7</v>
      </c>
      <c r="D21">
        <v>302</v>
      </c>
      <c r="E21" t="s">
        <v>44</v>
      </c>
      <c r="F21" s="1">
        <v>41850</v>
      </c>
      <c r="G21">
        <v>138342258</v>
      </c>
      <c r="H21">
        <v>126</v>
      </c>
      <c r="I21">
        <v>9500000</v>
      </c>
      <c r="J21" t="s">
        <v>346</v>
      </c>
      <c r="K21" t="s">
        <v>347</v>
      </c>
      <c r="L21" t="s">
        <v>348</v>
      </c>
      <c r="M21" t="s">
        <v>349</v>
      </c>
      <c r="N21">
        <v>3.7563</v>
      </c>
      <c r="O21" t="s">
        <v>350</v>
      </c>
      <c r="P21" t="s">
        <v>351</v>
      </c>
      <c r="Q21" t="s">
        <v>352</v>
      </c>
      <c r="R21" t="s">
        <v>353</v>
      </c>
      <c r="S21" t="s">
        <v>354</v>
      </c>
      <c r="T21" t="s">
        <v>355</v>
      </c>
      <c r="U21" t="s">
        <v>356</v>
      </c>
      <c r="V21" t="s">
        <v>357</v>
      </c>
      <c r="W21" t="s">
        <v>358</v>
      </c>
      <c r="X21" t="s">
        <v>359</v>
      </c>
      <c r="Y21" t="s">
        <v>360</v>
      </c>
      <c r="Z21">
        <v>7.1</v>
      </c>
      <c r="AA21">
        <v>13893</v>
      </c>
      <c r="AB21" t="s">
        <v>361</v>
      </c>
      <c r="AC21">
        <v>7</v>
      </c>
      <c r="AD21">
        <v>2014</v>
      </c>
      <c r="AE21">
        <v>31</v>
      </c>
      <c r="AF21" t="s">
        <v>362</v>
      </c>
      <c r="AG21">
        <v>0</v>
      </c>
      <c r="AH21">
        <v>18.745241310336901</v>
      </c>
      <c r="AI21">
        <v>18.745241310336901</v>
      </c>
      <c r="AJ21" t="s">
        <v>62</v>
      </c>
      <c r="AK21" t="s">
        <v>363</v>
      </c>
      <c r="AL21">
        <v>5</v>
      </c>
      <c r="AM21">
        <v>3</v>
      </c>
      <c r="AN21">
        <v>20</v>
      </c>
      <c r="AO21">
        <v>0.15</v>
      </c>
      <c r="AP21" t="s">
        <v>64</v>
      </c>
      <c r="AQ21" t="s">
        <v>64</v>
      </c>
    </row>
    <row r="22" spans="1:43" x14ac:dyDescent="0.2">
      <c r="A22">
        <v>199575</v>
      </c>
      <c r="B22" t="s">
        <v>364</v>
      </c>
      <c r="C22">
        <v>6.5</v>
      </c>
      <c r="D22">
        <v>583</v>
      </c>
      <c r="E22" t="s">
        <v>44</v>
      </c>
      <c r="F22" s="1">
        <v>41851</v>
      </c>
      <c r="G22">
        <v>360000</v>
      </c>
      <c r="H22">
        <v>87</v>
      </c>
      <c r="I22">
        <v>2500000</v>
      </c>
      <c r="J22" t="s">
        <v>365</v>
      </c>
      <c r="K22" t="s">
        <v>67</v>
      </c>
      <c r="L22" t="s">
        <v>364</v>
      </c>
      <c r="M22" t="s">
        <v>366</v>
      </c>
      <c r="N22">
        <v>2.8485</v>
      </c>
      <c r="O22" t="s">
        <v>367</v>
      </c>
      <c r="P22" t="s">
        <v>368</v>
      </c>
      <c r="Q22" t="s">
        <v>369</v>
      </c>
      <c r="R22" t="s">
        <v>370</v>
      </c>
      <c r="S22" t="s">
        <v>73</v>
      </c>
      <c r="T22" t="s">
        <v>371</v>
      </c>
      <c r="U22" t="s">
        <v>372</v>
      </c>
      <c r="V22" t="s">
        <v>373</v>
      </c>
      <c r="W22" t="s">
        <v>374</v>
      </c>
      <c r="X22" t="s">
        <v>375</v>
      </c>
      <c r="Y22" t="s">
        <v>376</v>
      </c>
      <c r="Z22">
        <v>6.6</v>
      </c>
      <c r="AA22">
        <v>19927</v>
      </c>
      <c r="AB22" t="s">
        <v>377</v>
      </c>
      <c r="AC22">
        <v>7</v>
      </c>
      <c r="AD22">
        <v>2014</v>
      </c>
      <c r="AE22">
        <v>31</v>
      </c>
      <c r="AF22" t="s">
        <v>378</v>
      </c>
      <c r="AG22">
        <v>1</v>
      </c>
      <c r="AH22">
        <v>12.7938620882062</v>
      </c>
      <c r="AI22">
        <v>6.3969310441031002</v>
      </c>
      <c r="AJ22" t="s">
        <v>62</v>
      </c>
      <c r="AK22" t="s">
        <v>379</v>
      </c>
      <c r="AL22">
        <v>3</v>
      </c>
      <c r="AM22">
        <v>0</v>
      </c>
      <c r="AN22">
        <v>26</v>
      </c>
      <c r="AO22">
        <v>0</v>
      </c>
      <c r="AP22" t="s">
        <v>64</v>
      </c>
      <c r="AQ22" t="s">
        <v>64</v>
      </c>
    </row>
    <row r="23" spans="1:43" x14ac:dyDescent="0.2">
      <c r="A23">
        <v>239566</v>
      </c>
      <c r="B23" t="s">
        <v>380</v>
      </c>
      <c r="C23">
        <v>6.8</v>
      </c>
      <c r="D23">
        <v>546</v>
      </c>
      <c r="E23" t="s">
        <v>44</v>
      </c>
      <c r="F23" s="1">
        <v>41852</v>
      </c>
      <c r="G23">
        <v>33448971</v>
      </c>
      <c r="H23">
        <v>139</v>
      </c>
      <c r="I23">
        <v>30000000</v>
      </c>
      <c r="J23" t="s">
        <v>381</v>
      </c>
      <c r="K23" t="s">
        <v>67</v>
      </c>
      <c r="L23" t="s">
        <v>380</v>
      </c>
      <c r="M23" t="s">
        <v>382</v>
      </c>
      <c r="N23">
        <v>2.7509000000000001</v>
      </c>
      <c r="O23" t="s">
        <v>383</v>
      </c>
      <c r="P23" t="s">
        <v>384</v>
      </c>
      <c r="Q23" t="s">
        <v>385</v>
      </c>
      <c r="R23" t="s">
        <v>72</v>
      </c>
      <c r="S23" t="s">
        <v>73</v>
      </c>
      <c r="T23" t="s">
        <v>386</v>
      </c>
      <c r="U23" t="s">
        <v>387</v>
      </c>
      <c r="V23" t="s">
        <v>388</v>
      </c>
      <c r="W23" t="s">
        <v>389</v>
      </c>
      <c r="X23" t="s">
        <v>390</v>
      </c>
      <c r="Y23" t="s">
        <v>391</v>
      </c>
      <c r="Z23">
        <v>6.9</v>
      </c>
      <c r="AA23">
        <v>26939</v>
      </c>
      <c r="AB23" t="s">
        <v>392</v>
      </c>
      <c r="AC23">
        <v>8</v>
      </c>
      <c r="AD23">
        <v>2014</v>
      </c>
      <c r="AE23">
        <v>31</v>
      </c>
      <c r="AF23" t="s">
        <v>393</v>
      </c>
      <c r="AG23">
        <v>2</v>
      </c>
      <c r="AH23">
        <v>17.3255316116297</v>
      </c>
      <c r="AI23">
        <v>5.7751772038765896</v>
      </c>
      <c r="AJ23" t="s">
        <v>62</v>
      </c>
      <c r="AK23" t="s">
        <v>394</v>
      </c>
      <c r="AL23">
        <v>23</v>
      </c>
      <c r="AM23">
        <v>0</v>
      </c>
      <c r="AN23">
        <v>37</v>
      </c>
      <c r="AO23">
        <v>0</v>
      </c>
      <c r="AP23" t="s">
        <v>64</v>
      </c>
      <c r="AQ23" t="s">
        <v>64</v>
      </c>
    </row>
    <row r="24" spans="1:43" x14ac:dyDescent="0.2">
      <c r="A24">
        <v>216282</v>
      </c>
      <c r="B24" t="s">
        <v>395</v>
      </c>
      <c r="C24">
        <v>6.1</v>
      </c>
      <c r="D24">
        <v>2099</v>
      </c>
      <c r="E24" t="s">
        <v>44</v>
      </c>
      <c r="F24" s="1">
        <v>41857</v>
      </c>
      <c r="G24">
        <v>160600000</v>
      </c>
      <c r="H24">
        <v>89</v>
      </c>
      <c r="I24">
        <v>50000000</v>
      </c>
      <c r="J24" t="s">
        <v>396</v>
      </c>
      <c r="K24" t="s">
        <v>67</v>
      </c>
      <c r="L24" t="s">
        <v>395</v>
      </c>
      <c r="M24" t="s">
        <v>397</v>
      </c>
      <c r="N24">
        <v>2.7688999999999999</v>
      </c>
      <c r="O24" t="s">
        <v>398</v>
      </c>
      <c r="P24" t="s">
        <v>399</v>
      </c>
      <c r="Q24" t="s">
        <v>400</v>
      </c>
      <c r="R24" t="s">
        <v>72</v>
      </c>
      <c r="S24" t="s">
        <v>73</v>
      </c>
      <c r="T24" t="s">
        <v>401</v>
      </c>
      <c r="U24" t="s">
        <v>402</v>
      </c>
      <c r="V24" t="s">
        <v>247</v>
      </c>
      <c r="W24" t="s">
        <v>403</v>
      </c>
      <c r="X24" t="s">
        <v>404</v>
      </c>
      <c r="Y24" t="s">
        <v>405</v>
      </c>
      <c r="Z24">
        <v>5.8</v>
      </c>
      <c r="AA24">
        <v>73695</v>
      </c>
      <c r="AB24" t="s">
        <v>406</v>
      </c>
      <c r="AC24">
        <v>8</v>
      </c>
      <c r="AD24">
        <v>2014</v>
      </c>
      <c r="AE24">
        <v>32</v>
      </c>
      <c r="AF24" t="s">
        <v>407</v>
      </c>
      <c r="AG24">
        <v>7</v>
      </c>
      <c r="AH24">
        <v>18.8944273657035</v>
      </c>
      <c r="AI24">
        <v>2.3618034207129401</v>
      </c>
      <c r="AJ24" t="s">
        <v>62</v>
      </c>
      <c r="AK24" t="s">
        <v>408</v>
      </c>
      <c r="AL24">
        <v>76</v>
      </c>
      <c r="AM24">
        <v>0</v>
      </c>
      <c r="AN24">
        <v>78</v>
      </c>
      <c r="AO24">
        <v>0</v>
      </c>
      <c r="AP24" t="s">
        <v>64</v>
      </c>
      <c r="AQ24" t="s">
        <v>64</v>
      </c>
    </row>
    <row r="25" spans="1:43" x14ac:dyDescent="0.2">
      <c r="A25">
        <v>228194</v>
      </c>
      <c r="B25" t="s">
        <v>409</v>
      </c>
      <c r="C25">
        <v>7.3</v>
      </c>
      <c r="D25">
        <v>1484</v>
      </c>
      <c r="E25" t="s">
        <v>44</v>
      </c>
      <c r="F25" s="1">
        <v>41857</v>
      </c>
      <c r="G25">
        <v>89500000</v>
      </c>
      <c r="H25">
        <v>122</v>
      </c>
      <c r="I25">
        <v>22000000</v>
      </c>
      <c r="J25" t="s">
        <v>410</v>
      </c>
      <c r="K25" t="s">
        <v>67</v>
      </c>
      <c r="L25" t="s">
        <v>409</v>
      </c>
      <c r="M25" t="s">
        <v>411</v>
      </c>
      <c r="N25">
        <v>2.9470000000000001</v>
      </c>
      <c r="O25" t="s">
        <v>412</v>
      </c>
      <c r="P25" t="s">
        <v>285</v>
      </c>
      <c r="Q25" t="s">
        <v>413</v>
      </c>
      <c r="R25" t="s">
        <v>414</v>
      </c>
      <c r="S25" t="s">
        <v>415</v>
      </c>
      <c r="T25" t="s">
        <v>416</v>
      </c>
      <c r="U25" t="s">
        <v>417</v>
      </c>
      <c r="V25" t="s">
        <v>418</v>
      </c>
      <c r="W25" t="s">
        <v>419</v>
      </c>
      <c r="X25" t="s">
        <v>420</v>
      </c>
      <c r="Y25" t="s">
        <v>421</v>
      </c>
      <c r="Z25">
        <v>7.3</v>
      </c>
      <c r="AA25">
        <v>90504</v>
      </c>
      <c r="AB25" t="s">
        <v>422</v>
      </c>
      <c r="AC25">
        <v>8</v>
      </c>
      <c r="AD25">
        <v>2014</v>
      </c>
      <c r="AE25">
        <v>32</v>
      </c>
      <c r="AF25" t="s">
        <v>423</v>
      </c>
      <c r="AG25">
        <v>7</v>
      </c>
      <c r="AH25">
        <v>18.309749194418199</v>
      </c>
      <c r="AI25">
        <v>2.2887186493022802</v>
      </c>
      <c r="AJ25" t="s">
        <v>62</v>
      </c>
      <c r="AK25" t="s">
        <v>424</v>
      </c>
      <c r="AL25">
        <v>70</v>
      </c>
      <c r="AM25">
        <v>0</v>
      </c>
      <c r="AN25">
        <v>80</v>
      </c>
      <c r="AO25">
        <v>0</v>
      </c>
      <c r="AP25" t="s">
        <v>64</v>
      </c>
      <c r="AQ25" t="s">
        <v>64</v>
      </c>
    </row>
    <row r="26" spans="1:43" x14ac:dyDescent="0.2">
      <c r="A26">
        <v>285213</v>
      </c>
      <c r="B26" t="s">
        <v>425</v>
      </c>
      <c r="C26">
        <v>7</v>
      </c>
      <c r="D26">
        <v>228</v>
      </c>
      <c r="E26" t="s">
        <v>44</v>
      </c>
      <c r="F26" s="1">
        <v>41857</v>
      </c>
      <c r="G26">
        <v>64400000</v>
      </c>
      <c r="H26">
        <v>130</v>
      </c>
      <c r="I26">
        <v>13000000</v>
      </c>
      <c r="J26" t="s">
        <v>426</v>
      </c>
      <c r="K26" t="s">
        <v>347</v>
      </c>
      <c r="L26" t="s">
        <v>427</v>
      </c>
      <c r="M26" t="s">
        <v>428</v>
      </c>
      <c r="N26">
        <v>3.9603000000000002</v>
      </c>
      <c r="O26" t="s">
        <v>429</v>
      </c>
      <c r="P26" t="s">
        <v>430</v>
      </c>
      <c r="Q26" t="s">
        <v>431</v>
      </c>
      <c r="R26" t="s">
        <v>353</v>
      </c>
      <c r="S26" t="s">
        <v>432</v>
      </c>
      <c r="T26" t="s">
        <v>433</v>
      </c>
      <c r="U26" t="s">
        <v>434</v>
      </c>
      <c r="V26" t="s">
        <v>435</v>
      </c>
      <c r="W26" t="s">
        <v>436</v>
      </c>
      <c r="X26" t="s">
        <v>437</v>
      </c>
      <c r="Y26" t="s">
        <v>438</v>
      </c>
      <c r="Z26">
        <v>6.5</v>
      </c>
      <c r="AA26">
        <v>4856</v>
      </c>
      <c r="AB26" t="s">
        <v>439</v>
      </c>
      <c r="AC26">
        <v>8</v>
      </c>
      <c r="AD26">
        <v>2014</v>
      </c>
      <c r="AE26">
        <v>32</v>
      </c>
      <c r="AF26" t="s">
        <v>440</v>
      </c>
      <c r="AG26">
        <v>7</v>
      </c>
      <c r="AH26">
        <v>17.980624206602499</v>
      </c>
      <c r="AI26">
        <v>2.2475780258253102</v>
      </c>
      <c r="AJ26" t="s">
        <v>62</v>
      </c>
      <c r="AK26" t="s">
        <v>441</v>
      </c>
      <c r="AL26">
        <v>5</v>
      </c>
      <c r="AM26">
        <v>0</v>
      </c>
      <c r="AN26">
        <v>11</v>
      </c>
      <c r="AO26">
        <v>0</v>
      </c>
      <c r="AP26" t="s">
        <v>64</v>
      </c>
      <c r="AQ26" t="s">
        <v>64</v>
      </c>
    </row>
    <row r="27" spans="1:43" x14ac:dyDescent="0.2">
      <c r="A27">
        <v>98566</v>
      </c>
      <c r="B27" t="s">
        <v>442</v>
      </c>
      <c r="C27">
        <v>5.9</v>
      </c>
      <c r="D27">
        <v>7013</v>
      </c>
      <c r="E27" t="s">
        <v>44</v>
      </c>
      <c r="F27" s="1">
        <v>41858</v>
      </c>
      <c r="G27">
        <v>485004754</v>
      </c>
      <c r="H27">
        <v>101</v>
      </c>
      <c r="I27">
        <v>125000000</v>
      </c>
      <c r="J27" t="s">
        <v>443</v>
      </c>
      <c r="K27" t="s">
        <v>67</v>
      </c>
      <c r="L27" t="s">
        <v>442</v>
      </c>
      <c r="M27" t="s">
        <v>444</v>
      </c>
      <c r="N27">
        <v>13.680300000000001</v>
      </c>
      <c r="O27" t="s">
        <v>445</v>
      </c>
      <c r="P27" t="s">
        <v>446</v>
      </c>
      <c r="Q27" t="s">
        <v>447</v>
      </c>
      <c r="R27" t="s">
        <v>72</v>
      </c>
      <c r="S27" t="s">
        <v>73</v>
      </c>
      <c r="T27" t="s">
        <v>448</v>
      </c>
      <c r="U27" t="s">
        <v>449</v>
      </c>
      <c r="V27" t="s">
        <v>450</v>
      </c>
      <c r="W27" t="s">
        <v>451</v>
      </c>
      <c r="X27" t="s">
        <v>452</v>
      </c>
      <c r="Y27" t="s">
        <v>405</v>
      </c>
      <c r="Z27">
        <v>5.8</v>
      </c>
      <c r="AA27">
        <v>227629</v>
      </c>
      <c r="AB27" t="s">
        <v>453</v>
      </c>
      <c r="AC27">
        <v>8</v>
      </c>
      <c r="AD27">
        <v>2014</v>
      </c>
      <c r="AE27">
        <v>32</v>
      </c>
      <c r="AF27" t="s">
        <v>454</v>
      </c>
      <c r="AG27">
        <v>8</v>
      </c>
      <c r="AH27">
        <v>19.999669252977402</v>
      </c>
      <c r="AI27">
        <v>2.2221854725530399</v>
      </c>
      <c r="AJ27" t="s">
        <v>62</v>
      </c>
      <c r="AK27" t="s">
        <v>455</v>
      </c>
      <c r="AL27">
        <v>91</v>
      </c>
      <c r="AM27">
        <v>1</v>
      </c>
      <c r="AN27">
        <v>105</v>
      </c>
      <c r="AO27">
        <v>0.01</v>
      </c>
      <c r="AP27" t="s">
        <v>64</v>
      </c>
      <c r="AQ27" t="s">
        <v>64</v>
      </c>
    </row>
    <row r="28" spans="1:43" x14ac:dyDescent="0.2">
      <c r="A28">
        <v>138103</v>
      </c>
      <c r="B28" t="s">
        <v>456</v>
      </c>
      <c r="C28">
        <v>6.2089999999999996</v>
      </c>
      <c r="D28">
        <v>5158</v>
      </c>
      <c r="E28" t="s">
        <v>44</v>
      </c>
      <c r="F28" s="1">
        <v>41858</v>
      </c>
      <c r="G28">
        <v>214657577</v>
      </c>
      <c r="H28">
        <v>126</v>
      </c>
      <c r="I28">
        <v>95000000</v>
      </c>
      <c r="J28" t="s">
        <v>457</v>
      </c>
      <c r="K28" t="s">
        <v>67</v>
      </c>
      <c r="L28" t="s">
        <v>456</v>
      </c>
      <c r="M28" t="s">
        <v>458</v>
      </c>
      <c r="N28">
        <v>8.5762999999999998</v>
      </c>
      <c r="O28" t="s">
        <v>459</v>
      </c>
      <c r="P28" t="s">
        <v>460</v>
      </c>
      <c r="Q28" t="s">
        <v>461</v>
      </c>
      <c r="R28" t="s">
        <v>462</v>
      </c>
      <c r="S28" t="s">
        <v>73</v>
      </c>
      <c r="T28" t="s">
        <v>463</v>
      </c>
      <c r="U28" t="s">
        <v>464</v>
      </c>
      <c r="V28" t="s">
        <v>465</v>
      </c>
      <c r="W28" t="s">
        <v>466</v>
      </c>
      <c r="X28" t="s">
        <v>467</v>
      </c>
      <c r="Y28" t="s">
        <v>405</v>
      </c>
      <c r="Z28">
        <v>6.1</v>
      </c>
      <c r="AA28">
        <v>203744</v>
      </c>
      <c r="AB28" t="s">
        <v>468</v>
      </c>
      <c r="AC28">
        <v>8</v>
      </c>
      <c r="AD28">
        <v>2014</v>
      </c>
      <c r="AE28">
        <v>32</v>
      </c>
      <c r="AF28" t="s">
        <v>469</v>
      </c>
      <c r="AG28">
        <v>8</v>
      </c>
      <c r="AH28">
        <v>19.184554655994901</v>
      </c>
      <c r="AI28">
        <v>2.1316171839994298</v>
      </c>
      <c r="AJ28" t="s">
        <v>62</v>
      </c>
      <c r="AK28" t="s">
        <v>470</v>
      </c>
      <c r="AL28">
        <v>73</v>
      </c>
      <c r="AM28">
        <v>1</v>
      </c>
      <c r="AN28">
        <v>90</v>
      </c>
      <c r="AO28">
        <v>0.01</v>
      </c>
      <c r="AP28" t="s">
        <v>64</v>
      </c>
      <c r="AQ28" t="s">
        <v>64</v>
      </c>
    </row>
    <row r="29" spans="1:43" x14ac:dyDescent="0.2">
      <c r="A29">
        <v>265712</v>
      </c>
      <c r="B29" t="s">
        <v>471</v>
      </c>
      <c r="C29">
        <v>7.4</v>
      </c>
      <c r="D29">
        <v>569</v>
      </c>
      <c r="E29" t="s">
        <v>44</v>
      </c>
      <c r="F29" s="1">
        <v>41859</v>
      </c>
      <c r="G29">
        <v>83100000</v>
      </c>
      <c r="H29">
        <v>94</v>
      </c>
      <c r="I29">
        <v>35000000</v>
      </c>
      <c r="J29" t="s">
        <v>472</v>
      </c>
      <c r="K29" t="s">
        <v>473</v>
      </c>
      <c r="L29" t="s">
        <v>474</v>
      </c>
      <c r="M29" t="s">
        <v>475</v>
      </c>
      <c r="N29">
        <v>3.9952000000000001</v>
      </c>
      <c r="O29" t="s">
        <v>476</v>
      </c>
      <c r="P29" t="s">
        <v>477</v>
      </c>
      <c r="Q29" t="s">
        <v>478</v>
      </c>
      <c r="R29" t="s">
        <v>479</v>
      </c>
      <c r="S29" t="s">
        <v>480</v>
      </c>
      <c r="T29" t="s">
        <v>481</v>
      </c>
      <c r="U29" t="s">
        <v>482</v>
      </c>
      <c r="W29" t="s">
        <v>483</v>
      </c>
      <c r="X29" t="s">
        <v>484</v>
      </c>
      <c r="Y29" t="s">
        <v>485</v>
      </c>
      <c r="Z29">
        <v>7.3</v>
      </c>
      <c r="AA29">
        <v>10609</v>
      </c>
      <c r="AB29" t="s">
        <v>486</v>
      </c>
      <c r="AC29">
        <v>8</v>
      </c>
      <c r="AD29">
        <v>2014</v>
      </c>
      <c r="AE29">
        <v>32</v>
      </c>
      <c r="AF29" t="s">
        <v>487</v>
      </c>
      <c r="AG29">
        <v>9</v>
      </c>
      <c r="AH29">
        <v>18.235555271859301</v>
      </c>
      <c r="AI29">
        <v>1.8235555271859301</v>
      </c>
      <c r="AJ29" t="s">
        <v>62</v>
      </c>
      <c r="AK29" t="s">
        <v>488</v>
      </c>
      <c r="AL29">
        <v>19</v>
      </c>
      <c r="AM29">
        <v>10</v>
      </c>
      <c r="AN29">
        <v>33</v>
      </c>
      <c r="AO29">
        <v>0.3</v>
      </c>
      <c r="AP29" t="s">
        <v>64</v>
      </c>
      <c r="AQ29" t="s">
        <v>64</v>
      </c>
    </row>
    <row r="30" spans="1:43" x14ac:dyDescent="0.2">
      <c r="A30">
        <v>193893</v>
      </c>
      <c r="B30" t="s">
        <v>489</v>
      </c>
      <c r="C30">
        <v>6.4630000000000001</v>
      </c>
      <c r="D30">
        <v>2876</v>
      </c>
      <c r="E30" t="s">
        <v>44</v>
      </c>
      <c r="F30" s="1">
        <v>41864</v>
      </c>
      <c r="G30">
        <v>136600000</v>
      </c>
      <c r="H30">
        <v>104</v>
      </c>
      <c r="I30">
        <v>17000000</v>
      </c>
      <c r="J30" t="s">
        <v>490</v>
      </c>
      <c r="K30" t="s">
        <v>67</v>
      </c>
      <c r="L30" t="s">
        <v>489</v>
      </c>
      <c r="M30" t="s">
        <v>491</v>
      </c>
      <c r="N30">
        <v>8.6027000000000005</v>
      </c>
      <c r="O30" t="s">
        <v>492</v>
      </c>
      <c r="P30" t="s">
        <v>163</v>
      </c>
      <c r="Q30" t="s">
        <v>493</v>
      </c>
      <c r="R30" t="s">
        <v>72</v>
      </c>
      <c r="S30" t="s">
        <v>73</v>
      </c>
      <c r="T30" t="s">
        <v>494</v>
      </c>
      <c r="U30" t="s">
        <v>495</v>
      </c>
      <c r="V30" t="s">
        <v>496</v>
      </c>
      <c r="W30" t="s">
        <v>497</v>
      </c>
      <c r="X30" t="s">
        <v>498</v>
      </c>
      <c r="Y30" t="s">
        <v>499</v>
      </c>
      <c r="Z30">
        <v>6.4</v>
      </c>
      <c r="AA30">
        <v>143321</v>
      </c>
      <c r="AB30" t="s">
        <v>500</v>
      </c>
      <c r="AC30">
        <v>8</v>
      </c>
      <c r="AD30">
        <v>2014</v>
      </c>
      <c r="AE30">
        <v>33</v>
      </c>
      <c r="AF30" t="s">
        <v>501</v>
      </c>
      <c r="AG30">
        <v>14</v>
      </c>
      <c r="AH30">
        <v>18.7325675124216</v>
      </c>
      <c r="AI30">
        <v>1.2488378341614399</v>
      </c>
      <c r="AJ30" t="s">
        <v>62</v>
      </c>
      <c r="AK30" t="s">
        <v>502</v>
      </c>
      <c r="AL30">
        <v>73</v>
      </c>
      <c r="AM30">
        <v>1</v>
      </c>
      <c r="AN30">
        <v>77</v>
      </c>
      <c r="AO30">
        <v>0.01</v>
      </c>
      <c r="AP30" t="s">
        <v>64</v>
      </c>
      <c r="AQ30" t="s">
        <v>64</v>
      </c>
    </row>
    <row r="31" spans="1:43" x14ac:dyDescent="0.2">
      <c r="A31">
        <v>227156</v>
      </c>
      <c r="B31" t="s">
        <v>503</v>
      </c>
      <c r="C31">
        <v>6.6</v>
      </c>
      <c r="D31">
        <v>4517</v>
      </c>
      <c r="E31" t="s">
        <v>44</v>
      </c>
      <c r="F31" s="1">
        <v>41864</v>
      </c>
      <c r="G31">
        <v>66980456</v>
      </c>
      <c r="H31">
        <v>97</v>
      </c>
      <c r="I31">
        <v>25000000</v>
      </c>
      <c r="J31" t="s">
        <v>504</v>
      </c>
      <c r="K31" t="s">
        <v>67</v>
      </c>
      <c r="L31" t="s">
        <v>503</v>
      </c>
      <c r="M31" t="s">
        <v>505</v>
      </c>
      <c r="N31">
        <v>5.3468</v>
      </c>
      <c r="O31" t="s">
        <v>506</v>
      </c>
      <c r="P31" t="s">
        <v>507</v>
      </c>
      <c r="Q31" t="s">
        <v>508</v>
      </c>
      <c r="R31" t="s">
        <v>72</v>
      </c>
      <c r="S31" t="s">
        <v>73</v>
      </c>
      <c r="T31" t="s">
        <v>509</v>
      </c>
      <c r="U31" t="s">
        <v>510</v>
      </c>
      <c r="V31" t="s">
        <v>511</v>
      </c>
      <c r="W31" t="s">
        <v>512</v>
      </c>
      <c r="X31" t="s">
        <v>513</v>
      </c>
      <c r="Y31" t="s">
        <v>514</v>
      </c>
      <c r="Z31">
        <v>6.4</v>
      </c>
      <c r="AA31">
        <v>129611</v>
      </c>
      <c r="AB31" t="s">
        <v>515</v>
      </c>
      <c r="AC31">
        <v>8</v>
      </c>
      <c r="AD31">
        <v>2014</v>
      </c>
      <c r="AE31">
        <v>33</v>
      </c>
      <c r="AF31" t="s">
        <v>516</v>
      </c>
      <c r="AG31">
        <v>14</v>
      </c>
      <c r="AH31">
        <v>18.019911448239199</v>
      </c>
      <c r="AI31">
        <v>1.20132742988261</v>
      </c>
      <c r="AJ31" t="s">
        <v>62</v>
      </c>
      <c r="AK31" t="s">
        <v>517</v>
      </c>
      <c r="AL31">
        <v>62</v>
      </c>
      <c r="AM31">
        <v>1</v>
      </c>
      <c r="AN31">
        <v>67</v>
      </c>
      <c r="AO31">
        <v>0.01</v>
      </c>
      <c r="AP31" t="s">
        <v>64</v>
      </c>
      <c r="AQ31" t="s">
        <v>64</v>
      </c>
    </row>
    <row r="32" spans="1:43" x14ac:dyDescent="0.2">
      <c r="A32">
        <v>256274</v>
      </c>
      <c r="B32" t="s">
        <v>518</v>
      </c>
      <c r="C32">
        <v>6.7350000000000003</v>
      </c>
      <c r="D32">
        <v>3708</v>
      </c>
      <c r="E32" t="s">
        <v>44</v>
      </c>
      <c r="F32" s="1">
        <v>41865</v>
      </c>
      <c r="G32">
        <v>41900000</v>
      </c>
      <c r="H32">
        <v>93</v>
      </c>
      <c r="I32">
        <v>5000000</v>
      </c>
      <c r="J32" t="s">
        <v>519</v>
      </c>
      <c r="K32" t="s">
        <v>67</v>
      </c>
      <c r="L32" t="s">
        <v>518</v>
      </c>
      <c r="M32" t="s">
        <v>520</v>
      </c>
      <c r="N32">
        <v>4.2533000000000003</v>
      </c>
      <c r="O32" t="s">
        <v>521</v>
      </c>
      <c r="P32" t="s">
        <v>522</v>
      </c>
      <c r="Q32" t="s">
        <v>523</v>
      </c>
      <c r="R32" t="s">
        <v>72</v>
      </c>
      <c r="S32" t="s">
        <v>73</v>
      </c>
      <c r="T32" t="s">
        <v>524</v>
      </c>
      <c r="U32" t="s">
        <v>525</v>
      </c>
      <c r="V32" t="s">
        <v>526</v>
      </c>
      <c r="W32" t="s">
        <v>527</v>
      </c>
      <c r="X32" t="s">
        <v>528</v>
      </c>
      <c r="Y32" t="s">
        <v>529</v>
      </c>
      <c r="Z32">
        <v>6.3</v>
      </c>
      <c r="AA32">
        <v>127004</v>
      </c>
      <c r="AB32" t="s">
        <v>530</v>
      </c>
      <c r="AC32">
        <v>8</v>
      </c>
      <c r="AD32">
        <v>2014</v>
      </c>
      <c r="AE32">
        <v>33</v>
      </c>
      <c r="AF32" t="s">
        <v>531</v>
      </c>
      <c r="AG32">
        <v>15</v>
      </c>
      <c r="AH32">
        <v>17.5507964087587</v>
      </c>
      <c r="AI32">
        <v>1.0969247755474101</v>
      </c>
      <c r="AJ32" t="s">
        <v>62</v>
      </c>
      <c r="AK32" t="s">
        <v>532</v>
      </c>
      <c r="AL32">
        <v>60</v>
      </c>
      <c r="AM32">
        <v>3</v>
      </c>
      <c r="AN32">
        <v>67</v>
      </c>
      <c r="AO32">
        <v>0.04</v>
      </c>
      <c r="AP32" t="s">
        <v>64</v>
      </c>
      <c r="AQ32" t="s">
        <v>64</v>
      </c>
    </row>
    <row r="33" spans="1:43" x14ac:dyDescent="0.2">
      <c r="A33">
        <v>244566</v>
      </c>
      <c r="B33" t="s">
        <v>533</v>
      </c>
      <c r="C33">
        <v>5.4989999999999997</v>
      </c>
      <c r="D33">
        <v>701</v>
      </c>
      <c r="E33" t="s">
        <v>44</v>
      </c>
      <c r="F33" s="1">
        <v>41866</v>
      </c>
      <c r="G33">
        <v>88273</v>
      </c>
      <c r="H33">
        <v>90</v>
      </c>
      <c r="I33">
        <v>2400000</v>
      </c>
      <c r="J33" t="s">
        <v>534</v>
      </c>
      <c r="K33" t="s">
        <v>67</v>
      </c>
      <c r="L33" t="s">
        <v>533</v>
      </c>
      <c r="M33" t="s">
        <v>535</v>
      </c>
      <c r="N33">
        <v>2.0304000000000002</v>
      </c>
      <c r="O33" t="s">
        <v>536</v>
      </c>
      <c r="P33" t="s">
        <v>537</v>
      </c>
      <c r="Q33" t="s">
        <v>538</v>
      </c>
      <c r="R33" t="s">
        <v>72</v>
      </c>
      <c r="S33" t="s">
        <v>73</v>
      </c>
      <c r="T33" t="s">
        <v>539</v>
      </c>
      <c r="U33" t="s">
        <v>540</v>
      </c>
      <c r="V33" t="s">
        <v>541</v>
      </c>
      <c r="W33" t="s">
        <v>540</v>
      </c>
      <c r="X33" t="s">
        <v>542</v>
      </c>
      <c r="Y33" t="s">
        <v>543</v>
      </c>
      <c r="Z33">
        <v>5.7</v>
      </c>
      <c r="AA33">
        <v>25597</v>
      </c>
      <c r="AB33" t="s">
        <v>544</v>
      </c>
      <c r="AC33">
        <v>8</v>
      </c>
      <c r="AD33">
        <v>2014</v>
      </c>
      <c r="AE33">
        <v>33</v>
      </c>
      <c r="AF33" t="s">
        <v>545</v>
      </c>
      <c r="AG33">
        <v>16</v>
      </c>
      <c r="AH33">
        <v>11.3882008924967</v>
      </c>
      <c r="AI33">
        <v>0.66989417014687003</v>
      </c>
      <c r="AJ33" t="s">
        <v>62</v>
      </c>
      <c r="AK33" t="s">
        <v>546</v>
      </c>
      <c r="AL33">
        <v>7</v>
      </c>
      <c r="AM33">
        <v>2</v>
      </c>
      <c r="AN33">
        <v>33</v>
      </c>
      <c r="AO33">
        <v>0.06</v>
      </c>
      <c r="AP33" t="s">
        <v>64</v>
      </c>
      <c r="AQ33" t="s">
        <v>64</v>
      </c>
    </row>
    <row r="34" spans="1:43" x14ac:dyDescent="0.2">
      <c r="A34">
        <v>189</v>
      </c>
      <c r="B34" t="s">
        <v>547</v>
      </c>
      <c r="C34">
        <v>6.3979999999999997</v>
      </c>
      <c r="D34">
        <v>4015</v>
      </c>
      <c r="E34" t="s">
        <v>44</v>
      </c>
      <c r="F34" s="1">
        <v>41871</v>
      </c>
      <c r="G34">
        <v>39407616</v>
      </c>
      <c r="H34">
        <v>102</v>
      </c>
      <c r="I34">
        <v>65000000</v>
      </c>
      <c r="J34" t="s">
        <v>548</v>
      </c>
      <c r="K34" t="s">
        <v>67</v>
      </c>
      <c r="L34" t="s">
        <v>547</v>
      </c>
      <c r="M34" t="s">
        <v>549</v>
      </c>
      <c r="N34">
        <v>10.895099999999999</v>
      </c>
      <c r="O34" t="s">
        <v>550</v>
      </c>
      <c r="P34" t="s">
        <v>551</v>
      </c>
      <c r="Q34" t="s">
        <v>552</v>
      </c>
      <c r="R34" t="s">
        <v>72</v>
      </c>
      <c r="S34" t="s">
        <v>73</v>
      </c>
      <c r="T34" t="s">
        <v>553</v>
      </c>
      <c r="U34" t="s">
        <v>554</v>
      </c>
      <c r="V34" t="s">
        <v>555</v>
      </c>
      <c r="W34" t="s">
        <v>556</v>
      </c>
      <c r="X34" t="s">
        <v>557</v>
      </c>
      <c r="Y34" t="s">
        <v>558</v>
      </c>
      <c r="Z34">
        <v>6.5</v>
      </c>
      <c r="AA34">
        <v>176958</v>
      </c>
      <c r="AB34" t="s">
        <v>559</v>
      </c>
      <c r="AC34">
        <v>8</v>
      </c>
      <c r="AD34">
        <v>2014</v>
      </c>
      <c r="AE34">
        <v>34</v>
      </c>
      <c r="AF34" t="s">
        <v>560</v>
      </c>
      <c r="AG34">
        <v>21</v>
      </c>
      <c r="AH34">
        <v>17.489469680456398</v>
      </c>
      <c r="AI34">
        <v>0.79497589456619999</v>
      </c>
      <c r="AJ34" t="s">
        <v>62</v>
      </c>
      <c r="AK34" t="s">
        <v>561</v>
      </c>
      <c r="AL34">
        <v>72</v>
      </c>
      <c r="AM34">
        <v>1</v>
      </c>
      <c r="AN34">
        <v>78</v>
      </c>
      <c r="AO34">
        <v>0.01</v>
      </c>
      <c r="AP34" t="s">
        <v>64</v>
      </c>
      <c r="AQ34" t="s">
        <v>64</v>
      </c>
    </row>
    <row r="35" spans="1:43" x14ac:dyDescent="0.2">
      <c r="A35">
        <v>249164</v>
      </c>
      <c r="B35" t="s">
        <v>562</v>
      </c>
      <c r="C35">
        <v>7.4</v>
      </c>
      <c r="D35">
        <v>4241</v>
      </c>
      <c r="E35" t="s">
        <v>44</v>
      </c>
      <c r="F35" s="1">
        <v>41872</v>
      </c>
      <c r="G35">
        <v>78300000</v>
      </c>
      <c r="H35">
        <v>106</v>
      </c>
      <c r="I35">
        <v>11000000</v>
      </c>
      <c r="J35" t="s">
        <v>563</v>
      </c>
      <c r="K35" t="s">
        <v>67</v>
      </c>
      <c r="L35" t="s">
        <v>562</v>
      </c>
      <c r="M35" t="s">
        <v>564</v>
      </c>
      <c r="N35">
        <v>4.1272000000000002</v>
      </c>
      <c r="O35" t="s">
        <v>565</v>
      </c>
      <c r="P35" t="s">
        <v>566</v>
      </c>
      <c r="Q35" t="s">
        <v>567</v>
      </c>
      <c r="R35" t="s">
        <v>72</v>
      </c>
      <c r="S35" t="s">
        <v>73</v>
      </c>
      <c r="T35" t="s">
        <v>568</v>
      </c>
      <c r="U35" t="s">
        <v>569</v>
      </c>
      <c r="V35" t="s">
        <v>570</v>
      </c>
      <c r="W35" t="s">
        <v>571</v>
      </c>
      <c r="X35" t="s">
        <v>572</v>
      </c>
      <c r="Y35" t="s">
        <v>573</v>
      </c>
      <c r="Z35">
        <v>6.7</v>
      </c>
      <c r="AA35">
        <v>130750</v>
      </c>
      <c r="AB35" t="s">
        <v>574</v>
      </c>
      <c r="AC35">
        <v>8</v>
      </c>
      <c r="AD35">
        <v>2014</v>
      </c>
      <c r="AE35">
        <v>34</v>
      </c>
      <c r="AF35" t="s">
        <v>575</v>
      </c>
      <c r="AG35">
        <v>22</v>
      </c>
      <c r="AH35">
        <v>18.1760581737324</v>
      </c>
      <c r="AI35">
        <v>0.79026339885793095</v>
      </c>
      <c r="AJ35" t="s">
        <v>62</v>
      </c>
      <c r="AK35" t="s">
        <v>576</v>
      </c>
      <c r="AL35">
        <v>62</v>
      </c>
      <c r="AM35">
        <v>0</v>
      </c>
      <c r="AN35">
        <v>67</v>
      </c>
      <c r="AO35">
        <v>0</v>
      </c>
      <c r="AP35" t="s">
        <v>64</v>
      </c>
      <c r="AQ35" t="s">
        <v>64</v>
      </c>
    </row>
    <row r="36" spans="1:43" x14ac:dyDescent="0.2">
      <c r="A36">
        <v>265195</v>
      </c>
      <c r="B36" t="s">
        <v>577</v>
      </c>
      <c r="C36">
        <v>7.8680000000000003</v>
      </c>
      <c r="D36">
        <v>3559</v>
      </c>
      <c r="E36" t="s">
        <v>44</v>
      </c>
      <c r="F36" s="1">
        <v>41872</v>
      </c>
      <c r="G36">
        <v>31478893</v>
      </c>
      <c r="H36">
        <v>122</v>
      </c>
      <c r="I36">
        <v>4000000</v>
      </c>
      <c r="J36" t="s">
        <v>578</v>
      </c>
      <c r="K36" t="s">
        <v>176</v>
      </c>
      <c r="L36" t="s">
        <v>579</v>
      </c>
      <c r="M36" t="s">
        <v>580</v>
      </c>
      <c r="N36">
        <v>4.2605000000000004</v>
      </c>
      <c r="O36" t="s">
        <v>581</v>
      </c>
      <c r="P36" t="s">
        <v>582</v>
      </c>
      <c r="Q36" t="s">
        <v>583</v>
      </c>
      <c r="R36" t="s">
        <v>584</v>
      </c>
      <c r="S36" t="s">
        <v>585</v>
      </c>
      <c r="T36" t="s">
        <v>586</v>
      </c>
      <c r="U36" t="s">
        <v>587</v>
      </c>
      <c r="V36" t="s">
        <v>588</v>
      </c>
      <c r="W36" t="s">
        <v>587</v>
      </c>
      <c r="X36" t="s">
        <v>589</v>
      </c>
      <c r="Y36" t="s">
        <v>590</v>
      </c>
      <c r="Z36">
        <v>8.1</v>
      </c>
      <c r="AA36">
        <v>233722</v>
      </c>
      <c r="AB36" t="s">
        <v>591</v>
      </c>
      <c r="AC36">
        <v>8</v>
      </c>
      <c r="AD36">
        <v>2014</v>
      </c>
      <c r="AE36">
        <v>34</v>
      </c>
      <c r="AF36" t="s">
        <v>592</v>
      </c>
      <c r="AG36">
        <v>22</v>
      </c>
      <c r="AH36">
        <v>17.264827847478202</v>
      </c>
      <c r="AI36">
        <v>0.75064468902079295</v>
      </c>
      <c r="AJ36" t="s">
        <v>62</v>
      </c>
      <c r="AK36" t="s">
        <v>593</v>
      </c>
      <c r="AL36">
        <v>46</v>
      </c>
      <c r="AM36">
        <v>0</v>
      </c>
      <c r="AN36">
        <v>95</v>
      </c>
      <c r="AO36">
        <v>0</v>
      </c>
      <c r="AP36" t="s">
        <v>64</v>
      </c>
      <c r="AQ36" t="s">
        <v>64</v>
      </c>
    </row>
    <row r="37" spans="1:43" x14ac:dyDescent="0.2">
      <c r="A37">
        <v>241254</v>
      </c>
      <c r="B37" t="s">
        <v>594</v>
      </c>
      <c r="C37">
        <v>4.9000000000000004</v>
      </c>
      <c r="D37">
        <v>496</v>
      </c>
      <c r="E37" t="s">
        <v>44</v>
      </c>
      <c r="F37" s="1">
        <v>41873</v>
      </c>
      <c r="G37">
        <v>1289595</v>
      </c>
      <c r="H37">
        <v>93</v>
      </c>
      <c r="I37">
        <v>18000000</v>
      </c>
      <c r="J37" t="s">
        <v>595</v>
      </c>
      <c r="K37" t="s">
        <v>67</v>
      </c>
      <c r="L37" t="s">
        <v>594</v>
      </c>
      <c r="M37" t="s">
        <v>596</v>
      </c>
      <c r="N37">
        <v>4.3239999999999998</v>
      </c>
      <c r="O37" t="s">
        <v>597</v>
      </c>
      <c r="P37" t="s">
        <v>598</v>
      </c>
      <c r="Q37" t="s">
        <v>599</v>
      </c>
      <c r="R37" t="s">
        <v>600</v>
      </c>
      <c r="S37" t="s">
        <v>73</v>
      </c>
      <c r="T37" t="s">
        <v>601</v>
      </c>
      <c r="U37" t="s">
        <v>602</v>
      </c>
      <c r="V37" t="s">
        <v>603</v>
      </c>
      <c r="W37" t="s">
        <v>604</v>
      </c>
      <c r="X37" t="s">
        <v>605</v>
      </c>
      <c r="Y37" t="s">
        <v>606</v>
      </c>
      <c r="Z37">
        <v>4.5999999999999996</v>
      </c>
      <c r="AA37">
        <v>19592</v>
      </c>
      <c r="AB37" t="s">
        <v>607</v>
      </c>
      <c r="AC37">
        <v>8</v>
      </c>
      <c r="AD37">
        <v>2014</v>
      </c>
      <c r="AE37">
        <v>34</v>
      </c>
      <c r="AF37" t="s">
        <v>608</v>
      </c>
      <c r="AG37">
        <v>23</v>
      </c>
      <c r="AH37">
        <v>14.0698395489927</v>
      </c>
      <c r="AI37">
        <v>0.58624331454136303</v>
      </c>
      <c r="AJ37" t="s">
        <v>62</v>
      </c>
      <c r="AK37" t="s">
        <v>609</v>
      </c>
      <c r="AL37">
        <v>17</v>
      </c>
      <c r="AM37">
        <v>1</v>
      </c>
      <c r="AN37">
        <v>33</v>
      </c>
      <c r="AO37">
        <v>0.03</v>
      </c>
      <c r="AP37" t="s">
        <v>64</v>
      </c>
      <c r="AQ37" t="s">
        <v>64</v>
      </c>
    </row>
    <row r="38" spans="1:43" x14ac:dyDescent="0.2">
      <c r="A38">
        <v>254904</v>
      </c>
      <c r="B38" t="s">
        <v>610</v>
      </c>
      <c r="C38">
        <v>6.1150000000000002</v>
      </c>
      <c r="D38">
        <v>1529</v>
      </c>
      <c r="E38" t="s">
        <v>44</v>
      </c>
      <c r="F38" s="1">
        <v>41878</v>
      </c>
      <c r="G38">
        <v>32600000</v>
      </c>
      <c r="H38">
        <v>108</v>
      </c>
      <c r="I38">
        <v>15000000</v>
      </c>
      <c r="J38" t="s">
        <v>611</v>
      </c>
      <c r="K38" t="s">
        <v>67</v>
      </c>
      <c r="L38" t="s">
        <v>610</v>
      </c>
      <c r="M38" t="s">
        <v>612</v>
      </c>
      <c r="N38">
        <v>5.8444000000000003</v>
      </c>
      <c r="O38" t="s">
        <v>613</v>
      </c>
      <c r="P38" t="s">
        <v>614</v>
      </c>
      <c r="Q38" t="s">
        <v>615</v>
      </c>
      <c r="R38" t="s">
        <v>214</v>
      </c>
      <c r="S38" t="s">
        <v>73</v>
      </c>
      <c r="T38" t="s">
        <v>616</v>
      </c>
      <c r="U38" t="s">
        <v>617</v>
      </c>
      <c r="V38" t="s">
        <v>618</v>
      </c>
      <c r="W38" t="s">
        <v>619</v>
      </c>
      <c r="X38" t="s">
        <v>620</v>
      </c>
      <c r="Y38" t="s">
        <v>514</v>
      </c>
      <c r="Z38">
        <v>6.3</v>
      </c>
      <c r="AA38">
        <v>72660</v>
      </c>
      <c r="AB38" t="s">
        <v>621</v>
      </c>
      <c r="AC38">
        <v>8</v>
      </c>
      <c r="AD38">
        <v>2014</v>
      </c>
      <c r="AE38">
        <v>35</v>
      </c>
      <c r="AF38" t="s">
        <v>622</v>
      </c>
      <c r="AG38">
        <v>28</v>
      </c>
      <c r="AH38">
        <v>17.2998228770117</v>
      </c>
      <c r="AI38">
        <v>0.59654561644868198</v>
      </c>
      <c r="AJ38" t="s">
        <v>62</v>
      </c>
      <c r="AK38" t="s">
        <v>623</v>
      </c>
      <c r="AL38">
        <v>51</v>
      </c>
      <c r="AM38">
        <v>1</v>
      </c>
      <c r="AN38">
        <v>61</v>
      </c>
      <c r="AO38">
        <v>0.02</v>
      </c>
      <c r="AP38" t="s">
        <v>64</v>
      </c>
      <c r="AQ38" t="s">
        <v>64</v>
      </c>
    </row>
    <row r="39" spans="1:43" x14ac:dyDescent="0.2">
      <c r="A39">
        <v>206487</v>
      </c>
      <c r="B39" t="s">
        <v>624</v>
      </c>
      <c r="C39">
        <v>7.4</v>
      </c>
      <c r="D39">
        <v>6807</v>
      </c>
      <c r="E39" t="s">
        <v>44</v>
      </c>
      <c r="F39" s="1">
        <v>41879</v>
      </c>
      <c r="G39">
        <v>4942449</v>
      </c>
      <c r="H39">
        <v>98</v>
      </c>
      <c r="I39">
        <v>5500000</v>
      </c>
      <c r="J39" t="s">
        <v>625</v>
      </c>
      <c r="K39" t="s">
        <v>67</v>
      </c>
      <c r="L39" t="s">
        <v>624</v>
      </c>
      <c r="M39" t="s">
        <v>626</v>
      </c>
      <c r="N39">
        <v>18.200299999999999</v>
      </c>
      <c r="O39" t="s">
        <v>627</v>
      </c>
      <c r="P39" t="s">
        <v>628</v>
      </c>
      <c r="Q39" t="s">
        <v>629</v>
      </c>
      <c r="R39" t="s">
        <v>370</v>
      </c>
      <c r="S39" t="s">
        <v>73</v>
      </c>
      <c r="T39" t="s">
        <v>630</v>
      </c>
      <c r="U39" t="s">
        <v>631</v>
      </c>
      <c r="V39" t="s">
        <v>632</v>
      </c>
      <c r="W39" t="s">
        <v>633</v>
      </c>
      <c r="X39" t="s">
        <v>634</v>
      </c>
      <c r="Y39" t="s">
        <v>635</v>
      </c>
      <c r="Z39">
        <v>7.4</v>
      </c>
      <c r="AA39">
        <v>328475</v>
      </c>
      <c r="AB39" t="s">
        <v>636</v>
      </c>
      <c r="AC39">
        <v>8</v>
      </c>
      <c r="AD39">
        <v>2014</v>
      </c>
      <c r="AE39">
        <v>35</v>
      </c>
      <c r="AF39" t="s">
        <v>637</v>
      </c>
      <c r="AG39">
        <v>29</v>
      </c>
      <c r="AH39">
        <v>15.4133717176378</v>
      </c>
      <c r="AI39">
        <v>0.51377905725459505</v>
      </c>
      <c r="AJ39" t="s">
        <v>62</v>
      </c>
      <c r="AK39" t="s">
        <v>638</v>
      </c>
      <c r="AL39">
        <v>21</v>
      </c>
      <c r="AM39">
        <v>2</v>
      </c>
      <c r="AN39">
        <v>53</v>
      </c>
      <c r="AO39">
        <v>0.04</v>
      </c>
      <c r="AP39" t="s">
        <v>64</v>
      </c>
      <c r="AQ39" t="s">
        <v>64</v>
      </c>
    </row>
    <row r="40" spans="1:43" x14ac:dyDescent="0.2">
      <c r="A40">
        <v>204922</v>
      </c>
      <c r="B40" t="s">
        <v>639</v>
      </c>
      <c r="C40">
        <v>6.48</v>
      </c>
      <c r="D40">
        <v>2074</v>
      </c>
      <c r="E40" t="s">
        <v>44</v>
      </c>
      <c r="F40" s="1">
        <v>41885</v>
      </c>
      <c r="G40">
        <v>17669776</v>
      </c>
      <c r="H40">
        <v>92</v>
      </c>
      <c r="I40">
        <v>22000000</v>
      </c>
      <c r="J40" t="s">
        <v>640</v>
      </c>
      <c r="K40" t="s">
        <v>67</v>
      </c>
      <c r="L40" t="s">
        <v>639</v>
      </c>
      <c r="M40" t="s">
        <v>641</v>
      </c>
      <c r="N40">
        <v>5.1310000000000002</v>
      </c>
      <c r="O40" t="s">
        <v>642</v>
      </c>
      <c r="P40" t="s">
        <v>643</v>
      </c>
      <c r="Q40" t="s">
        <v>644</v>
      </c>
      <c r="R40" t="s">
        <v>645</v>
      </c>
      <c r="S40" t="s">
        <v>73</v>
      </c>
      <c r="T40" t="s">
        <v>646</v>
      </c>
      <c r="U40" t="s">
        <v>647</v>
      </c>
      <c r="V40" t="s">
        <v>648</v>
      </c>
      <c r="W40" t="s">
        <v>649</v>
      </c>
      <c r="X40" t="s">
        <v>650</v>
      </c>
      <c r="Y40" t="s">
        <v>651</v>
      </c>
      <c r="Z40">
        <v>6.3</v>
      </c>
      <c r="AA40">
        <v>88301</v>
      </c>
      <c r="AB40" t="s">
        <v>652</v>
      </c>
      <c r="AC40">
        <v>9</v>
      </c>
      <c r="AD40">
        <v>2014</v>
      </c>
      <c r="AE40">
        <v>36</v>
      </c>
      <c r="AF40" t="s">
        <v>653</v>
      </c>
      <c r="AG40">
        <v>35</v>
      </c>
      <c r="AH40">
        <v>16.687366223955902</v>
      </c>
      <c r="AI40">
        <v>0.46353795066544201</v>
      </c>
      <c r="AJ40" t="s">
        <v>62</v>
      </c>
      <c r="AK40" t="s">
        <v>654</v>
      </c>
      <c r="AL40">
        <v>53</v>
      </c>
      <c r="AM40">
        <v>0</v>
      </c>
      <c r="AN40">
        <v>63</v>
      </c>
      <c r="AO40">
        <v>0</v>
      </c>
      <c r="AP40" t="s">
        <v>64</v>
      </c>
      <c r="AQ40" t="s">
        <v>64</v>
      </c>
    </row>
    <row r="41" spans="1:43" x14ac:dyDescent="0.2">
      <c r="A41">
        <v>241848</v>
      </c>
      <c r="B41" t="s">
        <v>655</v>
      </c>
      <c r="C41">
        <v>6.6</v>
      </c>
      <c r="D41">
        <v>2054</v>
      </c>
      <c r="E41" t="s">
        <v>44</v>
      </c>
      <c r="F41" s="1">
        <v>41887</v>
      </c>
      <c r="G41">
        <v>2700051</v>
      </c>
      <c r="H41">
        <v>101</v>
      </c>
      <c r="I41">
        <v>5000000</v>
      </c>
      <c r="J41" t="s">
        <v>656</v>
      </c>
      <c r="K41" t="s">
        <v>67</v>
      </c>
      <c r="L41" t="s">
        <v>655</v>
      </c>
      <c r="M41" t="s">
        <v>657</v>
      </c>
      <c r="N41">
        <v>3.7610000000000001</v>
      </c>
      <c r="O41" t="s">
        <v>658</v>
      </c>
      <c r="P41" t="s">
        <v>659</v>
      </c>
      <c r="Q41" t="s">
        <v>660</v>
      </c>
      <c r="R41" t="s">
        <v>661</v>
      </c>
      <c r="S41" t="s">
        <v>73</v>
      </c>
      <c r="T41" t="s">
        <v>662</v>
      </c>
      <c r="U41" t="s">
        <v>663</v>
      </c>
      <c r="V41" t="s">
        <v>664</v>
      </c>
      <c r="W41" t="s">
        <v>665</v>
      </c>
      <c r="X41" t="s">
        <v>666</v>
      </c>
      <c r="Y41" t="s">
        <v>667</v>
      </c>
      <c r="Z41">
        <v>6.7</v>
      </c>
      <c r="AA41">
        <v>112899</v>
      </c>
      <c r="AB41" t="s">
        <v>668</v>
      </c>
      <c r="AC41">
        <v>9</v>
      </c>
      <c r="AD41">
        <v>2014</v>
      </c>
      <c r="AE41">
        <v>36</v>
      </c>
      <c r="AF41" t="s">
        <v>669</v>
      </c>
      <c r="AG41">
        <v>37</v>
      </c>
      <c r="AH41">
        <v>14.8087815900483</v>
      </c>
      <c r="AI41">
        <v>0.38970477868548298</v>
      </c>
      <c r="AJ41" t="s">
        <v>62</v>
      </c>
      <c r="AK41" t="s">
        <v>670</v>
      </c>
      <c r="AL41">
        <v>12</v>
      </c>
      <c r="AM41">
        <v>5</v>
      </c>
      <c r="AN41">
        <v>54</v>
      </c>
      <c r="AO41">
        <v>0.09</v>
      </c>
      <c r="AP41" t="s">
        <v>64</v>
      </c>
      <c r="AQ41" t="s">
        <v>64</v>
      </c>
    </row>
    <row r="42" spans="1:43" x14ac:dyDescent="0.2">
      <c r="A42">
        <v>253331</v>
      </c>
      <c r="B42" t="s">
        <v>671</v>
      </c>
      <c r="C42">
        <v>6.8</v>
      </c>
      <c r="D42">
        <v>351</v>
      </c>
      <c r="E42" t="s">
        <v>44</v>
      </c>
      <c r="F42" s="1">
        <v>41888</v>
      </c>
      <c r="G42">
        <v>21571189</v>
      </c>
      <c r="H42">
        <v>121</v>
      </c>
      <c r="I42">
        <v>9000000</v>
      </c>
      <c r="J42" t="s">
        <v>672</v>
      </c>
      <c r="K42" t="s">
        <v>67</v>
      </c>
      <c r="L42" t="s">
        <v>671</v>
      </c>
      <c r="M42" t="s">
        <v>673</v>
      </c>
      <c r="N42">
        <v>0.79430000000000001</v>
      </c>
      <c r="O42" t="s">
        <v>674</v>
      </c>
      <c r="P42" t="s">
        <v>566</v>
      </c>
      <c r="Q42" t="s">
        <v>675</v>
      </c>
      <c r="R42" t="s">
        <v>72</v>
      </c>
      <c r="S42" t="s">
        <v>73</v>
      </c>
      <c r="T42" t="s">
        <v>676</v>
      </c>
      <c r="U42" t="s">
        <v>677</v>
      </c>
      <c r="V42" t="s">
        <v>167</v>
      </c>
      <c r="W42" t="s">
        <v>677</v>
      </c>
      <c r="X42" t="s">
        <v>678</v>
      </c>
      <c r="Y42" t="s">
        <v>679</v>
      </c>
      <c r="Z42">
        <v>6.6</v>
      </c>
      <c r="AA42">
        <v>14366</v>
      </c>
      <c r="AB42" t="s">
        <v>680</v>
      </c>
      <c r="AC42">
        <v>9</v>
      </c>
      <c r="AD42">
        <v>2014</v>
      </c>
      <c r="AE42">
        <v>36</v>
      </c>
      <c r="AF42" t="s">
        <v>681</v>
      </c>
      <c r="AG42">
        <v>38</v>
      </c>
      <c r="AH42">
        <v>16.88686918606</v>
      </c>
      <c r="AI42">
        <v>0.43299664579641201</v>
      </c>
      <c r="AJ42" t="s">
        <v>62</v>
      </c>
      <c r="AK42" t="s">
        <v>682</v>
      </c>
      <c r="AL42">
        <v>11</v>
      </c>
      <c r="AM42">
        <v>0</v>
      </c>
      <c r="AN42">
        <v>25</v>
      </c>
      <c r="AO42">
        <v>0</v>
      </c>
      <c r="AP42" t="s">
        <v>64</v>
      </c>
      <c r="AQ42" t="s">
        <v>64</v>
      </c>
    </row>
    <row r="43" spans="1:43" x14ac:dyDescent="0.2">
      <c r="A43">
        <v>284276</v>
      </c>
      <c r="B43" t="s">
        <v>683</v>
      </c>
      <c r="C43">
        <v>6.3</v>
      </c>
      <c r="D43">
        <v>917</v>
      </c>
      <c r="E43" t="s">
        <v>44</v>
      </c>
      <c r="F43" s="1">
        <v>41889</v>
      </c>
      <c r="G43">
        <v>2360281</v>
      </c>
      <c r="H43">
        <v>102</v>
      </c>
      <c r="I43">
        <v>7000000</v>
      </c>
      <c r="J43" t="s">
        <v>684</v>
      </c>
      <c r="K43" t="s">
        <v>67</v>
      </c>
      <c r="L43" t="s">
        <v>683</v>
      </c>
      <c r="M43" t="s">
        <v>685</v>
      </c>
      <c r="N43">
        <v>2.7982999999999998</v>
      </c>
      <c r="O43" t="s">
        <v>686</v>
      </c>
      <c r="P43" t="s">
        <v>566</v>
      </c>
      <c r="Q43" t="s">
        <v>687</v>
      </c>
      <c r="R43" t="s">
        <v>72</v>
      </c>
      <c r="S43" t="s">
        <v>199</v>
      </c>
      <c r="T43" t="s">
        <v>688</v>
      </c>
      <c r="U43" t="s">
        <v>689</v>
      </c>
      <c r="V43" t="s">
        <v>690</v>
      </c>
      <c r="W43" t="s">
        <v>691</v>
      </c>
      <c r="X43" t="s">
        <v>692</v>
      </c>
      <c r="Y43" t="s">
        <v>693</v>
      </c>
      <c r="Z43">
        <v>6.4</v>
      </c>
      <c r="AA43">
        <v>39793</v>
      </c>
      <c r="AB43" t="s">
        <v>694</v>
      </c>
      <c r="AC43">
        <v>9</v>
      </c>
      <c r="AD43">
        <v>2014</v>
      </c>
      <c r="AE43">
        <v>36</v>
      </c>
      <c r="AF43" t="s">
        <v>695</v>
      </c>
      <c r="AG43">
        <v>39</v>
      </c>
      <c r="AH43">
        <v>14.674291661388599</v>
      </c>
      <c r="AI43">
        <v>0.36685729153471602</v>
      </c>
      <c r="AJ43" t="s">
        <v>62</v>
      </c>
      <c r="AK43" t="s">
        <v>696</v>
      </c>
      <c r="AL43">
        <v>19</v>
      </c>
      <c r="AM43">
        <v>1</v>
      </c>
      <c r="AN43">
        <v>33</v>
      </c>
      <c r="AO43">
        <v>0.03</v>
      </c>
      <c r="AP43" t="s">
        <v>64</v>
      </c>
      <c r="AQ43" t="s">
        <v>64</v>
      </c>
    </row>
    <row r="44" spans="1:43" x14ac:dyDescent="0.2">
      <c r="A44">
        <v>282296</v>
      </c>
      <c r="B44" t="s">
        <v>697</v>
      </c>
      <c r="C44">
        <v>6.2</v>
      </c>
      <c r="D44">
        <v>274</v>
      </c>
      <c r="E44" t="s">
        <v>44</v>
      </c>
      <c r="F44" s="1">
        <v>41891</v>
      </c>
      <c r="G44">
        <v>7527232</v>
      </c>
      <c r="H44">
        <v>107</v>
      </c>
      <c r="I44">
        <v>5000000</v>
      </c>
      <c r="J44" t="s">
        <v>698</v>
      </c>
      <c r="K44" t="s">
        <v>67</v>
      </c>
      <c r="L44" t="s">
        <v>697</v>
      </c>
      <c r="M44" t="s">
        <v>699</v>
      </c>
      <c r="N44">
        <v>0.75039999999999996</v>
      </c>
      <c r="O44" t="s">
        <v>700</v>
      </c>
      <c r="P44" t="s">
        <v>701</v>
      </c>
      <c r="Q44" t="s">
        <v>702</v>
      </c>
      <c r="R44" t="s">
        <v>703</v>
      </c>
      <c r="S44" t="s">
        <v>73</v>
      </c>
      <c r="T44" t="s">
        <v>704</v>
      </c>
      <c r="U44" t="s">
        <v>705</v>
      </c>
      <c r="V44" t="s">
        <v>706</v>
      </c>
      <c r="W44" t="s">
        <v>705</v>
      </c>
      <c r="X44" t="s">
        <v>707</v>
      </c>
      <c r="Y44" t="s">
        <v>708</v>
      </c>
      <c r="Z44">
        <v>6.4</v>
      </c>
      <c r="AA44">
        <v>10658</v>
      </c>
      <c r="AB44" t="s">
        <v>709</v>
      </c>
      <c r="AC44">
        <v>9</v>
      </c>
      <c r="AD44">
        <v>2014</v>
      </c>
      <c r="AE44">
        <v>37</v>
      </c>
      <c r="AF44" t="s">
        <v>710</v>
      </c>
      <c r="AG44">
        <v>41</v>
      </c>
      <c r="AH44">
        <v>15.8340380687654</v>
      </c>
      <c r="AI44">
        <v>0.37700090639917599</v>
      </c>
      <c r="AJ44" t="s">
        <v>62</v>
      </c>
      <c r="AK44" t="s">
        <v>711</v>
      </c>
      <c r="AL44">
        <v>26</v>
      </c>
      <c r="AM44">
        <v>0</v>
      </c>
      <c r="AN44">
        <v>39</v>
      </c>
      <c r="AO44">
        <v>0</v>
      </c>
      <c r="AP44" t="s">
        <v>64</v>
      </c>
      <c r="AQ44" t="s">
        <v>64</v>
      </c>
    </row>
    <row r="45" spans="1:43" x14ac:dyDescent="0.2">
      <c r="A45">
        <v>136835</v>
      </c>
      <c r="B45" t="s">
        <v>712</v>
      </c>
      <c r="C45">
        <v>5.9</v>
      </c>
      <c r="D45">
        <v>650</v>
      </c>
      <c r="E45" t="s">
        <v>44</v>
      </c>
      <c r="F45" s="1">
        <v>41892</v>
      </c>
      <c r="G45">
        <v>53830415</v>
      </c>
      <c r="H45">
        <v>84</v>
      </c>
      <c r="I45">
        <v>13200000</v>
      </c>
      <c r="J45" t="s">
        <v>713</v>
      </c>
      <c r="K45" t="s">
        <v>67</v>
      </c>
      <c r="L45" t="s">
        <v>712</v>
      </c>
      <c r="M45" t="s">
        <v>714</v>
      </c>
      <c r="N45">
        <v>3.3780999999999999</v>
      </c>
      <c r="O45" t="s">
        <v>715</v>
      </c>
      <c r="P45" t="s">
        <v>716</v>
      </c>
      <c r="Q45" t="s">
        <v>71</v>
      </c>
      <c r="R45" t="s">
        <v>72</v>
      </c>
      <c r="S45" t="s">
        <v>73</v>
      </c>
      <c r="T45" t="s">
        <v>717</v>
      </c>
      <c r="U45" t="s">
        <v>718</v>
      </c>
      <c r="V45" t="s">
        <v>719</v>
      </c>
      <c r="W45" t="s">
        <v>720</v>
      </c>
      <c r="X45" t="s">
        <v>721</v>
      </c>
      <c r="Y45" t="s">
        <v>722</v>
      </c>
      <c r="Z45">
        <v>5.6</v>
      </c>
      <c r="AA45">
        <v>23351</v>
      </c>
      <c r="AB45" t="s">
        <v>723</v>
      </c>
      <c r="AC45">
        <v>9</v>
      </c>
      <c r="AD45">
        <v>2014</v>
      </c>
      <c r="AE45">
        <v>37</v>
      </c>
      <c r="AF45" t="s">
        <v>724</v>
      </c>
      <c r="AG45">
        <v>42</v>
      </c>
      <c r="AH45">
        <v>17.801349218539901</v>
      </c>
      <c r="AI45">
        <v>0.41398486554744102</v>
      </c>
      <c r="AJ45" t="s">
        <v>62</v>
      </c>
      <c r="AK45" t="s">
        <v>725</v>
      </c>
      <c r="AL45">
        <v>27</v>
      </c>
      <c r="AM45">
        <v>0</v>
      </c>
      <c r="AN45">
        <v>37</v>
      </c>
      <c r="AO45">
        <v>0</v>
      </c>
      <c r="AP45" t="s">
        <v>64</v>
      </c>
      <c r="AQ45" t="s">
        <v>64</v>
      </c>
    </row>
    <row r="46" spans="1:43" x14ac:dyDescent="0.2">
      <c r="A46">
        <v>170687</v>
      </c>
      <c r="B46" t="s">
        <v>726</v>
      </c>
      <c r="C46">
        <v>6.6950000000000003</v>
      </c>
      <c r="D46">
        <v>1745</v>
      </c>
      <c r="E46" t="s">
        <v>44</v>
      </c>
      <c r="F46" s="1">
        <v>41892</v>
      </c>
      <c r="G46">
        <v>108255770</v>
      </c>
      <c r="H46">
        <v>97</v>
      </c>
      <c r="I46">
        <v>60000000</v>
      </c>
      <c r="J46" t="s">
        <v>727</v>
      </c>
      <c r="K46" t="s">
        <v>67</v>
      </c>
      <c r="L46" t="s">
        <v>726</v>
      </c>
      <c r="M46" t="s">
        <v>728</v>
      </c>
      <c r="N46">
        <v>6.2362000000000002</v>
      </c>
      <c r="O46" t="s">
        <v>729</v>
      </c>
      <c r="P46" t="s">
        <v>730</v>
      </c>
      <c r="Q46" t="s">
        <v>731</v>
      </c>
      <c r="R46" t="s">
        <v>72</v>
      </c>
      <c r="S46" t="s">
        <v>73</v>
      </c>
      <c r="T46" t="s">
        <v>732</v>
      </c>
      <c r="U46" t="s">
        <v>733</v>
      </c>
      <c r="V46" t="s">
        <v>734</v>
      </c>
      <c r="W46" t="s">
        <v>735</v>
      </c>
      <c r="X46" t="s">
        <v>736</v>
      </c>
      <c r="Y46" t="s">
        <v>95</v>
      </c>
      <c r="Z46">
        <v>6.8</v>
      </c>
      <c r="AA46">
        <v>64123</v>
      </c>
      <c r="AB46" t="s">
        <v>737</v>
      </c>
      <c r="AC46">
        <v>9</v>
      </c>
      <c r="AD46">
        <v>2014</v>
      </c>
      <c r="AE46">
        <v>37</v>
      </c>
      <c r="AF46" t="s">
        <v>738</v>
      </c>
      <c r="AG46">
        <v>42</v>
      </c>
      <c r="AH46">
        <v>18.500007235204102</v>
      </c>
      <c r="AI46">
        <v>0.43023272640009602</v>
      </c>
      <c r="AJ46" t="s">
        <v>62</v>
      </c>
      <c r="AK46" t="s">
        <v>739</v>
      </c>
      <c r="AL46">
        <v>72</v>
      </c>
      <c r="AM46">
        <v>0</v>
      </c>
      <c r="AN46">
        <v>79</v>
      </c>
      <c r="AO46">
        <v>0</v>
      </c>
      <c r="AP46" t="s">
        <v>64</v>
      </c>
      <c r="AQ46" t="s">
        <v>64</v>
      </c>
    </row>
    <row r="47" spans="1:43" x14ac:dyDescent="0.2">
      <c r="A47">
        <v>198663</v>
      </c>
      <c r="B47" t="s">
        <v>740</v>
      </c>
      <c r="C47">
        <v>7.1920000000000002</v>
      </c>
      <c r="D47">
        <v>17613</v>
      </c>
      <c r="E47" t="s">
        <v>44</v>
      </c>
      <c r="F47" s="1">
        <v>41892</v>
      </c>
      <c r="G47">
        <v>348319861</v>
      </c>
      <c r="H47">
        <v>113</v>
      </c>
      <c r="I47">
        <v>34000000</v>
      </c>
      <c r="J47" t="s">
        <v>741</v>
      </c>
      <c r="K47" t="s">
        <v>67</v>
      </c>
      <c r="L47" t="s">
        <v>740</v>
      </c>
      <c r="M47" t="s">
        <v>742</v>
      </c>
      <c r="N47">
        <v>28.762799999999999</v>
      </c>
      <c r="O47" t="s">
        <v>743</v>
      </c>
      <c r="P47" t="s">
        <v>744</v>
      </c>
      <c r="Q47" t="s">
        <v>745</v>
      </c>
      <c r="R47" t="s">
        <v>661</v>
      </c>
      <c r="S47" t="s">
        <v>73</v>
      </c>
      <c r="T47" t="s">
        <v>746</v>
      </c>
      <c r="U47" t="s">
        <v>747</v>
      </c>
      <c r="V47" t="s">
        <v>748</v>
      </c>
      <c r="W47" t="s">
        <v>749</v>
      </c>
      <c r="X47" t="s">
        <v>750</v>
      </c>
      <c r="Y47" t="s">
        <v>751</v>
      </c>
      <c r="Z47">
        <v>6.8</v>
      </c>
      <c r="AA47">
        <v>549146</v>
      </c>
      <c r="AB47" t="s">
        <v>752</v>
      </c>
      <c r="AC47">
        <v>9</v>
      </c>
      <c r="AD47">
        <v>2014</v>
      </c>
      <c r="AE47">
        <v>37</v>
      </c>
      <c r="AF47" t="s">
        <v>753</v>
      </c>
      <c r="AG47">
        <v>42</v>
      </c>
      <c r="AH47">
        <v>19.668631759263</v>
      </c>
      <c r="AI47">
        <v>0.45741004091309301</v>
      </c>
      <c r="AJ47" t="s">
        <v>62</v>
      </c>
      <c r="AK47" t="s">
        <v>754</v>
      </c>
      <c r="AL47">
        <v>100</v>
      </c>
      <c r="AM47">
        <v>1</v>
      </c>
      <c r="AN47">
        <v>103</v>
      </c>
      <c r="AO47">
        <v>0.01</v>
      </c>
      <c r="AP47" t="s">
        <v>64</v>
      </c>
      <c r="AQ47" t="s">
        <v>64</v>
      </c>
    </row>
    <row r="48" spans="1:43" x14ac:dyDescent="0.2">
      <c r="A48">
        <v>239678</v>
      </c>
      <c r="B48" t="s">
        <v>755</v>
      </c>
      <c r="C48">
        <v>6.6239999999999997</v>
      </c>
      <c r="D48">
        <v>1408</v>
      </c>
      <c r="E48" t="s">
        <v>44</v>
      </c>
      <c r="F48" s="1">
        <v>41892</v>
      </c>
      <c r="G48">
        <v>41300000</v>
      </c>
      <c r="H48">
        <v>103</v>
      </c>
      <c r="I48">
        <v>19800000</v>
      </c>
      <c r="J48" t="s">
        <v>756</v>
      </c>
      <c r="K48" t="s">
        <v>67</v>
      </c>
      <c r="L48" t="s">
        <v>755</v>
      </c>
      <c r="M48" t="s">
        <v>757</v>
      </c>
      <c r="N48">
        <v>5.5159000000000002</v>
      </c>
      <c r="O48" t="s">
        <v>758</v>
      </c>
      <c r="P48" t="s">
        <v>285</v>
      </c>
      <c r="Q48" t="s">
        <v>759</v>
      </c>
      <c r="R48" t="s">
        <v>72</v>
      </c>
      <c r="S48" t="s">
        <v>73</v>
      </c>
      <c r="T48" t="s">
        <v>760</v>
      </c>
      <c r="U48" t="s">
        <v>761</v>
      </c>
      <c r="V48" t="s">
        <v>762</v>
      </c>
      <c r="W48" t="s">
        <v>763</v>
      </c>
      <c r="X48" t="s">
        <v>764</v>
      </c>
      <c r="Y48" t="s">
        <v>220</v>
      </c>
      <c r="Z48">
        <v>6.6</v>
      </c>
      <c r="AA48">
        <v>93367</v>
      </c>
      <c r="AB48" t="s">
        <v>765</v>
      </c>
      <c r="AC48">
        <v>9</v>
      </c>
      <c r="AD48">
        <v>2014</v>
      </c>
      <c r="AE48">
        <v>37</v>
      </c>
      <c r="AF48" t="s">
        <v>766</v>
      </c>
      <c r="AG48">
        <v>42</v>
      </c>
      <c r="AH48">
        <v>17.536373082144301</v>
      </c>
      <c r="AI48">
        <v>0.40782262981730999</v>
      </c>
      <c r="AJ48" t="s">
        <v>62</v>
      </c>
      <c r="AK48" t="s">
        <v>767</v>
      </c>
      <c r="AL48">
        <v>51</v>
      </c>
      <c r="AM48">
        <v>1</v>
      </c>
      <c r="AN48">
        <v>64</v>
      </c>
      <c r="AO48">
        <v>0.02</v>
      </c>
      <c r="AP48" t="s">
        <v>64</v>
      </c>
      <c r="AQ48" t="s">
        <v>64</v>
      </c>
    </row>
    <row r="49" spans="1:43" x14ac:dyDescent="0.2">
      <c r="A49">
        <v>227735</v>
      </c>
      <c r="B49" t="s">
        <v>768</v>
      </c>
      <c r="C49">
        <v>7</v>
      </c>
      <c r="D49">
        <v>359</v>
      </c>
      <c r="E49" t="s">
        <v>44</v>
      </c>
      <c r="F49" s="1">
        <v>41893</v>
      </c>
      <c r="G49">
        <v>52424533</v>
      </c>
      <c r="H49">
        <v>107</v>
      </c>
      <c r="I49">
        <v>36000000</v>
      </c>
      <c r="J49" t="s">
        <v>769</v>
      </c>
      <c r="K49" t="s">
        <v>67</v>
      </c>
      <c r="L49" t="s">
        <v>768</v>
      </c>
      <c r="M49" t="s">
        <v>770</v>
      </c>
      <c r="N49">
        <v>2.0409999999999999</v>
      </c>
      <c r="O49" t="s">
        <v>771</v>
      </c>
      <c r="P49" t="s">
        <v>772</v>
      </c>
      <c r="Q49" t="s">
        <v>773</v>
      </c>
      <c r="R49" t="s">
        <v>72</v>
      </c>
      <c r="S49" t="s">
        <v>73</v>
      </c>
      <c r="T49" t="s">
        <v>774</v>
      </c>
      <c r="U49" t="s">
        <v>775</v>
      </c>
      <c r="V49" t="s">
        <v>496</v>
      </c>
      <c r="W49" t="s">
        <v>776</v>
      </c>
      <c r="X49" t="s">
        <v>777</v>
      </c>
      <c r="Y49" t="s">
        <v>778</v>
      </c>
      <c r="Z49">
        <v>6.4</v>
      </c>
      <c r="AA49">
        <v>10165</v>
      </c>
      <c r="AB49" t="s">
        <v>779</v>
      </c>
      <c r="AC49">
        <v>9</v>
      </c>
      <c r="AD49">
        <v>2014</v>
      </c>
      <c r="AE49">
        <v>37</v>
      </c>
      <c r="AF49" t="s">
        <v>780</v>
      </c>
      <c r="AG49">
        <v>43</v>
      </c>
      <c r="AH49">
        <v>17.7748852458238</v>
      </c>
      <c r="AI49">
        <v>0.40397466467781501</v>
      </c>
      <c r="AJ49" t="s">
        <v>62</v>
      </c>
      <c r="AK49" t="s">
        <v>781</v>
      </c>
      <c r="AL49">
        <v>43</v>
      </c>
      <c r="AM49">
        <v>1</v>
      </c>
      <c r="AN49">
        <v>47</v>
      </c>
      <c r="AO49">
        <v>0.02</v>
      </c>
      <c r="AP49" t="s">
        <v>64</v>
      </c>
      <c r="AQ49" t="s">
        <v>64</v>
      </c>
    </row>
    <row r="50" spans="1:43" x14ac:dyDescent="0.2">
      <c r="A50">
        <v>199933</v>
      </c>
      <c r="B50" t="s">
        <v>782</v>
      </c>
      <c r="C50">
        <v>4.5</v>
      </c>
      <c r="D50">
        <v>84</v>
      </c>
      <c r="E50" t="s">
        <v>44</v>
      </c>
      <c r="F50" s="1">
        <v>41894</v>
      </c>
      <c r="G50">
        <v>846704</v>
      </c>
      <c r="H50">
        <v>99</v>
      </c>
      <c r="I50">
        <v>5000000</v>
      </c>
      <c r="J50" t="s">
        <v>783</v>
      </c>
      <c r="K50" t="s">
        <v>67</v>
      </c>
      <c r="L50" t="s">
        <v>782</v>
      </c>
      <c r="M50" t="s">
        <v>784</v>
      </c>
      <c r="N50">
        <v>2.2387999999999999</v>
      </c>
      <c r="O50" t="s">
        <v>785</v>
      </c>
      <c r="P50" t="s">
        <v>786</v>
      </c>
      <c r="Q50" t="s">
        <v>787</v>
      </c>
      <c r="R50" t="s">
        <v>72</v>
      </c>
      <c r="S50" t="s">
        <v>73</v>
      </c>
      <c r="T50" t="s">
        <v>788</v>
      </c>
      <c r="U50" t="s">
        <v>789</v>
      </c>
      <c r="V50" t="s">
        <v>790</v>
      </c>
      <c r="W50" t="s">
        <v>791</v>
      </c>
      <c r="X50" t="s">
        <v>792</v>
      </c>
      <c r="Y50" t="s">
        <v>793</v>
      </c>
      <c r="Z50">
        <v>4.3</v>
      </c>
      <c r="AA50">
        <v>4104</v>
      </c>
      <c r="AB50" t="s">
        <v>794</v>
      </c>
      <c r="AC50">
        <v>9</v>
      </c>
      <c r="AD50">
        <v>2014</v>
      </c>
      <c r="AE50">
        <v>37</v>
      </c>
      <c r="AF50" t="s">
        <v>795</v>
      </c>
      <c r="AG50">
        <v>44</v>
      </c>
      <c r="AH50">
        <v>13.649107624892199</v>
      </c>
      <c r="AI50">
        <v>0.30331350277538299</v>
      </c>
      <c r="AJ50" t="s">
        <v>62</v>
      </c>
      <c r="AK50" t="s">
        <v>796</v>
      </c>
      <c r="AL50">
        <v>0</v>
      </c>
      <c r="AM50">
        <v>0</v>
      </c>
      <c r="AN50">
        <v>2</v>
      </c>
      <c r="AO50">
        <v>0</v>
      </c>
      <c r="AP50" t="s">
        <v>64</v>
      </c>
      <c r="AQ50" t="s">
        <v>64</v>
      </c>
    </row>
    <row r="51" spans="1:43" x14ac:dyDescent="0.2">
      <c r="A51">
        <v>211166</v>
      </c>
      <c r="B51" t="s">
        <v>797</v>
      </c>
      <c r="C51">
        <v>4.9000000000000004</v>
      </c>
      <c r="D51">
        <v>45</v>
      </c>
      <c r="E51" t="s">
        <v>44</v>
      </c>
      <c r="F51" s="1">
        <v>41894</v>
      </c>
      <c r="G51">
        <v>600000</v>
      </c>
      <c r="H51">
        <v>110</v>
      </c>
      <c r="I51">
        <v>8500000</v>
      </c>
      <c r="J51" t="s">
        <v>798</v>
      </c>
      <c r="K51" t="s">
        <v>799</v>
      </c>
      <c r="L51" t="s">
        <v>800</v>
      </c>
      <c r="M51" t="s">
        <v>801</v>
      </c>
      <c r="N51">
        <v>1.8649</v>
      </c>
      <c r="O51" t="s">
        <v>802</v>
      </c>
      <c r="P51" t="s">
        <v>803</v>
      </c>
      <c r="Q51" t="s">
        <v>804</v>
      </c>
      <c r="R51" t="s">
        <v>805</v>
      </c>
      <c r="S51" t="s">
        <v>806</v>
      </c>
      <c r="T51" t="s">
        <v>807</v>
      </c>
      <c r="U51" t="s">
        <v>808</v>
      </c>
      <c r="V51" t="s">
        <v>809</v>
      </c>
      <c r="W51" t="s">
        <v>810</v>
      </c>
      <c r="X51" t="s">
        <v>811</v>
      </c>
      <c r="Y51" t="s">
        <v>812</v>
      </c>
      <c r="Z51">
        <v>5.2</v>
      </c>
      <c r="AA51">
        <v>2356</v>
      </c>
      <c r="AB51" t="s">
        <v>813</v>
      </c>
      <c r="AC51">
        <v>9</v>
      </c>
      <c r="AD51">
        <v>2014</v>
      </c>
      <c r="AE51">
        <v>37</v>
      </c>
      <c r="AF51" t="s">
        <v>814</v>
      </c>
      <c r="AG51">
        <v>44</v>
      </c>
      <c r="AH51">
        <v>13.3046866008635</v>
      </c>
      <c r="AI51">
        <v>0.29565970224141203</v>
      </c>
      <c r="AJ51" t="s">
        <v>62</v>
      </c>
      <c r="AK51" t="s">
        <v>815</v>
      </c>
      <c r="AL51">
        <v>12</v>
      </c>
      <c r="AM51">
        <v>0</v>
      </c>
      <c r="AN51">
        <v>20</v>
      </c>
      <c r="AO51">
        <v>0</v>
      </c>
      <c r="AP51" t="s">
        <v>64</v>
      </c>
      <c r="AQ51" t="s">
        <v>64</v>
      </c>
    </row>
    <row r="52" spans="1:43" x14ac:dyDescent="0.2">
      <c r="A52">
        <v>254191</v>
      </c>
      <c r="B52" t="s">
        <v>816</v>
      </c>
      <c r="C52">
        <v>5.4</v>
      </c>
      <c r="D52">
        <v>603</v>
      </c>
      <c r="E52" t="s">
        <v>44</v>
      </c>
      <c r="F52" s="1">
        <v>41894</v>
      </c>
      <c r="G52">
        <v>9318</v>
      </c>
      <c r="H52">
        <v>88</v>
      </c>
      <c r="I52">
        <v>1000000</v>
      </c>
      <c r="J52" t="s">
        <v>817</v>
      </c>
      <c r="K52" t="s">
        <v>67</v>
      </c>
      <c r="L52" t="s">
        <v>816</v>
      </c>
      <c r="M52" t="s">
        <v>818</v>
      </c>
      <c r="N52">
        <v>2.3666999999999998</v>
      </c>
      <c r="O52" t="s">
        <v>819</v>
      </c>
      <c r="P52" t="s">
        <v>820</v>
      </c>
      <c r="Q52" t="s">
        <v>821</v>
      </c>
      <c r="R52" t="s">
        <v>72</v>
      </c>
      <c r="S52" t="s">
        <v>73</v>
      </c>
      <c r="T52" t="s">
        <v>822</v>
      </c>
      <c r="U52" t="s">
        <v>823</v>
      </c>
      <c r="V52" t="s">
        <v>824</v>
      </c>
      <c r="W52" t="s">
        <v>825</v>
      </c>
      <c r="X52" t="s">
        <v>826</v>
      </c>
      <c r="Y52" t="s">
        <v>827</v>
      </c>
      <c r="Z52">
        <v>5.7</v>
      </c>
      <c r="AA52">
        <v>28293</v>
      </c>
      <c r="AB52" t="s">
        <v>828</v>
      </c>
      <c r="AC52">
        <v>9</v>
      </c>
      <c r="AD52">
        <v>2014</v>
      </c>
      <c r="AE52">
        <v>37</v>
      </c>
      <c r="AF52" t="s">
        <v>829</v>
      </c>
      <c r="AG52">
        <v>44</v>
      </c>
      <c r="AH52">
        <v>9.1398106057856499</v>
      </c>
      <c r="AI52">
        <v>0.20310690235079201</v>
      </c>
      <c r="AJ52" t="s">
        <v>62</v>
      </c>
      <c r="AK52" t="s">
        <v>830</v>
      </c>
      <c r="AL52">
        <v>6</v>
      </c>
      <c r="AM52">
        <v>2</v>
      </c>
      <c r="AN52">
        <v>31</v>
      </c>
      <c r="AO52">
        <v>0.06</v>
      </c>
      <c r="AP52" t="s">
        <v>64</v>
      </c>
      <c r="AQ52" t="s">
        <v>64</v>
      </c>
    </row>
    <row r="53" spans="1:43" x14ac:dyDescent="0.2">
      <c r="A53" t="s">
        <v>831</v>
      </c>
      <c r="AI53">
        <f>SUBTOTAL(109,Table1[score])</f>
        <v>75.138968385017108</v>
      </c>
      <c r="AQ53">
        <f>SUBTOTAL(103,Table1[error])</f>
        <v>51</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Guardians_of_the_Galaxy_attribu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ksarav</cp:lastModifiedBy>
  <dcterms:created xsi:type="dcterms:W3CDTF">2026-02-17T17:12:38Z</dcterms:created>
  <dcterms:modified xsi:type="dcterms:W3CDTF">2026-02-17T18:00:10Z</dcterms:modified>
</cp:coreProperties>
</file>