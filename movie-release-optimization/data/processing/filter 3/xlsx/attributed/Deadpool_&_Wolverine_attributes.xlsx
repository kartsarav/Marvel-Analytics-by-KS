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FCCBBE8F-4553-004E-80D6-445FA296715C}" xr6:coauthVersionLast="47" xr6:coauthVersionMax="47" xr10:uidLastSave="{00000000-0000-0000-0000-000000000000}"/>
  <bookViews>
    <workbookView xWindow="380" yWindow="80" windowWidth="28040" windowHeight="17180" xr2:uid="{857DD723-20DB-D14A-BA58-F09F204E8E8D}"/>
  </bookViews>
  <sheets>
    <sheet name="Deadpool_&amp;_Wolverine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 i="1" l="1"/>
  <c r="AQ45" i="1"/>
</calcChain>
</file>

<file path=xl/sharedStrings.xml><?xml version="1.0" encoding="utf-8"?>
<sst xmlns="http://schemas.openxmlformats.org/spreadsheetml/2006/main" count="1028" uniqueCount="715">
  <si>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</si>
  <si>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</si>
  <si>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</si>
  <si>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</si>
  <si>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</si>
  <si>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</si>
  <si>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</si>
  <si>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</si>
  <si>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</si>
  <si>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</si>
  <si>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</si>
  <si>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</si>
  <si>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</si>
  <si>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</si>
  <si>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</si>
  <si>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</si>
  <si>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</si>
  <si>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</si>
  <si>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</si>
  <si>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</si>
  <si>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</si>
  <si>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</si>
  <si>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</si>
  <si>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</si>
  <si>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</si>
  <si>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</si>
  <si>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</si>
  <si>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</si>
  <si>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</si>
  <si>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</si>
  <si>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</si>
  <si>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</si>
  <si>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</si>
  <si>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</si>
  <si>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</si>
  <si>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</si>
  <si>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</si>
  <si>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</si>
  <si>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</si>
  <si>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</si>
  <si>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</si>
  <si>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</si>
  <si>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</si>
  <si>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Inside Out 2</t>
  </si>
  <si>
    <t>Released</t>
  </si>
  <si>
    <t>tt22022452</t>
  </si>
  <si>
    <t>en</t>
  </si>
  <si>
    <t>Teenager Riley's mind headquarters is undergoing a sudden demolition to make room for something entirely unexpected: new Emotions! Joy, Sadness, Anger, Fear and Disgust, who‚Äö√Ñ√¥ve long been running a successful operation by all accounts, aren‚Äö√Ñ√¥t sure how to feel when Anxiety shows up. And it looks like she‚Äö√Ñ√¥s not alone.</t>
  </si>
  <si>
    <t>Make room for new emotions.</t>
  </si>
  <si>
    <t>Animation, Adventure, Comedy, Family</t>
  </si>
  <si>
    <t>pixar</t>
  </si>
  <si>
    <t>United States of America</t>
  </si>
  <si>
    <t>English</t>
  </si>
  <si>
    <t>Ad‚àö¬Æle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</si>
  <si>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</si>
  <si>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</si>
  <si>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</si>
  <si>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</si>
  <si>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</si>
  <si>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</si>
  <si>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inside out 2</t>
  </si>
  <si>
    <t>deadpool &amp; wolverine</t>
  </si>
  <si>
    <t>los angeles, ca (1), premiere (3), blank (67), shanghai (1), spain (1), vod (1), dvd,4k uhd,blu-ray (1), internet (2)</t>
  </si>
  <si>
    <t>no</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</si>
  <si>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</si>
  <si>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</si>
  <si>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</si>
  <si>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</si>
  <si>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Drama, Comedy</t>
  </si>
  <si>
    <t>seven elephants, good thing going, ha‚àö√∏ku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</si>
  <si>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</si>
  <si>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</si>
  <si>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Cel‚àö‚â•wna-Janikowska, S‚âà√áawomira ‚âà√Öozi‚âà√ëska, Zbigniew Zamachowski, Tomasz W‚âà√áosok, David Krzysteczko, Lena Dunham, Andr‚àö¬©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</si>
  <si>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</si>
  <si>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</si>
  <si>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</si>
  <si>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</si>
  <si>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‚âà√Öazarkiewicz</t>
  </si>
  <si>
    <t>/uDMrdPAQHjvbSxFiYrWWVE3dYrD.jpg</t>
  </si>
  <si>
    <t>treasure</t>
  </si>
  <si>
    <t>berlin international film festival (1), tribeca film festival (1), blank (11), limited (3), rio de janeiro international film festival (1), warsaw jewish film festival (1), kino na granicy (1)</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</si>
  <si>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</si>
  <si>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</si>
  <si>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</si>
  <si>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</si>
  <si>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Crime, Drama</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</si>
  <si>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</si>
  <si>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</si>
  <si>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Jeff Nichols</t>
  </si>
  <si>
    <t>Adam Stone</t>
  </si>
  <si>
    <t>Danny Lyon, Jeff Nichols</t>
  </si>
  <si>
    <t>Michael Schaefer, David Kern, Brian Kavanaugh-Jones, Arnon Milchan, Sarah Green, Fred Berger, Yariv Milchan, Sam Hanson</t>
  </si>
  <si>
    <t>David Wingo</t>
  </si>
  <si>
    <t>/ApMuukdDAOR2rgaFDZIcjfigi64.jpg</t>
  </si>
  <si>
    <t>the bikeriders</t>
  </si>
  <si>
    <t>telluride film festival (1), bfi london film festival (1), mill valley film festival (1), filmbath film festival (1), chicago international film festival (1), scad savannah film festival (1), afi fest (2), austin film festival (1), sydney film festival (1), blank (38), limited (3), karlovy vary international film festival (1), vod (1), internet (1), dvd,4k uhd,blu-ray (1), baltic pearl film festival (1), tv release (1)</t>
  </si>
  <si>
    <t>Despicable Me 4</t>
  </si>
  <si>
    <t>tt7510222</t>
  </si>
  <si>
    <t>Gru and Lucy and their girls‚Äö√Ñ√ÆMargo, Edith and Agnes‚Äö√Ñ√Æwelcome a new member to the Gru family, Gru Jr., who is intent on tormenting his dad. Gru also faces a new nemesis in Maxime Le Mal and his femme fatale girlfriend Valentina, forcing the family to go on the run.</t>
  </si>
  <si>
    <t>Things just got a little more despicable.</t>
  </si>
  <si>
    <t>Family, Comedy, Animation, Science Fiction</t>
  </si>
  <si>
    <t>universal pictures, illumination</t>
  </si>
  <si>
    <t>Stephen Colbert, Arif S. Kinchen, Will Ferrell, Cathy Cavadini, Isaac Robinson-Smith, Aaron Fors, John DeMita, Joey King, Nisa Ward, Laraine Newman, Willow Geer, Tara Strong, Brad Ableson, Sof‚àö‚â†a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</si>
  <si>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Chris Renaud</t>
  </si>
  <si>
    <t>Habib Louati, Ken Daurio, Mike White</t>
  </si>
  <si>
    <t>Brett Hoffman, Chris Meledandri</t>
  </si>
  <si>
    <t>Heitor Pereira</t>
  </si>
  <si>
    <t>/wWba3TaojhK7NdycRhoQpsG0FaH.jpg</t>
  </si>
  <si>
    <t>despicable me 4</t>
  </si>
  <si>
    <t>sydney film festival (1), tribeca film festival (1), blank (54), imax (1), digital (1), dvd,4k uhd,blu-ray (1), internet (1)</t>
  </si>
  <si>
    <t>Thelma</t>
  </si>
  <si>
    <t>tt23778968</t>
  </si>
  <si>
    <t>When 93-year-old Thelma Post gets duped by a phone scammer pretending to be her grandson, she sets out on a treacherous quest across the city to reclaim what was taken from her.</t>
  </si>
  <si>
    <t>Revenge has never been sweeter.</t>
  </si>
  <si>
    <t>Action, Comedy, Adventure, Drama</t>
  </si>
  <si>
    <t>zurich avenue, invention studios, bandwagon</t>
  </si>
  <si>
    <t>United States of America, Switzerland</t>
  </si>
  <si>
    <t>Sandra Lee Gimpel, Clark Gregg, David Giuliani, Thelma Post, Fred Hechinger, June Squibb, Aidan Fiske, Annie O'Donnell, Quinn Beswick, Zo‚àö¬¥ Worth, Parker Posey, Bunny Levine, Paul LeClair, Carol Cetrone, Coral Pe‚àö¬±a, Ivy Jones, Hilda Boulware, Chase Kim, Annie Korzen, Nicole Byer, Sheila Korsi, Ruben Rabasa, Malcolm McDowell, Richard Roundtree</t>
  </si>
  <si>
    <t>Josh Margolin</t>
  </si>
  <si>
    <t>David Bolen</t>
  </si>
  <si>
    <t>Viviana Vezzani, Chris Kaye, Zo‚àö¬¥ Worth, Fred Hechinger, Benjamin Simpson, Nicholas Weinstock, Kat Barnette, June Squibb, Tobias Gutzwiller, Karl Spoerri</t>
  </si>
  <si>
    <t>Nick Chuba</t>
  </si>
  <si>
    <t>/rUcuageYgv9SsJoWuc0seRWG6JC.jpg</t>
  </si>
  <si>
    <t>thelma</t>
  </si>
  <si>
    <t>sundance film festival (1), cleveland international film festival (1), annapolis film festival (1), miami film festival (1), sarasota film festival (1), pff springfest (1), usa film festival (1), riverrun international film festival (1), atlanta film festival (1), san francisco international film festival (1), chicago critics film festival (1), independent film festival boston (1), berkshire international film festival (1), lighthouse international film festival (1), sydney film festival (1), provincetown international film festival (1), bentonville film festival (1), nantucket film festival (1), blank (11), jerusalem film festival (1), malaysia international film festival (1), melbourne international film festival (1), sundance film festival asia (1), zurich film festival (1), stockholm international film festival (1), internet (1)</t>
  </si>
  <si>
    <t>A Quiet Place: Day One</t>
  </si>
  <si>
    <t>tt13433802</t>
  </si>
  <si>
    <t>As New York City is invaded by alien creatures who hunt by sound, a woman named Sam fights to survive with her cat.</t>
  </si>
  <si>
    <t>Hear how it all began.</t>
  </si>
  <si>
    <t>Horror, Science Fiction, Thriller</t>
  </si>
  <si>
    <t>paramount pictures, platinum dunes, sunday night productions</t>
  </si>
  <si>
    <t>Alexander John, Elijah Ungvary, Lupita Nyong'o, Thara Sch‚àö‚àÇ‚àö‚àÇn, Gavin Fleming, Thea Butler, Takunda Khumalo, Djimon Hounsou, Avy-Berry Worrall, Alfie Todd, Benjamin Wong, Michael Roberts, Choy-Ling Man, Ronnie Le Drew, Eliane Umuhire, Joseph Quinn, Alex Wolff</t>
  </si>
  <si>
    <t>Michael Sarnoski</t>
  </si>
  <si>
    <t>Pat Scola</t>
  </si>
  <si>
    <t>Bryan Woods, Scott Beck, John Krasinski, Michael Sarnoski</t>
  </si>
  <si>
    <t>Vicki Dee Rock, Allyson Seeger, Brad Fuller, John Krasinski, Andrew Form, Michael Bay</t>
  </si>
  <si>
    <t>Alexis Grapsas</t>
  </si>
  <si>
    <t>/hU42CRk14JuPEdqZG3AWmagiPAP.jpg</t>
  </si>
  <si>
    <t>a quiet place: day one</t>
  </si>
  <si>
    <t>blank (50), tribeca film festival (1), fan event (1), dolby cinema (1), imax (1), vod (1), internet (1), dvd,4k uhd,blu-ray (1), tv premiere (1)</t>
  </si>
  <si>
    <t>Kalki 2898-AD</t>
  </si>
  <si>
    <t>tt12735488</t>
  </si>
  <si>
    <t>te</t>
  </si>
  <si>
    <t>‚Ä°‚àû√Ø‚Ä°‚àû‚â§‚Ä°¬±√ß‚Ä°‚àû√Ø‚Ä°‚àû√∏ 2898-‚Ä°‚àû√©.‚Ä°‚àû¬∞‚Ä°‚àû√∏</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</si>
  <si>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</si>
  <si>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</si>
  <si>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</si>
  <si>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</si>
  <si>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India</t>
  </si>
  <si>
    <t>‚Ä°‚àû¬ß‚Ä°¬±√ú‚Ä°‚àû‚â§‚Ä°¬±√Ö‚Ä°‚àû√≥‚Ä°¬±√Ö</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</si>
  <si>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∆í√™or∆í√´e Stojiljkovi∆í√°,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</si>
  <si>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Nag Ashwin</t>
  </si>
  <si>
    <t>∆í√™or∆í√´e Stojiljkovi∆í√°</t>
  </si>
  <si>
    <t>Chandrabose, Nag Ashwin, Sai Madhav Burra</t>
  </si>
  <si>
    <t>C. Ashwini Dutt, Swapna Dutt, Priyanka Dutt</t>
  </si>
  <si>
    <t>Santhosh Narayanan</t>
  </si>
  <si>
    <t>/rstcAnBeCkxNQjNp3YXrF6IP1tW.jpg</t>
  </si>
  <si>
    <t>kalki 2898-ad</t>
  </si>
  <si>
    <t>blank (24), limited (1), internet (3), busan international film festival (1), international film festival of india (1), tv release (1)</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</si>
  <si>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</si>
  <si>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</si>
  <si>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</si>
  <si>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</si>
  <si>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</si>
  <si>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</si>
  <si>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√ä√¥√Ü√à√Ñ√∂√ã√ò√π, English, </t>
  </si>
  <si>
    <t>Lindsay Foster, Tatanka Means, Gregory Cruz, Bodhi Okuma Linton, James Landry H‚àö¬©bert, Dustyn Horse, Brandon Shaffer, Jim Lau, John Coinman, Tim Guinee, Douglas Smith, William McAllister, H. Jack Williams, Tiger Curran, Jon Beavers, Michael Rooker, Colin Cunningham, Boo Arnold, Aidan McCann, Daniel Link, Isabelle Fuhrman, Was‚àö¬©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</si>
  <si>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</si>
  <si>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 Michael Muro</t>
  </si>
  <si>
    <t>Jon Baird, Kevin Costner, Mark Kasdan</t>
  </si>
  <si>
    <t>Charlie Lyons, Rod Lake, Kevin Costner, Danny Peykoff, Mark Gillard, Barry M. Berg, Howard Kaplan, Armyan Bernstein, Robert Scannell</t>
  </si>
  <si>
    <t>John Debney</t>
  </si>
  <si>
    <t>/posWMQwX1HCIK26TGL3niJp5fg0.jpg</t>
  </si>
  <si>
    <t>horizon: an american saga - chapter 1</t>
  </si>
  <si>
    <t>cannes film festival (1), blank (32), internet (2), vod (1), dvd,4k uhd,blu-ray (1), asian world film festival (1), limited (1)</t>
  </si>
  <si>
    <t>Kill</t>
  </si>
  <si>
    <t>tt28259207</t>
  </si>
  <si>
    <t>hi</t>
  </si>
  <si>
    <t>‚Ä°¬ß√Ø‚Ä°¬ß√∏‚Ä°¬ß‚â§</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</si>
  <si>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</si>
  <si>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</si>
  <si>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Action, Crime, Thriller, Drama</t>
  </si>
  <si>
    <t>sikhya entertainment, dharma productions</t>
  </si>
  <si>
    <t>‚Ä°¬ßœÄ‚Ä°¬ß√∏‚Ä°¬ß¬Æ‚Ä°‚Ä¢√ß‚Ä°¬ß¬∂‚Ä°‚Ä¢√Ñ</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</si>
  <si>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</si>
  <si>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</si>
  <si>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Rafey Mehmood</t>
  </si>
  <si>
    <t>Ayesha Syed, Nikhil Nagesh Bhat</t>
  </si>
  <si>
    <t>Karan Johar, Hiroo Johar, Guneet Monga, Achin Jain, Apoorva Mehta, Prasanna R Coondapur</t>
  </si>
  <si>
    <t>Ketan Sodha</t>
  </si>
  <si>
    <t>/m2zXTuNPkywdYLyWlVyJZW2QOJH.jpg</t>
  </si>
  <si>
    <t>kill</t>
  </si>
  <si>
    <t>toronto international film festival (1), fantastic fest (1), tribeca film festival (1), sydney film festival (1), limited (3), blank (21), octopus film festival (1), internet (2), fantasy filmfest (1), motelx - lisbon international horror film festival (1), dvd premiere (1), dvd and blu-ray premiere (1)</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</si>
  <si>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</si>
  <si>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</si>
  <si>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</si>
  <si>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</si>
  <si>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Horror, Thriller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</si>
  <si>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</si>
  <si>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</si>
  <si>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Ti West</t>
  </si>
  <si>
    <t>Eliot Rockett</t>
  </si>
  <si>
    <t>Kevin Turen, Sam Levinson, Ti West, Peter Phok, Jeremy Reitz, Jacob Jaffke, Kid Cudi, Danny Cohen, Harrison Kreiss, Mia Goth, Ashley Levinson, Len Blavatnik</t>
  </si>
  <si>
    <t>Tyler Bates</t>
  </si>
  <si>
    <t>/ArvoFK6nlouZRxYmtIOUzKIrg90.jpg</t>
  </si>
  <si>
    <t>maxxxine</t>
  </si>
  <si>
    <t>los angeles, california (1), premiere (1), early access (1), limited (2), blank (31), motelx - festival internacional de cinema de terror de lisboa (1), motelx - lisbon international horror film festival (1), internet (2), tv release (1), taipei golden horse film festival (1), hong kong international film festival (1)</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</si>
  <si>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</si>
  <si>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</si>
  <si>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</si>
  <si>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</si>
  <si>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Drama</t>
  </si>
  <si>
    <t>peacetree productions, 3.16 productions, the daily wire</t>
  </si>
  <si>
    <t>Demi‚àö¬∞n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</si>
  <si>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</si>
  <si>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</si>
  <si>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</si>
  <si>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</si>
  <si>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Sean Philip Johnson</t>
  </si>
  <si>
    <t>/47kytyhKjdY2fwuYR15bBNUUFLb.jpg</t>
  </si>
  <si>
    <t>sound of hope: the story of possum trot</t>
  </si>
  <si>
    <t>annapolis film festival (1), blank (10)</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</si>
  <si>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</si>
  <si>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</si>
  <si>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</si>
  <si>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</si>
  <si>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Action, Thriller</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</si>
  <si>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</si>
  <si>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</si>
  <si>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</si>
  <si>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Dan Mindel</t>
  </si>
  <si>
    <t>Joseph Kosinski, Anne-Marie Martin, Mark L. Smith, Michael Crichton</t>
  </si>
  <si>
    <t>Frank Marshall, Ashley Jay Sandberg, Patrick Crowley, Pete Chiappetta, Andrew Lary, Anthony Tittanegro, Steven Spielberg, Thomas Hayslip</t>
  </si>
  <si>
    <t>Benjamin Wallfisch</t>
  </si>
  <si>
    <t>/pjnD08FlMAIXsfOLKQbvmO0f0MD.jpg</t>
  </si>
  <si>
    <t>twisters</t>
  </si>
  <si>
    <t>london (1), premiere (1), blank (55), early access (1), pvod (1), dvd,4k uhd,blu-ray (1), internet (1), tv release (1)</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</si>
  <si>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</si>
  <si>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</si>
  <si>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</si>
  <si>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</si>
  <si>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Crime, Horror, Thriller</t>
  </si>
  <si>
    <t>c2 motion picture group, saturn films, oddfellows entertainment, traffic., range media partners</t>
  </si>
  <si>
    <t>Canada, United States of America</t>
  </si>
  <si>
    <t>Carmel Amit, Maika Monroe, Ma‚àö√òla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</si>
  <si>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Osgood Perkins</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</si>
  <si>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</si>
  <si>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</si>
  <si>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</si>
  <si>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</si>
  <si>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longlegs</t>
  </si>
  <si>
    <t>beyond fest (1), blank (47), neuch√¢tel international fantastic film festival (1), madrid (1), valencia (1), subtitled version (2), premiere (3), lleida (1), limited (2), digital (1), dvd,4k uhd,blu-ray (1), re-release (1), internet (1)</t>
  </si>
  <si>
    <t>Project Silence</t>
  </si>
  <si>
    <t>tt25808194</t>
  </si>
  <si>
    <t>ko</t>
  </si>
  <si>
    <t>√å√â√†√è‚àÇ√∫: √å√Æ√ë√é¬∞√∫√è‚Ä†√π√å√§‚àè √è√á¬®√è√π¬∫√é√º‚àû√è√§¬ß</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</si>
  <si>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</si>
  <si>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</si>
  <si>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</si>
  <si>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</si>
  <si>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South Korea</t>
  </si>
  <si>
    <t>√å√Ø√∫√ç¬µ‚â†√è√±¬•/√è¬∞‚àû√è√ë‚Ä†√é√ü√™</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</si>
  <si>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</si>
  <si>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</si>
  <si>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Hong Kyung-pyo</t>
  </si>
  <si>
    <t>Park Joo-suk, Kim Yong-hwa, Kim Tae-gon</t>
  </si>
  <si>
    <t>Miky Lee, Seo Ho-jin, Jang Hye-jin</t>
  </si>
  <si>
    <t>Shim Hyun-jung</t>
  </si>
  <si>
    <t>/lZT5Cq4wkz7IeJEnz94U94xuEWD.jpg</t>
  </si>
  <si>
    <t>project silence</t>
  </si>
  <si>
    <t>cannes film festival (1), blank (16), limited (1), fantasy filmfest (1), internet (2)</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</si>
  <si>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</si>
  <si>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</si>
  <si>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</si>
  <si>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</si>
  <si>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</si>
  <si>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Pe‚àö¬±a,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</si>
  <si>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</si>
  <si>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</si>
  <si>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Ra‚àö‚à´l Domingo, Michael Heimler, Colman Domingo</t>
  </si>
  <si>
    <t>Bryce Dessner</t>
  </si>
  <si>
    <t>/s0TPyI8QlMiktEiq3JVhea0zFhM.jpg</t>
  </si>
  <si>
    <t>sing sing</t>
  </si>
  <si>
    <t>toronto international film festival (1), south by southwest film festival (1), miami film festival (1), ivy film festival (1), pff springfest (1), san francisco international film festival (1), dallas international film festival (1), chicago critics film festival (1), atlanta film festival (1), independent film festival boston (1), seattle international film festival (1), provincetown international film festival (1), san diego international film festival (1), montclair film summer showcase (1), newark black film festival (1), limited (2), jerusalem film festival (1), toronto (1), blank (24), martha's vineyard african american film festival (1), edinburgh international film festival (1), antalya golden orange film festival (1), leiden international film festival (1), moma - the contenders (1), leffest - lisboa film festival (1), mar del plata film festival (1), palm springs international film festival (1), internet (2), tv release (1)</t>
  </si>
  <si>
    <t>Santosh</t>
  </si>
  <si>
    <t>tt30444418</t>
  </si>
  <si>
    <t>‚Ä°¬ß‚àè‚Ä°¬ß√á‚Ä°¬ß¬ß‚Ä°‚Ä¢√£‚Ä°¬ß‚àë</t>
  </si>
  <si>
    <t>A government scheme sees newly widowed Santosh inherit her husband‚Äö√Ñ√¥s job as a police constable in the rural badlands of Northern India. When a low-caste girl is found raped and murdered, she is pulled into the investigation under the wing of charismatic feminist inspector Sharma.</t>
  </si>
  <si>
    <t>Nothing is more dangerous than following orders.</t>
  </si>
  <si>
    <t>Crime, Drama, Thriller</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</si>
  <si>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</si>
  <si>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</si>
  <si>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</si>
  <si>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</si>
  <si>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Lennert Hillege</t>
  </si>
  <si>
    <t>Sandhya Suri, Gaia Eklington, Rajesh Thanickan</t>
  </si>
  <si>
    <t>James Bowsher, Alan McAlex, Diarmid Scrimshaw, Balthazar De Ganay, Lucia Haslauer, Martin Gerhard, Eva Yates, Mike Goodridge, Ama Ampadu</t>
  </si>
  <si>
    <t>Luisa Gerstein</t>
  </si>
  <si>
    <t>/c4LdJKjE7Du2ofKsyDrmwZs9u5m.jpg</t>
  </si>
  <si>
    <t>santosh</t>
  </si>
  <si>
    <t>cannes film festival (1), karlovy vary international film festival (1), blank (8), toronto international film festival (1), rio de janeiro international film festival (1), busan international film festival (1), bfi london film festival (1), orcas island film festival (1), middleburg film festival (1), philadelphia international film festival (1), chicago international film festival (1), karo.art festival (1), mumbai film festival (1), filmcolumbia film festival (1), denver film festival (1), thessaloniki international film festival (1), international film festival mannheim-heidelberg (1), dharamshala international film festival (1), qcinema international film festival (1), world film festival of bangkok (1), asian world film festival (1), camerimage international film festival (1), tokyo filmex (1), red sea international film festival (1), moma - the contenders (1), ifc center, new york city (1), internet (1), palm springs international film festival (1), laemmle's royal theatre, west los angeles, california (1), g√∂teborg film festival (1), fifdh gen√®ve (1), unknown (1), hong kong international film festival (1), golden horse fantastic film festival (1), mirror andrey tarkovsky international film festival (1)</t>
  </si>
  <si>
    <t>The Glassworker</t>
  </si>
  <si>
    <t>tt5986440</t>
  </si>
  <si>
    <t>ur</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</si>
  <si>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</si>
  <si>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</si>
  <si>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</si>
  <si>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</si>
  <si>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Pakistan</t>
  </si>
  <si>
    <t>√ø√ü√ø¬±√ø√ò≈∏√†</t>
  </si>
  <si>
    <t>Aysha Sheikh, Mooroo, Usman Riaz, Dino Ali, Mariam Riaz Paracha, Faiza Kazi, Khalifa Sajeeruddin, Khaled Anam, Ameed Riaz, Mahum Moazzam</t>
  </si>
  <si>
    <t>Usman Riaz</t>
  </si>
  <si>
    <t>Moya O'Shea, Usman Riaz</t>
  </si>
  <si>
    <t>Manuel Crist‚àö‚â•bal, Aamir Baig, Azhar Hameed, Khizer Riaz, Apoorva Bakshi, Art Malik, Ameed Riaz</t>
  </si>
  <si>
    <t>Carmine Diflorio, Usman Riaz</t>
  </si>
  <si>
    <t>/Aj4IhLVphVwKuZrE5EcSGTUMmk2.jpg</t>
  </si>
  <si>
    <t>the glassworker</t>
  </si>
  <si>
    <t>annecy international animation film festival (1), guadalajara international film festival (1), shanghai international film festival (1), blank (5), asian film festival barcelona (1), san diego asian film festival (1), asian world film festival (1), toronto reel asian international film festival (1), limited (3), laemmle theater los angeles (1), premiere (2), special screening in new york (1), cinemasia film festival (1), asian pop-up cinema (1), framed animation film festival (1), internet (1)</t>
  </si>
  <si>
    <t>Raayan</t>
  </si>
  <si>
    <t>tt26233598</t>
  </si>
  <si>
    <t>ta</t>
  </si>
  <si>
    <t>‚Ä°√Ü‚àû‚Ä°√Ü√¶‚Ä°√Ü√ò‚Ä°√Ü¬©‚Ä°√ò√ß</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</si>
  <si>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</si>
  <si>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</si>
  <si>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Action, Drama, Thriller</t>
  </si>
  <si>
    <t>sun pictures</t>
  </si>
  <si>
    <t>‚Ä°√Ü¬ß‚Ä°√Ü√Ü‚Ä°√Ü√∏‚Ä°√Ü¬•‚Ä°√ò√ß</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</si>
  <si>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</si>
  <si>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</si>
  <si>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Om Prakash</t>
  </si>
  <si>
    <t>Arivu, Dinesh Kanagaratnam, Dhanush, Gaana Kadhar</t>
  </si>
  <si>
    <t>Kalanithi Maran</t>
  </si>
  <si>
    <t>A.R. Rahman</t>
  </si>
  <si>
    <t>/dHMbqpG7vZk1iEJaEkCCyixFbos.jpg</t>
  </si>
  <si>
    <t>raayan</t>
  </si>
  <si>
    <t>blank (5), limited (1), internet (1)</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</si>
  <si>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</si>
  <si>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</si>
  <si>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</si>
  <si>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</si>
  <si>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Family, Comedy, Adventure, Fantasy</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</si>
  <si>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</si>
  <si>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</si>
  <si>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Carlos Saldanha</t>
  </si>
  <si>
    <t>Gabriel Beristain</t>
  </si>
  <si>
    <t>Crockett Johnson, David Guion, Michael Handelman</t>
  </si>
  <si>
    <t>Jeremy Stein, John Davis, Jenny Hinkey</t>
  </si>
  <si>
    <t>Batu Sener</t>
  </si>
  <si>
    <t>/qtW6bWUEqfPLaD6KnetIlSG4adf.jpg</t>
  </si>
  <si>
    <t>harold and the purple crayon</t>
  </si>
  <si>
    <t>blank (31), vod (1), blu-ray (1), dvd (1), dvd and blu-ray premiere (1), internet (2)</t>
  </si>
  <si>
    <t>Trap</t>
  </si>
  <si>
    <t>tt26753003</t>
  </si>
  <si>
    <t>A father and teen daughter attend a pop concert, where they realize they're at the center of a dark and sinister event.</t>
  </si>
  <si>
    <t>30,000 fans. 300 cops. 1 serial killer. No escape.</t>
  </si>
  <si>
    <t>Crime, Horror, Mystery, Thriller</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</si>
  <si>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</si>
  <si>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</si>
  <si>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M. Night Shyamalan</t>
  </si>
  <si>
    <t>Sayombhu Mukdeeprom</t>
  </si>
  <si>
    <t>Steven Schneider, Ashwin Rajan, Marc Bienstock, M. Night Shyamalan</t>
  </si>
  <si>
    <t>Herd‚àö‚â†s Stef‚àö¬∞nsd‚àö‚â•ttir</t>
  </si>
  <si>
    <t>/jwoaKYVqPgYemFpaANL941EF94R.jpg</t>
  </si>
  <si>
    <t>trap</t>
  </si>
  <si>
    <t>s√£o paulo, s√£o paulo, brazil (1), premiere (1), blank (39), pvod (1), internet (1), dvd,4k uhd,blu-ray (1)</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</si>
  <si>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</si>
  <si>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</si>
  <si>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</si>
  <si>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</si>
  <si>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Family, Comedy, Adventure, Animation, Science Fiction</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</si>
  <si>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</si>
  <si>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</si>
  <si>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</si>
  <si>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</si>
  <si>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</si>
  <si>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</si>
  <si>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</si>
  <si>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the day the earth blew up: a looney tunes movie</t>
  </si>
  <si>
    <t>annecy international animation film festival (1), blank (107), animation is film festival (1), internet (3), los angeles, california (1), palm springs international film festival (1), gold coast, queensland (1), vod (1), blu-ray and dvd (1)</t>
  </si>
  <si>
    <t>Waves</t>
  </si>
  <si>
    <t>tt27587485</t>
  </si>
  <si>
    <t>cs</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</si>
  <si>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</si>
  <si>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</si>
  <si>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A broadcast that will change history.</t>
  </si>
  <si>
    <t>Thriller, Drama, History</t>
  </si>
  <si>
    <t>dawson productions, ∆í√•esk‚àö¬∞ televize, ∆í√•esk‚àöœâ rozhlas, wandal production, barrandov studio, innogy ∆í√•esk‚àö¬∞ republika, rtvs, bontonfilm, dobrovoln‚àöœâ ekologick‚àöœâ spolek - ochrana ptactva, st‚àö¬∞tn‚àö‚â† fond ∆í√•r pro podporu a rozvoj ∆í√ßesk‚àö¬© kinematografie</t>
  </si>
  <si>
    <t>Czech Republic, Slovakia</t>
  </si>
  <si>
    <t>P‚Äî√â‚Äî√Ö‚Äî√Ö‚Äì‚à´‚Äì‚àè‚ÄìœÄ, ∆í√•esk‚àöŒ©, Fran‚àö√üais, English</t>
  </si>
  <si>
    <t>Theo Jacques, Maty‚àö¬∞‚âà¬∞ ‚âà√≤ezn‚àö‚â†∆í√ßek, Tom‚àö¬∞‚âà¬∞ Weber, Stanislav Majer, Daniel T‚âà√òma, Krist‚àöŒ©na M‚àö¬∞dlov‚àö¬∞, Ondrej Stupka, Jan Dvo‚âà√¥‚àö¬∞k, Jan Nedbal, Roman Moty∆í√ßka, Franti‚âà¬∞ek M‚àö¬∞dl, Peter B‚àö‚à´s, Petr Hal‚àö‚â†∆í√ßek, Filip Ka‚âà√†kovsk‚àöŒ©, J‚àö¬∞n Kostelansk‚àöŒ©, Zden∆í√µk Havrdl‚àö‚â†k, Pablo Maldonado, Ond‚âà√¥ej Volejn‚àö‚â†k, Jakub Weiner, Kry‚âà¬∞tof Zapletal, Jevgenij Libez‚âà√†uk, Josef Rajchl, Mary Angiolillo, Michael Rozsypal, Igor Bare‚âà¬∞, Ren‚àö¬© ‚âà‚Ä†motek, Zlatko Teskere, Martin Hofmann, Janusz Hummel, Jan Tepl‚àöŒ©, Ivan R‚âà√ò‚âà√¶i∆í√ßka, Egor Marsadolov, Tom‚àö¬∞‚âà¬∞ Ma‚âà¬∞tal‚àö‚â†r, Marie Anna Kupcov‚àö¬∞, Du‚âà¬∞an Sitek, Anita ∆í√•echvalov‚àö¬∞, Marika ‚âà‚Ä†oposk‚àö¬∞, Tereza Sochorov‚àö¬∞, V∆í√µra Hlav‚àö¬∞∆í√ßkov‚àö¬∞, Antonio ‚âà‚Ä†oposki, Petr Ln∆í√µni∆í√ßka, Ji‚âà√¥‚àö‚â† ‚âà‚Ä†est‚àö¬∞k, Ivana Stejskalov‚àö¬∞, Nat‚àö¬∞lie Golovchenko, Hana Kusnjerov‚àö¬∞, Jakub Slach, Dmtirii Turbanov, Petr Buchta, Ida Mr‚àö¬∞zov‚àö¬∞, Vojt∆í√µch Kotek, Michaela Majern‚àö‚â†kov‚àö¬∞, Vlastimil Kristl, Jan Novotn‚àöŒ©, Tatiana Pauhofov‚àö¬∞, Aur‚àö¬©lia Krisl, Roman Michna, Petr Fischer, Hedvika ∆í√•erm‚àö¬∞kov‚àö¬∞, Bohumil Jel‚àö‚â†nek, Jan Vondr‚àö¬∞∆í√ßek, Monika Kristlov‚àö¬∞, Miloslav Kope∆í√ßn‚àöŒ©, Hana Marie Marou‚âà¬∞kov‚àö¬∞, Tom‚àö¬∞‚âà¬∞ Pavelka, Vojt∆í√µch Vodochodsk‚àöŒ©, Jacob Erftemeijer, Richard Fiala, Marek ‚âàŒ©d‚àö¬∞nsk‚àöŒ©, Karel Riebel, Radoslav Kohu‚âà‚Ä¢‚àö¬∞r, Sergej San‚âà√¶a, Ludmila Michalov‚àö¬∞, Giuseppe Picheca, Vitalii Vorkhlik</t>
  </si>
  <si>
    <t>Ji‚âà√¥‚àö‚â† M‚àö¬∞dl</t>
  </si>
  <si>
    <t>Martin ‚âàŒ©iaran</t>
  </si>
  <si>
    <t>Monika Kristlov‚àö¬∞</t>
  </si>
  <si>
    <t>Simon Goff</t>
  </si>
  <si>
    <t>/sXxvWOBdWDJwWXmX4nKgQsWLLKC.jpg</t>
  </si>
  <si>
    <t>waves</t>
  </si>
  <si>
    <t>karlovy vary international film festival (1), blank (5), newport beach film festival (1), mill valley film festival (1), s√£o paulo international film festival (1), cottbus film festival (1), arras film festival (1), international film festival of india (1), limited (1), palm springs international film festival (1), santa barbara film festival (1), cin√©vesture international film festival (1), hong kong international film festival (1), kino na granicy (1), seattle international film festival (1), internet (1), lubuskie film summer (1)</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</si>
  <si>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</si>
  <si>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</si>
  <si>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</si>
  <si>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</si>
  <si>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Drama, Thriller</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</si>
  <si>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</si>
  <si>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</si>
  <si>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</si>
  <si>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</si>
  <si>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</si>
  <si>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</si>
  <si>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Shashwat Sachdev</t>
  </si>
  <si>
    <t>/tRTaE89m8As6G6aqgYjCBmm6MKN.jpg</t>
  </si>
  <si>
    <t>ulajh</t>
  </si>
  <si>
    <t>blank (3), limited (1), internet (1)</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</si>
  <si>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</si>
  <si>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</si>
  <si>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</si>
  <si>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</si>
  <si>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</si>
  <si>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</si>
  <si>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United States of America, Luxembourg</t>
  </si>
  <si>
    <t>Hunter Troy Rothwell, Riana Emma Balla, ‚àö√Öd‚àö¬∞m Zambrzyscki, Ryann Redmond, S‚àö¬∞muel Siffel, Haley Bennett, Harry Szovik, Samuel Tamunotoku Gbobo, Jamie Lee Curtis, Iliasz Shweirif, Paula Andrea Placido, Zs‚àö‚â•fia Buj‚àö¬∞ki, Emma Papp, Lana Elizabeth Hobson-Borcv‚àö¬∞n, Benjamin Byron Davis, Jessica Nigri, Florian Munteanu, Zsuzsanna Roehnelt, Cate Blanchett, De‚àö¬∞k Zsolt, Jeremy Wheeler, Janina Gavankar, Olivier Richters, Sophie Popper, Gina Gershon, Lili‚àö¬∞na Kaizer, Attila Herrmann, Ariana Greenblatt, Kevin Hart, Steven Boyer, Harry M. Ford, Jack Black, Benjamin Hoffman, Bobby Lee, Edgar Ram‚àö‚â†rez</t>
  </si>
  <si>
    <t>Eli Roth</t>
  </si>
  <si>
    <t>Rogier Stoffers</t>
  </si>
  <si>
    <t>Eli Roth, Joe Crombie</t>
  </si>
  <si>
    <t>Strauss Zelnick, Ethan Smith, Louise Rosner-Meyer, Tim Miller, Ari Arad, Emmy Yu, Avi Arad, Paris Kassidokostas-Latsis, Randy Pitchford, Jean-Luc De Fanti, Erik Feig, Terry Dougas, Lucy Kitada</t>
  </si>
  <si>
    <t>Steve Jablonsky</t>
  </si>
  <si>
    <t>/4JGoZu1ZKFpMJTWAP35PCfkMgu8.jpg</t>
  </si>
  <si>
    <t>borderlands</t>
  </si>
  <si>
    <t>los angeles (1), premiere (1), blank (41), vod (1), dvd,4k uhd,blu-ray (1), tv release (1), internet (2)</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</si>
  <si>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</si>
  <si>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</si>
  <si>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</si>
  <si>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</si>
  <si>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Drama, Romance</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</si>
  <si>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</si>
  <si>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</si>
  <si>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Justin Baldoni</t>
  </si>
  <si>
    <t>Barry Peterson</t>
  </si>
  <si>
    <t>Colleen Hoover, Christy Hall</t>
  </si>
  <si>
    <t>Colleen Hoover, Andrew Calof, Alex Saks, Jamey Heath, Blake Lively, Andrea Ajemian, Todd Black, John Logan Pierson, Steve Sarowitz, Christy Hall</t>
  </si>
  <si>
    <t>Rob Simonsen, Duncan Blickenstaff</t>
  </si>
  <si>
    <t>/AjV6jFJ2YFIluYo4GQf13AA1tqu.jpg</t>
  </si>
  <si>
    <t>it ends with us</t>
  </si>
  <si>
    <t>blank (44), limited (1), internet (1)</t>
  </si>
  <si>
    <t>Alien: Romulus</t>
  </si>
  <si>
    <t>tt18412256</t>
  </si>
  <si>
    <t>While scavenging the deep ends of a derelict space station, a group of young space colonizers come face to face with the most terrifying life form in the universe.</t>
  </si>
  <si>
    <t>In space, no one can hear you.</t>
  </si>
  <si>
    <t>Horror, Science Fiction</t>
  </si>
  <si>
    <t>20th century studios, scott free productions, brandywine productions</t>
  </si>
  <si>
    <t>Cailee Spaeny, Trevor Newlin, Annemarie Griggs, Daniel Betts, Spike Fearn, Viktor Orizu, Archie Renaux, David Jonsson, Isabela Merced, Aileen Wu, Soma Simon, Rosie Ede, Bence Okeke, Robert Bobroczkyi</t>
  </si>
  <si>
    <t>Fede ‚àö√Ölvarez</t>
  </si>
  <si>
    <t>Galo Olivares</t>
  </si>
  <si>
    <t>Ronald Shusett, Rodo Sayagues, Fede ‚àö√Ölvarez, Dan O'Bannon</t>
  </si>
  <si>
    <t>Ridley Scott, Walter Hill, Brent O'Connor, Elizabeth Cantillon, Michael A. Pruss, Tom Moran, Fede ‚àö√Ölvarez</t>
  </si>
  <si>
    <t>/2uSWRTtCG336nuBiG8jOTEUKSy8.jpg</t>
  </si>
  <si>
    <t>alien: romulus</t>
  </si>
  <si>
    <t>los angeles (1), premiere (1), blank (52), edinburgh international film festival (1), fan event (1), vod (1), internet (2), dvd,4k uhd,blu-ray (1), vhs (1)</t>
  </si>
  <si>
    <t>Strange Darling</t>
  </si>
  <si>
    <t>tt22375054</t>
  </si>
  <si>
    <t>Nothing is what it seems when a twisted one-night stand spirals into a serial killer‚Äö√Ñ√¥s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</si>
  <si>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</si>
  <si>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</si>
  <si>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</si>
  <si>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</si>
  <si>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</si>
  <si>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</si>
  <si>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Craig Deleon</t>
  </si>
  <si>
    <t>/kWNCRgt3ocv19bYO0sk7TRuZuFY.jpg</t>
  </si>
  <si>
    <t>strange darling</t>
  </si>
  <si>
    <t>fanatastic film fest (1), premiere (1), bucheon international fantastic film festival (1), early access (1), blank (29), limited (3), frightfest (1), fantasy filmfest (1), motelx - lisbon international horror film festival (1), sitges - catalonian international film festival (1), internet (2), 4k ultra hd (1), ramaskrik film festival (1), dvd and blu-ray (1), stockholm international film festival (1), night visions international film festival (1), dvd &amp; blu ray release (1)</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</si>
  <si>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</si>
  <si>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</si>
  <si>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</si>
  <si>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</si>
  <si>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Science Fiction, Horror, Thriller</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</si>
  <si>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</si>
  <si>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</si>
  <si>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</si>
  <si>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Daniel Lindholm</t>
  </si>
  <si>
    <t>April Maguire, Will Honley</t>
  </si>
  <si>
    <t>Avi Lerner, Rob Van Norden, Boaz Davidson, Darina Pavlova, Tanner Mobley, Jeffrey Greenstein, Trevor Short, Les Weldon, Lati Grobman, Yariv Lerner, Jon Berg, Jonathan Yunger</t>
  </si>
  <si>
    <t>Jed Palmer</t>
  </si>
  <si>
    <t>/gBenxR01Uy0Ev9RTIw6dVBPoyQU.jpg</t>
  </si>
  <si>
    <t>subservience</t>
  </si>
  <si>
    <t>blank (19), internet (8), limited (2), dvd release (2), tv premiere (1)</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</si>
  <si>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</si>
  <si>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</si>
  <si>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</si>
  <si>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</si>
  <si>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</si>
  <si>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</si>
  <si>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Japan, United States of America</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</si>
  <si>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</si>
  <si>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</si>
  <si>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</si>
  <si>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</si>
  <si>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</si>
  <si>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</si>
  <si>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</si>
  <si>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ryan's world the movie: titan universe adventure</t>
  </si>
  <si>
    <t>cleveland international film festival (1), blank (1), unknown (1)</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</si>
  <si>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</si>
  <si>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</si>
  <si>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</si>
  <si>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</si>
  <si>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Action, Fantasy, Horror</t>
  </si>
  <si>
    <t>davis films, pressman film, hassell free productions, electric shadow company, 30west, ashland hill media finance, filmnation entertainment, maze pictures, occupant entertainment</t>
  </si>
  <si>
    <t>France, Germany, United Kingdom, United States of America</t>
  </si>
  <si>
    <t>Karel Dobr‚àöŒ©, Lada Bo∆í√ßkov‚àö¬∞, Sebastian Orozco, Josette Simon, Bethany Adams, Danny Huston, Luk‚àö¬∞‚âà¬∞ Duy Anh Tran, Caolan O'Neil-Forde, Vladim‚àö‚â†r Nezdaril, Paul Dean, David Bowles, Bill Skarsg‚àö‚Ä¢rd, Ahmad Alhadi, Jakub Strach, Jordan Haj, Laura Birn, Dukagjin Podrimaj, Baha Chbani, Jordan Bolger, Peter Parker Mensah, Brian Caspe, Samba Goldin, Isabella Wei, Tundy Smith, Seam Turay, Sami Bouajila, Jan Buda‚âà√¥, Daniel Matou‚âà¬∞ek, Monika Kvasni∆í√ßkov‚àö¬∞, Jim High, Andrea Miltner, Emmanuel Iloegbunam, Leona Skleni∆í√ßkov‚àö¬∞, Sin‚àö¬©ad Phelps, Robert James Rich, Daniel Szelezs‚àö¬∞n, Anton‚àö‚â†n Hausknecht, Darija Pavlovi∆í√ßov‚àö¬∞, Be‚àö¬∞ta Golov‚àö¬∞, FKA twigs, David Evropejsk‚àöŒ©, Gregory Gudgeon, Janek Gregor, Solo Uniacke, Paul Maynard</t>
  </si>
  <si>
    <t>Rupert Sanders</t>
  </si>
  <si>
    <t>Steve Annis</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</si>
  <si>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</si>
  <si>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</si>
  <si>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Volker Bertelmann</t>
  </si>
  <si>
    <t>/g8TbOXrNMuqq7AaKqdvqS2oG4ob.jpg</t>
  </si>
  <si>
    <t>the crow</t>
  </si>
  <si>
    <t>blank (42), vod (1), dvd,4k uhd,blu-ray (1), tv release (1), internet (1)</t>
  </si>
  <si>
    <t>Emilia P‚àö¬©rez</t>
  </si>
  <si>
    <t>tt20221436</t>
  </si>
  <si>
    <t>fr</t>
  </si>
  <si>
    <t>Rita, an underrated lawyer working for a large law firm more interested in getting criminals out of jail than bringing them to justice, is hired by the leader of a criminal organization.</t>
  </si>
  <si>
    <t>Passion has a new name.</t>
  </si>
  <si>
    <t>why not productions, path‚àö¬©, france 2 cin‚àö¬©ma, page 114, saint laurent productions, saint laurent, library pictures international, logical content ventures, les films du fleuve, the veterans, vixens, casa kafka pictures, pimienta films</t>
  </si>
  <si>
    <t>Belgium, France, United States of America, Mexico</t>
  </si>
  <si>
    <t>English, Espa‚àö¬±ol</t>
  </si>
  <si>
    <t>Mark Ivanir, Lou Justine Moua N‚àö¬©dellec, Selena Gomez, Lo‚àö√òc Percheron Lazo, Emiliano Hasan, Jonas Paz-Benavides, Lucas Varoclier, Clara Jimenez, Kalvin Winson, Adriana Paz, Katie Valentine, Holly-Rose Clegg, Line Ph‚àö¬©, Xiomara Ahumada Quito, Edgar Ram‚àö‚â†rez, Pablo Martinez, James Gerard, Silvia Herraiz, Ga‚àö¬¥l Murguia-Fur, Alejandra Reyes, Monica Ortiz, Eduardo Lubo, S‚àö¬©bastien Fruit, Chun-Ting Lin, Paul Kai Te, Gabriela Cece‚àö¬±a, Tulika Srivastava, Ana Laura Fortuit, Shuuko Calder‚àö‚â•n, Jarib dit Javier Zagoya Montiel, Tiphanie Ham, Cyrus Khodaveisi, Zelda Rittner, Alonso Venegas-Flores, St‚àö¬©phane Ly-Cuong, Mohammed Ali Ismail, Alejandra D‚àö‚â†az Ambrosi, Yohan Levy, Manuel Sol Mateo, Mickael Lips, Karla Lazo, ‚àö√Öngel Romero, Nathalia Saucedo, Luis Gabriel Gonzalez, Anabel Lopez, Eduardo Aladro, Karla Sof‚àö‚â†a Gasc‚àö‚â•n, Braulio G‚àö‚â•mez Bernal, Micha‚àö¬¥l Charny, Rose Harlean, Daniel Peraldi, Th‚àö¬©o Guarin, Lucile Chriqui, Benjamin D‚àö‚â†az Espinoza, Rosario Zamora, Sarah Gfeller, Tirso Pietriga, Zoe Salda‚àö¬±a, Johanna Rebolledo Marin, Daniel Velasco-Acosta, Agathe Bokja, Marysol Cordourier, Eric Geynes, Magali Brito</t>
  </si>
  <si>
    <t>Jacques Audiard</t>
  </si>
  <si>
    <t>Paul Guilhaume</t>
  </si>
  <si>
    <t>Thomas Bidegain, Jacques Audiard, Nicolas Livecchi, L‚àö¬©a Mysius, Boris Razon</t>
  </si>
  <si>
    <t>Nicol‚àö¬∞s Celis, David Taghioff, Roeg Sutherland, Vincent Maraval, Jacques Audiard, Gary Farkas, Jeremy Levinson, Val‚àö¬©rie Schermann, Pascal Caucheteux, Anthony Vaccarello</t>
  </si>
  <si>
    <t>Cl‚àö¬©ment Ducol, Camille</t>
  </si>
  <si>
    <t>/fko8fTfL6BcAqOUh6BZYUjt4SQP.jpg</t>
  </si>
  <si>
    <t>emilia p‚àö¬©rez</t>
  </si>
  <si>
    <t>cannes film festival (1), brussels international film festival (1), new horizons international film festival (1), blank (31), telluride film festival (1), toronto international film festival (1), san sebastian film festival (1), filmfest hamburg (1), new york film festival (1), rio de janeiro international film festival (1), busan international film festival (1), mill valley film festival (1), vancouver international film festival (1), hamptons international film festival (1), bfi london film festival (1), hawai'i international film festival (1), orcas island film festival (1), woodstock film festival (1), film festival cologne (1), mami mumbai film festival (1), chicago international film festival (1), heartland international film festival (1), newfest lgbt film festival (1), san diego international film festival (1), rome film festival (1), viennale film festival (1), brisbane international film festival (1), limited (3), miami film festival gems (1), adelaide film festival (1), international film festival mannheim-heidelberg (1), leffest - lisboa film festival (1), internet (15), stockholm international film festival (1), camerimage international film festival (1), mar del plata film festival (1), cannes film festival week (1), moma - the contenders (1), international film festival of kerala (1), video on demand (1), palm springs international film festival (1), troms√∏ international film festival (1), academy screening (1), cin√©vesture international film festival (1)</t>
  </si>
  <si>
    <t>The Killer</t>
  </si>
  <si>
    <t>tt1121948</t>
  </si>
  <si>
    <t>Zee is a feared contract killer known as "the Queen of the Dead," but when she refuses to murder a young blind woman, she finds herself hunted both by criminal colleagues and a determined police detective.</t>
  </si>
  <si>
    <t>Some alliances form. Others will crumble.</t>
  </si>
  <si>
    <t>Action, Thriller, Crime</t>
  </si>
  <si>
    <t>universal pictures, atlas entertainment, a better tomorrow films, entertainment one</t>
  </si>
  <si>
    <t>English, Fran‚àö√üais</t>
  </si>
  <si>
    <t>Justin Howell, Christophe Dupuis, Maxime Coulon, Nathalie Emmanuel, Renaud Marc, Gr‚àö¬©gory Montel, Cl‚àö¬©ment Huet, Trevor Morgan, Anis Messabis, Igor Skreblin, Morgane Bujoli, Daren Nop, Nicolas-Kisito Bata, Fr‚àö¬©d‚àö¬©ric Dessains, Olivier Sa, Angeles Woo, Eesha El Hadj, David Clark, Maurice Chan, Micha‚àö¬¥l Erpelding, K‚àö¬©vin Table, Marius Delepaule, Sam Worthington, Diana Silvers, Aur‚àö¬©lia Agel, Guillaume Kerbusch, Kelian Mar‚àö¬©chaux, Cl‚àö¬©mence Schreiber, Monia Moula, J‚àö¬©r‚àö¬©my Margall‚àö¬©, Laurent Coin, Octave Delepaule, Ben Milord, Staiv Gentis, Lauren Coda, Jaz Deol, Lydie Muller, Amad‚àö¬©o Cazzela, Micha‚àö¬¥l Troude, ‚àö√¢ric Cantona, Elie Haddad, Lucas Dollfus, Jamel Blissat, Fabrice Scott, Navathipan Rajakumar, Robert 'Rock' Galotti, Alexandre Yde, Yann Brouet, Ibrahima Keita, Vincent Winterhalter, Etienne Guillou-Kervern, Quentin D'Hainaut, Marvin Berrembou, Bryan Vigier, Thibault Gassmann, Michel Nguyen, Omar Sy, Intissar Kitsa‚àö√òs-Rotsen, Gr‚àö¬©gory Loffredo, Sa‚àö√òd Taghmaoui, Jonathan Bernard, Eric Cullet, Arthur Aspaturian, Ili‚àö¬©s Moujane, Rachid Boula‚àö√òd, Arthur Delapierre, Tch‚àö¬©ky Karyo, Alexandre Lopoka, Gary Cothenet, Ahmed Chouikhi, Hugo Bariller, Vincent Bersoull‚àö¬©, David Nop, Hugo Diego Garcia, Anissa Bakhti</t>
  </si>
  <si>
    <t>John Woo</t>
  </si>
  <si>
    <t>Mauro Fiore</t>
  </si>
  <si>
    <t>Josh Campbell, Matthew Stuecken, Brian Helgeland, John Woo</t>
  </si>
  <si>
    <t>Robin Mulcahy Fisichella, Lori Tilkin, Terence Chang, John Woo, Luc Etienne, Mark Gordon, Alex Gartner, Charles Roven, Matt Jackson</t>
  </si>
  <si>
    <t>Marco Beltrami</t>
  </si>
  <si>
    <t>/6PCnxKZZIVRanWb710pNpYVkCSw.jpg</t>
  </si>
  <si>
    <t>the killer</t>
  </si>
  <si>
    <t>blank (2), internet (8), dvd release (1), re-release (1), jogja-netpac asian film festival (1)</t>
  </si>
  <si>
    <t>yes</t>
  </si>
  <si>
    <t>The Forge</t>
  </si>
  <si>
    <t>tt26731216</t>
  </si>
  <si>
    <t>19 year old Isaiah Wright lives for basketball and video games. A year out of high school, he has no job, no plans, and no idea how to be a man. At odds with his single mother Cynthia, Isaiah is given an ultimatum ‚Äö√Ñ√¨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</si>
  <si>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</si>
  <si>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Drama, Family</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</si>
  <si>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</si>
  <si>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</si>
  <si>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t>
  </si>
  <si>
    <t>Bob Scott</t>
  </si>
  <si>
    <t>Alex Kendrick, Stephen Kendrick</t>
  </si>
  <si>
    <t>Justin Tolley, Shannon Kendrick, Stephen Kendrick, Aaron Burns, Trey Reynolds</t>
  </si>
  <si>
    <t>Zachary Leffew</t>
  </si>
  <si>
    <t>/oranxontIQRmhuyQlkoAwxpeBYz.jpg</t>
  </si>
  <si>
    <t>the forge</t>
  </si>
  <si>
    <t>blank (10), internet (2), dvd premiere (1)</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</si>
  <si>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</si>
  <si>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</si>
  <si>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</si>
  <si>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</si>
  <si>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</si>
  <si>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Canada</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</si>
  <si>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Gagn‚àö¬©, Anthony Italiano, Douglas Pollard</t>
  </si>
  <si>
    <t>Jamie Bailey</t>
  </si>
  <si>
    <t>Walt Disney, Simon Phillips</t>
  </si>
  <si>
    <t>Alexander Gausman, Ken Bressers, Mark Popejoy, Simon Phillips, Andrew Agopsowicz, Jamie Bailey, Paul Whitney</t>
  </si>
  <si>
    <t>Darren Morze</t>
  </si>
  <si>
    <t>/3ovFaFeojLFIl5ClqhtgYMDS8sE.jpg</t>
  </si>
  <si>
    <t>the mouse trap</t>
  </si>
  <si>
    <t>internet (5), blank (7), extended version (1), limited (1), dvd release (1)</t>
  </si>
  <si>
    <t>Afraid</t>
  </si>
  <si>
    <t>tt24577462</t>
  </si>
  <si>
    <t>Curtis Pike and his family are selected to test a new home device: a digital assistant called AIA. AIA observes the family's behaviors and begins to anticipate their needs. And she can ‚Äö√Ñ√¨ and will ‚Äö√Ñ√¨ make sure nothing ‚Äö√Ñ√¨ and no one ‚Äö√Ñ√¨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</si>
  <si>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</si>
  <si>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</si>
  <si>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</si>
  <si>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Chris Weitz</t>
  </si>
  <si>
    <t>Javier Aguirresarobe</t>
  </si>
  <si>
    <t>Britta Rowings, Paul O. Davis, Andrew Miano, Beatriz Sequeira, Dan Balgoyen, Chris Weitz, Jason Blum</t>
  </si>
  <si>
    <t>Alex Weston</t>
  </si>
  <si>
    <t>/gUREuXCnJLVHsvKXDH9fgIcfM6e.jpg</t>
  </si>
  <si>
    <t>afraid</t>
  </si>
  <si>
    <t>blank (20), vod (1), internet (3), blu-ray and dvd (1)</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</si>
  <si>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</si>
  <si>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</si>
  <si>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</si>
  <si>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Crime, Thriller, Action</t>
  </si>
  <si>
    <t>trident films, death row pictures, sumatra films, lionsgate</t>
  </si>
  <si>
    <t>Trevor Van Uden, Scott Eastwood, Trevion Twosifix Pleasant, Alex Michell, Renae Anderson, Blair Vail, Cl‚àö¬©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</si>
  <si>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Ariel Vromen</t>
  </si>
  <si>
    <t>Frankie DeMarco</t>
  </si>
  <si>
    <t>Sascha Penn</t>
  </si>
  <si>
    <t>Andreas Rommel, Ariel Vromen, Maurice Fadida, Adam Kolbrenner, Snoop Dogg, Sascha Penn</t>
  </si>
  <si>
    <t>Gilad Benamram</t>
  </si>
  <si>
    <t>/tPvFmQZM5HMspryyYbrtW02NR0G.jpg</t>
  </si>
  <si>
    <t>harmony gold theatre (1), los angeles (1), premiere (1), limited (2), internet (8), blank (2), vod (1), blu-ray (1), tv release (1)</t>
  </si>
  <si>
    <t>Reagan</t>
  </si>
  <si>
    <t>tt1723808</t>
  </si>
  <si>
    <t>Told through the voice of former KGB agent Viktor Petrovich, whose life becomes inextricably linked with Ronald Reagan's when Reagan first caught the Soviets‚Äö√Ñ√¥ attention as an actor in Hollywood, Reagan overcomes the odds to become the 40th president of the United States.</t>
  </si>
  <si>
    <t>Trust, but Verify</t>
  </si>
  <si>
    <t>History, Drama</t>
  </si>
  <si>
    <t>rawhide pictures, voltage pictures, brookwell-mcnamara entertainment</t>
  </si>
  <si>
    <t>English, P‚Äî√â‚Äî√Ö‚Äî√Ö‚Äì‚à´‚Äì‚àè‚ÄìœÄ</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</si>
  <si>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</si>
  <si>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Sean McNamara</t>
  </si>
  <si>
    <t>Christian Sebaldt</t>
  </si>
  <si>
    <t>Howard Klausner, Paul Kengor</t>
  </si>
  <si>
    <t>Brent Ryan Green, Mark Joseph, Travis Mann</t>
  </si>
  <si>
    <t>John Coda</t>
  </si>
  <si>
    <t>/o21NB4f5fNk1dtrRlyAmA0C0cb3.jpg</t>
  </si>
  <si>
    <t>reagan</t>
  </si>
  <si>
    <t>blank (7), vod (1), blu-ray (1), tv release (1), internet (4)</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</si>
  <si>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</si>
  <si>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</si>
  <si>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</si>
  <si>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</si>
  <si>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</si>
  <si>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M‚àö‚àÇller, Nicola Vella, Marysia S. Peres, Sinclair Mifsud, Heba Alshibani, Stephen Oliver, Mike Parish, Victor Sol‚àö¬©, Steven Stalder, Maxime Durand, Rhona Mitra, Paul Wilk, Emma Cabourdin, Emanuel Tabone, Matthew Marsh, Leeshon Alexander, Giulio Marconi, Eskindir Tesfay, Briffa Neil, Geoffrey Russell, Stephanie Spiteri, Henry Zammit Cordina, Steffi Thake, Mark Meilak, Seydina Bald‚àö¬©, Joey Ansah, Raha Rahbari, Mike Gassaway, Anthony Edridge</t>
  </si>
  <si>
    <t>Isaac Florentine</t>
  </si>
  <si>
    <t>Ericson Core</t>
  </si>
  <si>
    <t>Jean Pierre Magro</t>
  </si>
  <si>
    <t>Vladimir Chistiakov, Daniel Couts, Pedja Miletic, Andre Relis, Vadim Fortunin, Aaron Briffa, Alexey Meets, Frank Grillo, Jean Pierre Magro, Alla Belaya</t>
  </si>
  <si>
    <t>Vlad Vilnyy, Nick Ostwind, Evgenii Wick</t>
  </si>
  <si>
    <t>/tLdUPi2h6LGmF5foza0a5PXtQRr.jpg</t>
  </si>
  <si>
    <t>hounds of war</t>
  </si>
  <si>
    <t>blank (4), internet (9), blu-ray &amp; dvd premiere (1), tv release (1)</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</si>
  <si>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</si>
  <si>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</si>
  <si>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</si>
  <si>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</si>
  <si>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Fantasy, Horror, Action</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</si>
  <si>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</si>
  <si>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</si>
  <si>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</si>
  <si>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</si>
  <si>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Ivan Vatsov</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</si>
  <si>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</si>
  <si>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</si>
  <si>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</si>
  <si>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</si>
  <si>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hellboy: the crooked man</t>
  </si>
  <si>
    <t>blank (26), internet (4), tv premiere (1), video premiere (1)</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</si>
  <si>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</si>
  <si>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</si>
  <si>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</si>
  <si>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</si>
  <si>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Comedy, Fantasy, Horror</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</si>
  <si>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</si>
  <si>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</si>
  <si>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Tim Burton</t>
  </si>
  <si>
    <t>Haris Zambarloukos</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</si>
  <si>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</si>
  <si>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</si>
  <si>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Danny Elfman</t>
  </si>
  <si>
    <t>/kKgQzkUCnQmeTPkyIwHly2t6ZFI.jpg</t>
  </si>
  <si>
    <t>beetlejuice beetlejuice</t>
  </si>
  <si>
    <t>venice film festival (1), blank (59), early access (1), spain (1), premiere (1), pvod (1), blu-ray, dvd,4k uhd (1), moma - the contenders (1), internet (1), tv release (1)</t>
  </si>
  <si>
    <t>The Front Room</t>
  </si>
  <si>
    <t>tt21905744</t>
  </si>
  <si>
    <t>Everything goes to hell for newly-pregnant Belinda after her mother-in-law moves in. As the diabolical guest tries to get her claws on the child, Belinda must draw the line somewhere.</t>
  </si>
  <si>
    <t>All hell moves in.</t>
  </si>
  <si>
    <t>Horror</t>
  </si>
  <si>
    <t>a24, 2am, two &amp; two pictures</t>
  </si>
  <si>
    <t>United Kingdom, United States of America</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</si>
  <si>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</si>
  <si>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</si>
  <si>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</si>
  <si>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</si>
  <si>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</si>
  <si>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Marcelo Zarvos</t>
  </si>
  <si>
    <t>/zjkU6mZH9dMbQK2B622MlsRT8uw.jpg</t>
  </si>
  <si>
    <t>the front room</t>
  </si>
  <si>
    <t>blank (5), internet (1)</t>
  </si>
  <si>
    <t>The Greatest of All Time</t>
  </si>
  <si>
    <t>tt27487934</t>
  </si>
  <si>
    <t>‚Ä°√Ü¬ß ‚Ä°√Ü√Ø‚Ä°√Ü√∏‚Ä°√Ü‚àû‚Ä°√ò√°‚Ä°√Ü√º‚Ä°√ò√ß‚Ä°√Ü√º‚Ä°√Ü‚àè‚Ä°√ò√ß‚Ä°√Ü√º‚Ä°√ò√ß ‚Ä°√Ü√ú‚Ä°√Ü√â‚Ä°√Ü‚Ñ¢‚Ä°√ò√ß ‚Ä°√Ü√ú‚Ä°√Ü‚â§‚Ä°√ò√ß ‚Ä°√Ü√º‚Ä°√ò√†‚Ä°√Ü√Ü‚Ä°√ò√ß</t>
  </si>
  <si>
    <t>A once decorated member of the Special Anti-Terrorism Squad (SATS) is called back into action by his former colleagues for an important mission, setting him on a dangerous collision course with his own past.</t>
  </si>
  <si>
    <t>A Venkat Prabhu Hero</t>
  </si>
  <si>
    <t>ags entertainment</t>
  </si>
  <si>
    <t>P‚Äî√â‚Äî√Ö‚Äî√Ö‚Äì‚à´‚Äì‚àè‚ÄìœÄ, ‚Ä°√Ü¬ß‚Ä°√Ü√Ü‚Ä°√Ü√∏‚Ä°√Ü¬•‚Ä°√ò√ß, ‚Ä°‚àè‚Ä†‚Ä°‚àè‚â§‚Ä°‚àè¬©‚Ä°‚àè‚â§‚Ä°œÄ√ë‚Ä°‚àè√≥‚Ä°‚àè¬¢</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</si>
  <si>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</si>
  <si>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Venkat Prabhu</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</si>
  <si>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</si>
  <si>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</si>
  <si>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</si>
  <si>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Yuvan Shankar Raja</t>
  </si>
  <si>
    <t>/kk9SmNt6QcP5thvSYELWvO0NWuC.jpg</t>
  </si>
  <si>
    <t>the greatest of all time</t>
  </si>
  <si>
    <t>blank (10), internet (2)</t>
  </si>
  <si>
    <t>The Substance</t>
  </si>
  <si>
    <t>tt17526714</t>
  </si>
  <si>
    <t>A fading celebrity decides to use a black market drug, a cell-replicating substance that temporarily creates a younger, better version of herself.</t>
  </si>
  <si>
    <t>Have you ever dreamt of a better version of yourself?</t>
  </si>
  <si>
    <t>Drama, Horror, Science Fiction</t>
  </si>
  <si>
    <t>working title films, blacksmith, working title films</t>
  </si>
  <si>
    <t>France, United Kingdom, United States of America</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</si>
  <si>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Bittnerov‚àö¬∞,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Aur‚àö¬©lien Lorgnier, Rebecca Lafont, Marie Valton, Shane Sweet, K‚àö¬©vin Table, Oscar Salem, Nancy Josephson Lahoussine, Philip Schurer, Kate Matthews, L‚àö¬©a Hengl, Christian Erickson, Amelye Solange, Manon Sachot, Hillary Sukhonos, Barthelemy Thomas, Gregory Defleur, Demi Moore, Edward Hamilton-Clark, C‚àö¬©cile Vogt, Nicolas Royer, Ashley Lambert, Oscar Lesage, Tiffany Hofstetter, Christian Bourmier, Maelle Dantigny, Didier Dhondt, Jonathon Carley, Cissy Duc, Akil Wingate, Yannick Gu‚àö¬©rin, Chase Fein, Coralie Fargeat, Stephen Apostolina, Jiselle Henderkott, Viviane Bossina, Yann Bean, Adam Carage, Charlotte Murray, Ga‚àö¬¥lle Raymond, Audjyan Alcide, Katharine Matthews, Andrew Desmond, Jean-Luc Magneron, Kelly Hoarau, Margaret Qualley, Matthew G‚àö¬©czy, Pauline Sagetat, Aleksandra Kedzierska Fontaine, Eve Marchant, Gabriela Arnon, Megane Adamik, Louise Greggory, Benoit L‚àö¬©v‚àö‚Ñ¢que, Olivier Raynal, Brett Gillen, Paul Descoings, Ryan Chidester, Ranjani Brow, Alexandra Faget, Charlotte Marquardt, Jacques-Yves Dorges, Jonathan Jenvrin, Laura Boera, Cl‚àö¬©mence Juville, Axel Baille, William Calvert, Oph‚àö¬©lie Jonard, Aaron Kahn, Margot L'Entete, Namory Bakayoko, Nathan Rippy, Michael Corbett, Arthur Molinet, Christophe Sartirano</t>
  </si>
  <si>
    <t>Coralie Fargeat</t>
  </si>
  <si>
    <t>Benjamin Kra∆í√ßun</t>
  </si>
  <si>
    <t>Eric Fellner, Coralie Fargeat, Alexandra Loewy, Nicolas Royer, Tim Bevan, Erik Baiers</t>
  </si>
  <si>
    <t>Raffertie</t>
  </si>
  <si>
    <t>/lqoMzCcZYEFK729d6qzt349fB4o.jpg</t>
  </si>
  <si>
    <t>the substance</t>
  </si>
  <si>
    <t>cannes film festival (1), sydney international film festival (1), mediterrane film festival (1), karlovy vary international film festival (1), filmfest m√ºnchen (1), slaughter horror film festival (1), new horizons international film festival (1), way out west (1), new zealand international film festival (1), opening film (1), summer international film festival (1), norwegian international film festival haugesund (1), edinburgh international film festival (1), frightfest (1), fantasy filmfest (1), toronto international film festival (1), motelx - lisbon international horror film festival (1), cinefest sudbury international film festival (1), limited (3), premiere (2), blank (46), early access (1), antalya golden orange film festival (1), spain (1), grand lyon film festival (1), mumbai film festival (1), trieste science+fiction festival (1), internet (2), digital (1), dubbed version (1), international film festival of kerala (1), re-release (1), dvd,4k uhd,blu-ray (1), utopiales, festival international de science fiction de nantes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</si>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</sst>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8A6BFE-9F71-814B-B00C-43E05A9B4B01}" name="Table1" displayName="Table1" ref="A1:AQ45" totalsRowCount="1">
  <autoFilter ref="A1:AQ44" xr:uid="{518A6BFE-9F71-814B-B00C-43E05A9B4B01}">
    <filterColumn colId="41">
      <filters>
        <filter val="no"/>
      </filters>
    </filterColumn>
  </autoFilter>
  <tableColumns count="43">
    <tableColumn id="1" xr3:uid="{1EEA722B-B2A0-A146-8527-157FA0F750C0}" name="id" totalsRowLabel="Total"/>
    <tableColumn id="2" xr3:uid="{B0774452-0F26-B142-AA48-8E36D037068D}" name="title"/>
    <tableColumn id="3" xr3:uid="{BF2C7FCC-71EB-FE45-A0C8-191536033142}" name="vote_average"/>
    <tableColumn id="4" xr3:uid="{DB2AF39B-7C12-254A-BF05-26F6FF1DBF50}" name="vote_count"/>
    <tableColumn id="5" xr3:uid="{EABEDB3C-E4FF-A34A-97E6-FDE00B0F1CCE}" name="status"/>
    <tableColumn id="6" xr3:uid="{4D4BD629-C67F-4347-B1A5-D2A36D14F598}" name="release_date" dataDxfId="0"/>
    <tableColumn id="7" xr3:uid="{23519DC8-2F31-424D-8543-2AEEDC8B28B1}" name="revenue"/>
    <tableColumn id="8" xr3:uid="{2D50DDFD-0EBA-6D48-8A66-C6B5F98E8D73}" name="runtime"/>
    <tableColumn id="9" xr3:uid="{DF84D7AC-EA79-BB4A-86B8-EB29B1350231}" name="budget"/>
    <tableColumn id="10" xr3:uid="{E33CEFB1-0005-AE42-A709-EACECFF8E7CA}" name="imdb_id"/>
    <tableColumn id="11" xr3:uid="{0D49A861-4B06-DF45-B637-F0217690463C}" name="original_language"/>
    <tableColumn id="12" xr3:uid="{6A6447D0-7A69-0441-967E-E5A2B5D16D3E}" name="original_title"/>
    <tableColumn id="13" xr3:uid="{C316F5F4-FDB8-B043-A041-95CFA0F3087A}" name="overview"/>
    <tableColumn id="14" xr3:uid="{DCBA6DA7-D73F-C140-9589-95C0B86723E3}" name="popularity"/>
    <tableColumn id="15" xr3:uid="{147BAD69-5956-5344-89B8-4FF75AC7C200}" name="tagline"/>
    <tableColumn id="16" xr3:uid="{80158E7D-513C-A048-829E-3C89A0A4E3CE}" name="genres"/>
    <tableColumn id="17" xr3:uid="{63787BA7-B21A-9D47-968C-A2D96F967CA9}" name="production_companies"/>
    <tableColumn id="18" xr3:uid="{74B54CD5-2D83-464A-9CBA-8352FA2431E3}" name="production_countries"/>
    <tableColumn id="19" xr3:uid="{ECE9C33A-F172-A14D-93CE-45ADB4DCB3A7}" name="spoken_languages"/>
    <tableColumn id="20" xr3:uid="{D1AE4C71-4ADB-0147-9CE7-6AA6FAD9BCD4}" name="cast"/>
    <tableColumn id="21" xr3:uid="{6681CD1C-1BE4-AC48-A1BE-0613C4F0E333}" name="director"/>
    <tableColumn id="22" xr3:uid="{161FBE8A-D7BB-EE43-86D9-DC226F2346DA}" name="director_of_photography"/>
    <tableColumn id="23" xr3:uid="{F5EAE895-D871-2A4B-B077-210F70334BC3}" name="writers"/>
    <tableColumn id="24" xr3:uid="{F9E0B46F-215B-7249-88FB-C449E699152F}" name="producers"/>
    <tableColumn id="25" xr3:uid="{0E5C9E16-AADC-2244-9596-6C74C52EF416}" name="music_composer"/>
    <tableColumn id="26" xr3:uid="{AB06B605-0AD2-9442-8B05-FAB0260AE5FB}" name="imdb_rating"/>
    <tableColumn id="27" xr3:uid="{D85CEEBF-6F47-074E-9BCC-28B7F6E0485B}" name="imdb_votes"/>
    <tableColumn id="28" xr3:uid="{0DA2E3BE-2EF2-E447-8227-220C457440C5}" name="poster_path"/>
    <tableColumn id="29" xr3:uid="{45BAF47D-AD16-9543-B1A9-0EDB1610A67D}" name="release_month"/>
    <tableColumn id="30" xr3:uid="{839A572D-9569-3145-A6C9-59F4B49A438A}" name="release_year"/>
    <tableColumn id="31" xr3:uid="{A5029A6A-F236-A249-9894-670692F86690}" name="iso_week"/>
    <tableColumn id="32" xr3:uid="{BFE5AA94-F844-4744-BB8F-65B2FE8F180D}" name="title_clean"/>
    <tableColumn id="33" xr3:uid="{15D16B4D-64D9-7444-A024-F8B066F40CE0}" name="distance"/>
    <tableColumn id="34" xr3:uid="{8497CDD4-5BD8-D040-AFC0-28E280EC7D50}" name="strength"/>
    <tableColumn id="35" xr3:uid="{3460E1B2-9313-2248-975E-3C2A78ECC4A3}" name="score" totalsRowFunction="sum"/>
    <tableColumn id="36" xr3:uid="{FA3E5B1A-1061-CC4A-82D0-D4382E0BA67E}" name="marvel_movie"/>
    <tableColumn id="37" xr3:uid="{99FE5EC8-29BC-9E4E-9716-B5115C608EF1}" name="attributes"/>
    <tableColumn id="38" xr3:uid="{96075AEB-5A14-9E4F-B0FE-530724152F4E}" name="blank"/>
    <tableColumn id="39" xr3:uid="{868DE14F-2F89-0943-B61D-DF3BC629C066}" name="internet"/>
    <tableColumn id="40" xr3:uid="{58801A54-D34D-224A-957B-6DE6E1B14F80}" name="total"/>
    <tableColumn id="41" xr3:uid="{BF48C26D-9E97-FB4C-91CA-7067489B3BCC}" name="internet_ratio"/>
    <tableColumn id="42" xr3:uid="{415E2697-5F96-C947-85C2-EE33DEC8B391}" name="internet_dominance"/>
    <tableColumn id="43" xr3:uid="{40BA41B0-DAED-B24E-B954-3AFA9EBC8CDB}"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5DE8-C24A-064C-A147-71402B3ABF69}">
  <dimension ref="A1:AQ45"/>
  <sheetViews>
    <sheetView tabSelected="1" topLeftCell="Z7" workbookViewId="0">
      <selection activeCell="AI45" sqref="AI45"/>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1022789</v>
      </c>
      <c r="B2" t="s">
        <v>43</v>
      </c>
      <c r="C2">
        <v>7.6</v>
      </c>
      <c r="D2">
        <v>6220</v>
      </c>
      <c r="E2" t="s">
        <v>44</v>
      </c>
      <c r="F2" s="1">
        <v>45454</v>
      </c>
      <c r="G2">
        <v>1698863816</v>
      </c>
      <c r="H2">
        <v>97</v>
      </c>
      <c r="I2">
        <v>200000000</v>
      </c>
      <c r="J2" t="s">
        <v>45</v>
      </c>
      <c r="K2" t="s">
        <v>46</v>
      </c>
      <c r="L2" t="s">
        <v>43</v>
      </c>
      <c r="M2" t="s">
        <v>47</v>
      </c>
      <c r="N2">
        <v>26.91</v>
      </c>
      <c r="O2" t="s">
        <v>48</v>
      </c>
      <c r="P2" t="s">
        <v>49</v>
      </c>
      <c r="Q2" t="s">
        <v>50</v>
      </c>
      <c r="R2" t="s">
        <v>51</v>
      </c>
      <c r="S2" t="s">
        <v>52</v>
      </c>
      <c r="T2" t="s">
        <v>53</v>
      </c>
      <c r="U2" t="s">
        <v>54</v>
      </c>
      <c r="V2" t="s">
        <v>55</v>
      </c>
      <c r="W2" t="s">
        <v>56</v>
      </c>
      <c r="X2" t="s">
        <v>57</v>
      </c>
      <c r="Y2" t="s">
        <v>58</v>
      </c>
      <c r="Z2">
        <v>7.5</v>
      </c>
      <c r="AA2">
        <v>235294</v>
      </c>
      <c r="AB2" t="s">
        <v>59</v>
      </c>
      <c r="AC2">
        <v>6</v>
      </c>
      <c r="AD2">
        <v>2024</v>
      </c>
      <c r="AE2">
        <v>24</v>
      </c>
      <c r="AF2" t="s">
        <v>60</v>
      </c>
      <c r="AG2">
        <v>-43</v>
      </c>
      <c r="AH2">
        <v>21.2532255216267</v>
      </c>
      <c r="AI2">
        <v>0.48302785276424298</v>
      </c>
      <c r="AJ2" t="s">
        <v>61</v>
      </c>
      <c r="AK2" t="s">
        <v>62</v>
      </c>
      <c r="AL2">
        <v>67</v>
      </c>
      <c r="AM2">
        <v>2</v>
      </c>
      <c r="AN2">
        <v>77</v>
      </c>
      <c r="AO2">
        <v>0.03</v>
      </c>
      <c r="AP2" t="s">
        <v>63</v>
      </c>
      <c r="AQ2" t="s">
        <v>63</v>
      </c>
    </row>
    <row r="3" spans="1:43" x14ac:dyDescent="0.2">
      <c r="A3">
        <v>1220515</v>
      </c>
      <c r="B3" t="s">
        <v>64</v>
      </c>
      <c r="C3">
        <v>6.6</v>
      </c>
      <c r="D3">
        <v>40</v>
      </c>
      <c r="E3" t="s">
        <v>44</v>
      </c>
      <c r="F3" s="1">
        <v>45456</v>
      </c>
      <c r="G3">
        <v>583631</v>
      </c>
      <c r="H3">
        <v>111</v>
      </c>
      <c r="I3">
        <v>2000000</v>
      </c>
      <c r="J3" t="s">
        <v>65</v>
      </c>
      <c r="K3" t="s">
        <v>46</v>
      </c>
      <c r="L3" t="s">
        <v>64</v>
      </c>
      <c r="M3" t="s">
        <v>66</v>
      </c>
      <c r="N3">
        <v>1.6888000000000001</v>
      </c>
      <c r="O3" t="s">
        <v>67</v>
      </c>
      <c r="P3" t="s">
        <v>68</v>
      </c>
      <c r="Q3" t="s">
        <v>69</v>
      </c>
      <c r="R3" t="s">
        <v>70</v>
      </c>
      <c r="S3" t="s">
        <v>71</v>
      </c>
      <c r="T3" t="s">
        <v>72</v>
      </c>
      <c r="U3" t="s">
        <v>73</v>
      </c>
      <c r="V3" t="s">
        <v>74</v>
      </c>
      <c r="W3" t="s">
        <v>75</v>
      </c>
      <c r="X3" t="s">
        <v>76</v>
      </c>
      <c r="Y3" t="s">
        <v>77</v>
      </c>
      <c r="Z3">
        <v>6.3</v>
      </c>
      <c r="AA3">
        <v>2391</v>
      </c>
      <c r="AB3" t="s">
        <v>78</v>
      </c>
      <c r="AC3">
        <v>6</v>
      </c>
      <c r="AD3">
        <v>2024</v>
      </c>
      <c r="AE3">
        <v>24</v>
      </c>
      <c r="AF3" t="s">
        <v>79</v>
      </c>
      <c r="AG3">
        <v>-41</v>
      </c>
      <c r="AH3">
        <v>13.277025926204301</v>
      </c>
      <c r="AI3">
        <v>0.31611966490962601</v>
      </c>
      <c r="AJ3" t="s">
        <v>61</v>
      </c>
      <c r="AK3" t="s">
        <v>80</v>
      </c>
      <c r="AL3">
        <v>11</v>
      </c>
      <c r="AM3">
        <v>0</v>
      </c>
      <c r="AN3">
        <v>19</v>
      </c>
      <c r="AO3">
        <v>0</v>
      </c>
      <c r="AP3" t="s">
        <v>63</v>
      </c>
      <c r="AQ3" t="s">
        <v>63</v>
      </c>
    </row>
    <row r="4" spans="1:43" x14ac:dyDescent="0.2">
      <c r="A4">
        <v>1008409</v>
      </c>
      <c r="B4" t="s">
        <v>81</v>
      </c>
      <c r="C4">
        <v>6.7</v>
      </c>
      <c r="D4">
        <v>1000</v>
      </c>
      <c r="E4" t="s">
        <v>44</v>
      </c>
      <c r="F4" s="1">
        <v>45462</v>
      </c>
      <c r="G4">
        <v>36110860</v>
      </c>
      <c r="H4">
        <v>116</v>
      </c>
      <c r="I4">
        <v>40000000</v>
      </c>
      <c r="J4" t="s">
        <v>82</v>
      </c>
      <c r="K4" t="s">
        <v>46</v>
      </c>
      <c r="L4" t="s">
        <v>81</v>
      </c>
      <c r="M4" t="s">
        <v>83</v>
      </c>
      <c r="N4">
        <v>4.5867000000000004</v>
      </c>
      <c r="O4" t="s">
        <v>84</v>
      </c>
      <c r="P4" t="s">
        <v>85</v>
      </c>
      <c r="Q4" t="s">
        <v>86</v>
      </c>
      <c r="R4" t="s">
        <v>51</v>
      </c>
      <c r="S4" t="s">
        <v>52</v>
      </c>
      <c r="T4" t="s">
        <v>87</v>
      </c>
      <c r="U4" t="s">
        <v>88</v>
      </c>
      <c r="V4" t="s">
        <v>89</v>
      </c>
      <c r="W4" t="s">
        <v>90</v>
      </c>
      <c r="X4" t="s">
        <v>91</v>
      </c>
      <c r="Y4" t="s">
        <v>92</v>
      </c>
      <c r="Z4">
        <v>6.6</v>
      </c>
      <c r="AA4">
        <v>73903</v>
      </c>
      <c r="AB4" t="s">
        <v>93</v>
      </c>
      <c r="AC4">
        <v>6</v>
      </c>
      <c r="AD4">
        <v>2024</v>
      </c>
      <c r="AE4">
        <v>25</v>
      </c>
      <c r="AF4" t="s">
        <v>94</v>
      </c>
      <c r="AG4">
        <v>-35</v>
      </c>
      <c r="AH4">
        <v>17.402104236779898</v>
      </c>
      <c r="AI4">
        <v>0.48339178435499802</v>
      </c>
      <c r="AJ4" t="s">
        <v>61</v>
      </c>
      <c r="AK4" t="s">
        <v>95</v>
      </c>
      <c r="AL4">
        <v>38</v>
      </c>
      <c r="AM4">
        <v>1</v>
      </c>
      <c r="AN4">
        <v>57</v>
      </c>
      <c r="AO4">
        <v>0.02</v>
      </c>
      <c r="AP4" t="s">
        <v>63</v>
      </c>
      <c r="AQ4" t="s">
        <v>63</v>
      </c>
    </row>
    <row r="5" spans="1:43" x14ac:dyDescent="0.2">
      <c r="A5">
        <v>519182</v>
      </c>
      <c r="B5" t="s">
        <v>96</v>
      </c>
      <c r="C5">
        <v>7</v>
      </c>
      <c r="D5">
        <v>2958</v>
      </c>
      <c r="E5" t="s">
        <v>44</v>
      </c>
      <c r="F5" s="1">
        <v>45463</v>
      </c>
      <c r="G5">
        <v>969597394</v>
      </c>
      <c r="H5">
        <v>94</v>
      </c>
      <c r="I5">
        <v>100000000</v>
      </c>
      <c r="J5" t="s">
        <v>97</v>
      </c>
      <c r="K5" t="s">
        <v>46</v>
      </c>
      <c r="L5" t="s">
        <v>96</v>
      </c>
      <c r="M5" t="s">
        <v>98</v>
      </c>
      <c r="N5">
        <v>27.934000000000001</v>
      </c>
      <c r="O5" t="s">
        <v>99</v>
      </c>
      <c r="P5" t="s">
        <v>100</v>
      </c>
      <c r="Q5" t="s">
        <v>101</v>
      </c>
      <c r="R5" t="s">
        <v>51</v>
      </c>
      <c r="S5" t="s">
        <v>52</v>
      </c>
      <c r="T5" t="s">
        <v>102</v>
      </c>
      <c r="U5" t="s">
        <v>103</v>
      </c>
      <c r="W5" t="s">
        <v>104</v>
      </c>
      <c r="X5" t="s">
        <v>105</v>
      </c>
      <c r="Y5" t="s">
        <v>106</v>
      </c>
      <c r="Z5">
        <v>6.2</v>
      </c>
      <c r="AA5">
        <v>73014</v>
      </c>
      <c r="AB5" t="s">
        <v>107</v>
      </c>
      <c r="AC5">
        <v>6</v>
      </c>
      <c r="AD5">
        <v>2024</v>
      </c>
      <c r="AE5">
        <v>25</v>
      </c>
      <c r="AF5" t="s">
        <v>108</v>
      </c>
      <c r="AG5">
        <v>-34</v>
      </c>
      <c r="AH5">
        <v>20.692391486600801</v>
      </c>
      <c r="AI5">
        <v>0.59121118533145101</v>
      </c>
      <c r="AJ5" t="s">
        <v>61</v>
      </c>
      <c r="AK5" t="s">
        <v>109</v>
      </c>
      <c r="AL5">
        <v>54</v>
      </c>
      <c r="AM5">
        <v>1</v>
      </c>
      <c r="AN5">
        <v>60</v>
      </c>
      <c r="AO5">
        <v>0.02</v>
      </c>
      <c r="AP5" t="s">
        <v>63</v>
      </c>
      <c r="AQ5" t="s">
        <v>63</v>
      </c>
    </row>
    <row r="6" spans="1:43" x14ac:dyDescent="0.2">
      <c r="A6">
        <v>1051891</v>
      </c>
      <c r="B6" t="s">
        <v>110</v>
      </c>
      <c r="C6">
        <v>6.9</v>
      </c>
      <c r="D6">
        <v>327</v>
      </c>
      <c r="E6" t="s">
        <v>44</v>
      </c>
      <c r="F6" s="1">
        <v>45464</v>
      </c>
      <c r="G6">
        <v>12537071</v>
      </c>
      <c r="H6">
        <v>98</v>
      </c>
      <c r="I6">
        <v>5000000</v>
      </c>
      <c r="J6" t="s">
        <v>111</v>
      </c>
      <c r="K6" t="s">
        <v>46</v>
      </c>
      <c r="L6" t="s">
        <v>110</v>
      </c>
      <c r="M6" t="s">
        <v>112</v>
      </c>
      <c r="N6">
        <v>5.2812000000000001</v>
      </c>
      <c r="O6" t="s">
        <v>113</v>
      </c>
      <c r="P6" t="s">
        <v>114</v>
      </c>
      <c r="Q6" t="s">
        <v>115</v>
      </c>
      <c r="R6" t="s">
        <v>116</v>
      </c>
      <c r="S6" t="s">
        <v>52</v>
      </c>
      <c r="T6" t="s">
        <v>117</v>
      </c>
      <c r="U6" t="s">
        <v>118</v>
      </c>
      <c r="V6" t="s">
        <v>119</v>
      </c>
      <c r="W6" t="s">
        <v>118</v>
      </c>
      <c r="X6" t="s">
        <v>120</v>
      </c>
      <c r="Y6" t="s">
        <v>121</v>
      </c>
      <c r="Z6">
        <v>7</v>
      </c>
      <c r="AA6">
        <v>26281</v>
      </c>
      <c r="AB6" t="s">
        <v>122</v>
      </c>
      <c r="AC6">
        <v>6</v>
      </c>
      <c r="AD6">
        <v>2024</v>
      </c>
      <c r="AE6">
        <v>25</v>
      </c>
      <c r="AF6" t="s">
        <v>123</v>
      </c>
      <c r="AG6">
        <v>-33</v>
      </c>
      <c r="AH6">
        <v>16.344200573082301</v>
      </c>
      <c r="AI6">
        <v>0.480711781561246</v>
      </c>
      <c r="AJ6" t="s">
        <v>61</v>
      </c>
      <c r="AK6" t="s">
        <v>124</v>
      </c>
      <c r="AL6">
        <v>11</v>
      </c>
      <c r="AM6">
        <v>1</v>
      </c>
      <c r="AN6">
        <v>36</v>
      </c>
      <c r="AO6">
        <v>0.03</v>
      </c>
      <c r="AP6" t="s">
        <v>63</v>
      </c>
      <c r="AQ6" t="s">
        <v>63</v>
      </c>
    </row>
    <row r="7" spans="1:43" x14ac:dyDescent="0.2">
      <c r="A7">
        <v>762441</v>
      </c>
      <c r="B7" t="s">
        <v>125</v>
      </c>
      <c r="C7">
        <v>6.7</v>
      </c>
      <c r="D7">
        <v>3014</v>
      </c>
      <c r="E7" t="s">
        <v>44</v>
      </c>
      <c r="F7" s="1">
        <v>45469</v>
      </c>
      <c r="G7">
        <v>261907653</v>
      </c>
      <c r="H7">
        <v>100</v>
      </c>
      <c r="I7">
        <v>67000000</v>
      </c>
      <c r="J7" t="s">
        <v>126</v>
      </c>
      <c r="K7" t="s">
        <v>46</v>
      </c>
      <c r="L7" t="s">
        <v>125</v>
      </c>
      <c r="M7" t="s">
        <v>127</v>
      </c>
      <c r="N7">
        <v>8.6603999999999992</v>
      </c>
      <c r="O7" t="s">
        <v>128</v>
      </c>
      <c r="P7" t="s">
        <v>129</v>
      </c>
      <c r="Q7" t="s">
        <v>130</v>
      </c>
      <c r="R7" t="s">
        <v>51</v>
      </c>
      <c r="S7" t="s">
        <v>52</v>
      </c>
      <c r="T7" t="s">
        <v>131</v>
      </c>
      <c r="U7" t="s">
        <v>132</v>
      </c>
      <c r="V7" t="s">
        <v>133</v>
      </c>
      <c r="W7" t="s">
        <v>134</v>
      </c>
      <c r="X7" t="s">
        <v>135</v>
      </c>
      <c r="Y7" t="s">
        <v>136</v>
      </c>
      <c r="Z7">
        <v>6.3</v>
      </c>
      <c r="AA7">
        <v>164112</v>
      </c>
      <c r="AB7" t="s">
        <v>137</v>
      </c>
      <c r="AC7">
        <v>6</v>
      </c>
      <c r="AD7">
        <v>2024</v>
      </c>
      <c r="AE7">
        <v>26</v>
      </c>
      <c r="AF7" t="s">
        <v>138</v>
      </c>
      <c r="AG7">
        <v>-28</v>
      </c>
      <c r="AH7">
        <v>19.383502533945901</v>
      </c>
      <c r="AI7">
        <v>0.66839663910158198</v>
      </c>
      <c r="AJ7" t="s">
        <v>61</v>
      </c>
      <c r="AK7" t="s">
        <v>139</v>
      </c>
      <c r="AL7">
        <v>50</v>
      </c>
      <c r="AM7">
        <v>1</v>
      </c>
      <c r="AN7">
        <v>58</v>
      </c>
      <c r="AO7">
        <v>0.02</v>
      </c>
      <c r="AP7" t="s">
        <v>63</v>
      </c>
      <c r="AQ7" t="s">
        <v>63</v>
      </c>
    </row>
    <row r="8" spans="1:43" x14ac:dyDescent="0.2">
      <c r="A8">
        <v>801688</v>
      </c>
      <c r="B8" t="s">
        <v>140</v>
      </c>
      <c r="C8">
        <v>6.5</v>
      </c>
      <c r="D8">
        <v>145</v>
      </c>
      <c r="E8" t="s">
        <v>44</v>
      </c>
      <c r="F8" s="1">
        <v>45469</v>
      </c>
      <c r="G8">
        <v>141000000</v>
      </c>
      <c r="H8">
        <v>176</v>
      </c>
      <c r="I8">
        <v>75000000</v>
      </c>
      <c r="J8" t="s">
        <v>141</v>
      </c>
      <c r="K8" t="s">
        <v>142</v>
      </c>
      <c r="L8" t="s">
        <v>143</v>
      </c>
      <c r="M8" t="s">
        <v>144</v>
      </c>
      <c r="N8">
        <v>9.1851000000000003</v>
      </c>
      <c r="O8" t="s">
        <v>145</v>
      </c>
      <c r="P8" t="s">
        <v>146</v>
      </c>
      <c r="Q8" t="s">
        <v>147</v>
      </c>
      <c r="R8" t="s">
        <v>148</v>
      </c>
      <c r="S8" t="s">
        <v>149</v>
      </c>
      <c r="T8" t="s">
        <v>150</v>
      </c>
      <c r="U8" t="s">
        <v>151</v>
      </c>
      <c r="V8" t="s">
        <v>152</v>
      </c>
      <c r="W8" t="s">
        <v>153</v>
      </c>
      <c r="X8" t="s">
        <v>154</v>
      </c>
      <c r="Y8" t="s">
        <v>155</v>
      </c>
      <c r="Z8">
        <v>7</v>
      </c>
      <c r="AA8">
        <v>72901</v>
      </c>
      <c r="AB8" t="s">
        <v>156</v>
      </c>
      <c r="AC8">
        <v>6</v>
      </c>
      <c r="AD8">
        <v>2024</v>
      </c>
      <c r="AE8">
        <v>26</v>
      </c>
      <c r="AF8" t="s">
        <v>157</v>
      </c>
      <c r="AG8">
        <v>-28</v>
      </c>
      <c r="AH8">
        <v>18.764270455434598</v>
      </c>
      <c r="AI8">
        <v>0.64704380880809098</v>
      </c>
      <c r="AJ8" t="s">
        <v>61</v>
      </c>
      <c r="AK8" t="s">
        <v>158</v>
      </c>
      <c r="AL8">
        <v>24</v>
      </c>
      <c r="AM8">
        <v>3</v>
      </c>
      <c r="AN8">
        <v>31</v>
      </c>
      <c r="AO8">
        <v>0.1</v>
      </c>
      <c r="AP8" t="s">
        <v>63</v>
      </c>
      <c r="AQ8" t="s">
        <v>63</v>
      </c>
    </row>
    <row r="9" spans="1:43" x14ac:dyDescent="0.2">
      <c r="A9">
        <v>932086</v>
      </c>
      <c r="B9" t="s">
        <v>159</v>
      </c>
      <c r="C9">
        <v>6.9</v>
      </c>
      <c r="D9">
        <v>578</v>
      </c>
      <c r="E9" t="s">
        <v>44</v>
      </c>
      <c r="F9" s="1">
        <v>45469</v>
      </c>
      <c r="G9">
        <v>38735702</v>
      </c>
      <c r="H9">
        <v>182</v>
      </c>
      <c r="I9">
        <v>50000000</v>
      </c>
      <c r="J9" t="s">
        <v>160</v>
      </c>
      <c r="K9" t="s">
        <v>46</v>
      </c>
      <c r="L9" t="s">
        <v>159</v>
      </c>
      <c r="M9" t="s">
        <v>161</v>
      </c>
      <c r="N9">
        <v>2.9979</v>
      </c>
      <c r="O9" t="s">
        <v>162</v>
      </c>
      <c r="P9" t="s">
        <v>163</v>
      </c>
      <c r="Q9" t="s">
        <v>164</v>
      </c>
      <c r="R9" t="s">
        <v>51</v>
      </c>
      <c r="S9" t="s">
        <v>165</v>
      </c>
      <c r="T9" t="s">
        <v>166</v>
      </c>
      <c r="U9" t="s">
        <v>167</v>
      </c>
      <c r="V9" t="s">
        <v>168</v>
      </c>
      <c r="W9" t="s">
        <v>169</v>
      </c>
      <c r="X9" t="s">
        <v>170</v>
      </c>
      <c r="Y9" t="s">
        <v>171</v>
      </c>
      <c r="Z9">
        <v>6.6</v>
      </c>
      <c r="AA9">
        <v>43321</v>
      </c>
      <c r="AB9" t="s">
        <v>172</v>
      </c>
      <c r="AC9">
        <v>6</v>
      </c>
      <c r="AD9">
        <v>2024</v>
      </c>
      <c r="AE9">
        <v>26</v>
      </c>
      <c r="AF9" t="s">
        <v>173</v>
      </c>
      <c r="AG9">
        <v>-28</v>
      </c>
      <c r="AH9">
        <v>17.472272290844298</v>
      </c>
      <c r="AI9">
        <v>0.60249214796014905</v>
      </c>
      <c r="AJ9" t="s">
        <v>61</v>
      </c>
      <c r="AK9" t="s">
        <v>174</v>
      </c>
      <c r="AL9">
        <v>32</v>
      </c>
      <c r="AM9">
        <v>2</v>
      </c>
      <c r="AN9">
        <v>39</v>
      </c>
      <c r="AO9">
        <v>0.05</v>
      </c>
      <c r="AP9" t="s">
        <v>63</v>
      </c>
      <c r="AQ9" t="s">
        <v>63</v>
      </c>
    </row>
    <row r="10" spans="1:43" x14ac:dyDescent="0.2">
      <c r="A10">
        <v>1160018</v>
      </c>
      <c r="B10" t="s">
        <v>175</v>
      </c>
      <c r="C10">
        <v>7.1</v>
      </c>
      <c r="D10">
        <v>425</v>
      </c>
      <c r="E10" t="s">
        <v>44</v>
      </c>
      <c r="F10" s="1">
        <v>45476</v>
      </c>
      <c r="G10">
        <v>5600000</v>
      </c>
      <c r="H10">
        <v>105</v>
      </c>
      <c r="I10">
        <v>4800000</v>
      </c>
      <c r="J10" t="s">
        <v>176</v>
      </c>
      <c r="K10" t="s">
        <v>177</v>
      </c>
      <c r="L10" t="s">
        <v>178</v>
      </c>
      <c r="M10" t="s">
        <v>179</v>
      </c>
      <c r="N10">
        <v>6.1403999999999996</v>
      </c>
      <c r="O10" t="s">
        <v>180</v>
      </c>
      <c r="P10" t="s">
        <v>181</v>
      </c>
      <c r="Q10" t="s">
        <v>182</v>
      </c>
      <c r="R10" t="s">
        <v>148</v>
      </c>
      <c r="S10" t="s">
        <v>183</v>
      </c>
      <c r="T10" t="s">
        <v>184</v>
      </c>
      <c r="U10" t="s">
        <v>185</v>
      </c>
      <c r="V10" t="s">
        <v>186</v>
      </c>
      <c r="W10" t="s">
        <v>187</v>
      </c>
      <c r="X10" t="s">
        <v>188</v>
      </c>
      <c r="Y10" t="s">
        <v>189</v>
      </c>
      <c r="Z10">
        <v>7.4</v>
      </c>
      <c r="AA10">
        <v>44499</v>
      </c>
      <c r="AB10" t="s">
        <v>190</v>
      </c>
      <c r="AC10">
        <v>7</v>
      </c>
      <c r="AD10">
        <v>2024</v>
      </c>
      <c r="AE10">
        <v>27</v>
      </c>
      <c r="AF10" t="s">
        <v>191</v>
      </c>
      <c r="AG10">
        <v>-21</v>
      </c>
      <c r="AH10">
        <v>15.5382773342767</v>
      </c>
      <c r="AI10">
        <v>0.70628533337621702</v>
      </c>
      <c r="AJ10" t="s">
        <v>61</v>
      </c>
      <c r="AK10" t="s">
        <v>192</v>
      </c>
      <c r="AL10">
        <v>21</v>
      </c>
      <c r="AM10">
        <v>2</v>
      </c>
      <c r="AN10">
        <v>35</v>
      </c>
      <c r="AO10">
        <v>0.06</v>
      </c>
      <c r="AP10" t="s">
        <v>63</v>
      </c>
      <c r="AQ10" t="s">
        <v>63</v>
      </c>
    </row>
    <row r="11" spans="1:43" x14ac:dyDescent="0.2">
      <c r="A11">
        <v>1023922</v>
      </c>
      <c r="B11" t="s">
        <v>193</v>
      </c>
      <c r="C11">
        <v>6.3</v>
      </c>
      <c r="D11">
        <v>1271</v>
      </c>
      <c r="E11" t="s">
        <v>44</v>
      </c>
      <c r="F11" s="1">
        <v>45477</v>
      </c>
      <c r="G11">
        <v>22057161</v>
      </c>
      <c r="H11">
        <v>103</v>
      </c>
      <c r="I11">
        <v>10000000</v>
      </c>
      <c r="J11" t="s">
        <v>194</v>
      </c>
      <c r="K11" t="s">
        <v>46</v>
      </c>
      <c r="L11" t="s">
        <v>193</v>
      </c>
      <c r="M11" t="s">
        <v>195</v>
      </c>
      <c r="N11">
        <v>8.8960000000000008</v>
      </c>
      <c r="O11" t="s">
        <v>196</v>
      </c>
      <c r="P11" t="s">
        <v>197</v>
      </c>
      <c r="Q11" t="s">
        <v>198</v>
      </c>
      <c r="R11" t="s">
        <v>51</v>
      </c>
      <c r="S11" t="s">
        <v>52</v>
      </c>
      <c r="T11" t="s">
        <v>199</v>
      </c>
      <c r="U11" t="s">
        <v>200</v>
      </c>
      <c r="V11" t="s">
        <v>201</v>
      </c>
      <c r="W11" t="s">
        <v>200</v>
      </c>
      <c r="X11" t="s">
        <v>202</v>
      </c>
      <c r="Y11" t="s">
        <v>203</v>
      </c>
      <c r="Z11">
        <v>6.2</v>
      </c>
      <c r="AA11">
        <v>80514</v>
      </c>
      <c r="AB11" t="s">
        <v>204</v>
      </c>
      <c r="AC11">
        <v>7</v>
      </c>
      <c r="AD11">
        <v>2024</v>
      </c>
      <c r="AE11">
        <v>27</v>
      </c>
      <c r="AF11" t="s">
        <v>205</v>
      </c>
      <c r="AG11">
        <v>-20</v>
      </c>
      <c r="AH11">
        <v>16.909147914374898</v>
      </c>
      <c r="AI11">
        <v>0.80519751973213805</v>
      </c>
      <c r="AJ11" t="s">
        <v>61</v>
      </c>
      <c r="AK11" t="s">
        <v>206</v>
      </c>
      <c r="AL11">
        <v>31</v>
      </c>
      <c r="AM11">
        <v>2</v>
      </c>
      <c r="AN11">
        <v>43</v>
      </c>
      <c r="AO11">
        <v>0.05</v>
      </c>
      <c r="AP11" t="s">
        <v>63</v>
      </c>
      <c r="AQ11" t="s">
        <v>63</v>
      </c>
    </row>
    <row r="12" spans="1:43" x14ac:dyDescent="0.2">
      <c r="A12">
        <v>1242526</v>
      </c>
      <c r="B12" t="s">
        <v>207</v>
      </c>
      <c r="C12">
        <v>7</v>
      </c>
      <c r="D12">
        <v>55</v>
      </c>
      <c r="E12" t="s">
        <v>44</v>
      </c>
      <c r="F12" s="1">
        <v>45477</v>
      </c>
      <c r="G12">
        <v>11721425</v>
      </c>
      <c r="H12">
        <v>130</v>
      </c>
      <c r="I12">
        <v>8500000</v>
      </c>
      <c r="J12" t="s">
        <v>208</v>
      </c>
      <c r="K12" t="s">
        <v>46</v>
      </c>
      <c r="L12" t="s">
        <v>207</v>
      </c>
      <c r="M12" t="s">
        <v>209</v>
      </c>
      <c r="N12">
        <v>3.5430999999999999</v>
      </c>
      <c r="O12" t="s">
        <v>210</v>
      </c>
      <c r="P12" t="s">
        <v>211</v>
      </c>
      <c r="Q12" t="s">
        <v>212</v>
      </c>
      <c r="R12" t="s">
        <v>51</v>
      </c>
      <c r="S12" t="s">
        <v>52</v>
      </c>
      <c r="T12" t="s">
        <v>213</v>
      </c>
      <c r="U12" t="s">
        <v>214</v>
      </c>
      <c r="V12" t="s">
        <v>215</v>
      </c>
      <c r="W12" t="s">
        <v>216</v>
      </c>
      <c r="X12" t="s">
        <v>217</v>
      </c>
      <c r="Y12" t="s">
        <v>218</v>
      </c>
      <c r="Z12">
        <v>7.1</v>
      </c>
      <c r="AA12">
        <v>2385</v>
      </c>
      <c r="AB12" t="s">
        <v>219</v>
      </c>
      <c r="AC12">
        <v>7</v>
      </c>
      <c r="AD12">
        <v>2024</v>
      </c>
      <c r="AE12">
        <v>27</v>
      </c>
      <c r="AF12" t="s">
        <v>220</v>
      </c>
      <c r="AG12">
        <v>-20</v>
      </c>
      <c r="AH12">
        <v>16.276929007066599</v>
      </c>
      <c r="AI12">
        <v>0.77509185747936205</v>
      </c>
      <c r="AJ12" t="s">
        <v>61</v>
      </c>
      <c r="AK12" t="s">
        <v>221</v>
      </c>
      <c r="AL12">
        <v>10</v>
      </c>
      <c r="AM12">
        <v>0</v>
      </c>
      <c r="AN12">
        <v>11</v>
      </c>
      <c r="AO12">
        <v>0</v>
      </c>
      <c r="AP12" t="s">
        <v>63</v>
      </c>
      <c r="AQ12" t="s">
        <v>63</v>
      </c>
    </row>
    <row r="13" spans="1:43" x14ac:dyDescent="0.2">
      <c r="A13">
        <v>718821</v>
      </c>
      <c r="B13" t="s">
        <v>222</v>
      </c>
      <c r="C13">
        <v>6.8</v>
      </c>
      <c r="D13">
        <v>2694</v>
      </c>
      <c r="E13" t="s">
        <v>44</v>
      </c>
      <c r="F13" s="1">
        <v>45483</v>
      </c>
      <c r="G13">
        <v>372262265</v>
      </c>
      <c r="H13">
        <v>123</v>
      </c>
      <c r="I13">
        <v>155000000</v>
      </c>
      <c r="J13" t="s">
        <v>223</v>
      </c>
      <c r="K13" t="s">
        <v>46</v>
      </c>
      <c r="L13" t="s">
        <v>222</v>
      </c>
      <c r="M13" t="s">
        <v>224</v>
      </c>
      <c r="N13">
        <v>15.363899999999999</v>
      </c>
      <c r="O13" t="s">
        <v>225</v>
      </c>
      <c r="P13" t="s">
        <v>226</v>
      </c>
      <c r="Q13" t="s">
        <v>227</v>
      </c>
      <c r="R13" t="s">
        <v>51</v>
      </c>
      <c r="S13" t="s">
        <v>52</v>
      </c>
      <c r="T13" t="s">
        <v>228</v>
      </c>
      <c r="U13" t="s">
        <v>229</v>
      </c>
      <c r="V13" t="s">
        <v>230</v>
      </c>
      <c r="W13" t="s">
        <v>231</v>
      </c>
      <c r="X13" t="s">
        <v>232</v>
      </c>
      <c r="Y13" t="s">
        <v>233</v>
      </c>
      <c r="Z13">
        <v>6.5</v>
      </c>
      <c r="AA13">
        <v>186345</v>
      </c>
      <c r="AB13" t="s">
        <v>234</v>
      </c>
      <c r="AC13">
        <v>7</v>
      </c>
      <c r="AD13">
        <v>2024</v>
      </c>
      <c r="AE13">
        <v>28</v>
      </c>
      <c r="AF13" t="s">
        <v>235</v>
      </c>
      <c r="AG13">
        <v>-14</v>
      </c>
      <c r="AH13">
        <v>19.735109179959299</v>
      </c>
      <c r="AI13">
        <v>1.3156739453306201</v>
      </c>
      <c r="AJ13" t="s">
        <v>61</v>
      </c>
      <c r="AK13" t="s">
        <v>236</v>
      </c>
      <c r="AL13">
        <v>55</v>
      </c>
      <c r="AM13">
        <v>1</v>
      </c>
      <c r="AN13">
        <v>62</v>
      </c>
      <c r="AO13">
        <v>0.02</v>
      </c>
      <c r="AP13" t="s">
        <v>63</v>
      </c>
      <c r="AQ13" t="s">
        <v>63</v>
      </c>
    </row>
    <row r="14" spans="1:43" x14ac:dyDescent="0.2">
      <c r="A14">
        <v>1226578</v>
      </c>
      <c r="B14" t="s">
        <v>237</v>
      </c>
      <c r="C14">
        <v>6.5629999999999997</v>
      </c>
      <c r="D14">
        <v>2304</v>
      </c>
      <c r="E14" t="s">
        <v>44</v>
      </c>
      <c r="F14" s="1">
        <v>45483</v>
      </c>
      <c r="G14">
        <v>127961936</v>
      </c>
      <c r="H14">
        <v>101</v>
      </c>
      <c r="I14">
        <v>10000000</v>
      </c>
      <c r="J14" t="s">
        <v>238</v>
      </c>
      <c r="K14" t="s">
        <v>46</v>
      </c>
      <c r="L14" t="s">
        <v>237</v>
      </c>
      <c r="M14" t="s">
        <v>239</v>
      </c>
      <c r="N14">
        <v>10.8375</v>
      </c>
      <c r="O14" t="s">
        <v>240</v>
      </c>
      <c r="P14" t="s">
        <v>241</v>
      </c>
      <c r="Q14" t="s">
        <v>242</v>
      </c>
      <c r="R14" t="s">
        <v>243</v>
      </c>
      <c r="S14" t="s">
        <v>52</v>
      </c>
      <c r="T14" t="s">
        <v>244</v>
      </c>
      <c r="U14" t="s">
        <v>245</v>
      </c>
      <c r="V14" t="s">
        <v>246</v>
      </c>
      <c r="W14" t="s">
        <v>245</v>
      </c>
      <c r="X14" t="s">
        <v>247</v>
      </c>
      <c r="Y14" t="s">
        <v>248</v>
      </c>
      <c r="Z14">
        <v>6.6</v>
      </c>
      <c r="AA14">
        <v>210774</v>
      </c>
      <c r="AB14" t="s">
        <v>249</v>
      </c>
      <c r="AC14">
        <v>7</v>
      </c>
      <c r="AD14">
        <v>2024</v>
      </c>
      <c r="AE14">
        <v>28</v>
      </c>
      <c r="AF14" t="s">
        <v>250</v>
      </c>
      <c r="AG14">
        <v>-14</v>
      </c>
      <c r="AH14">
        <v>18.667243410474001</v>
      </c>
      <c r="AI14">
        <v>1.2444828940316</v>
      </c>
      <c r="AJ14" t="s">
        <v>61</v>
      </c>
      <c r="AK14" t="s">
        <v>251</v>
      </c>
      <c r="AL14">
        <v>47</v>
      </c>
      <c r="AM14">
        <v>1</v>
      </c>
      <c r="AN14">
        <v>63</v>
      </c>
      <c r="AO14">
        <v>0.02</v>
      </c>
      <c r="AP14" t="s">
        <v>63</v>
      </c>
      <c r="AQ14" t="s">
        <v>63</v>
      </c>
    </row>
    <row r="15" spans="1:43" x14ac:dyDescent="0.2">
      <c r="A15">
        <v>726139</v>
      </c>
      <c r="B15" t="s">
        <v>252</v>
      </c>
      <c r="C15">
        <v>6.9</v>
      </c>
      <c r="D15">
        <v>367</v>
      </c>
      <c r="E15" t="s">
        <v>44</v>
      </c>
      <c r="F15" s="1">
        <v>45484</v>
      </c>
      <c r="G15">
        <v>6283415</v>
      </c>
      <c r="H15">
        <v>96</v>
      </c>
      <c r="I15">
        <v>14750000</v>
      </c>
      <c r="J15" t="s">
        <v>253</v>
      </c>
      <c r="K15" t="s">
        <v>254</v>
      </c>
      <c r="L15" t="s">
        <v>255</v>
      </c>
      <c r="M15" t="s">
        <v>256</v>
      </c>
      <c r="N15">
        <v>7.4748000000000001</v>
      </c>
      <c r="O15" t="s">
        <v>257</v>
      </c>
      <c r="P15" t="s">
        <v>258</v>
      </c>
      <c r="Q15" t="s">
        <v>259</v>
      </c>
      <c r="R15" t="s">
        <v>260</v>
      </c>
      <c r="S15" t="s">
        <v>261</v>
      </c>
      <c r="T15" t="s">
        <v>262</v>
      </c>
      <c r="U15" t="s">
        <v>263</v>
      </c>
      <c r="V15" t="s">
        <v>264</v>
      </c>
      <c r="W15" t="s">
        <v>265</v>
      </c>
      <c r="X15" t="s">
        <v>266</v>
      </c>
      <c r="Y15" t="s">
        <v>267</v>
      </c>
      <c r="Z15">
        <v>5.4</v>
      </c>
      <c r="AA15">
        <v>3850</v>
      </c>
      <c r="AB15" t="s">
        <v>268</v>
      </c>
      <c r="AC15">
        <v>7</v>
      </c>
      <c r="AD15">
        <v>2024</v>
      </c>
      <c r="AE15">
        <v>28</v>
      </c>
      <c r="AF15" t="s">
        <v>269</v>
      </c>
      <c r="AG15">
        <v>-13</v>
      </c>
      <c r="AH15">
        <v>15.653424339602299</v>
      </c>
      <c r="AI15">
        <v>1.1181017385430201</v>
      </c>
      <c r="AJ15" t="s">
        <v>61</v>
      </c>
      <c r="AK15" t="s">
        <v>270</v>
      </c>
      <c r="AL15">
        <v>16</v>
      </c>
      <c r="AM15">
        <v>2</v>
      </c>
      <c r="AN15">
        <v>21</v>
      </c>
      <c r="AO15">
        <v>0.1</v>
      </c>
      <c r="AP15" t="s">
        <v>63</v>
      </c>
      <c r="AQ15" t="s">
        <v>63</v>
      </c>
    </row>
    <row r="16" spans="1:43" x14ac:dyDescent="0.2">
      <c r="A16">
        <v>1155828</v>
      </c>
      <c r="B16" t="s">
        <v>271</v>
      </c>
      <c r="C16">
        <v>7.5170000000000003</v>
      </c>
      <c r="D16">
        <v>286</v>
      </c>
      <c r="E16" t="s">
        <v>44</v>
      </c>
      <c r="F16" s="1">
        <v>45485</v>
      </c>
      <c r="G16">
        <v>3401789</v>
      </c>
      <c r="H16">
        <v>107</v>
      </c>
      <c r="I16">
        <v>2000000</v>
      </c>
      <c r="J16" t="s">
        <v>272</v>
      </c>
      <c r="K16" t="s">
        <v>46</v>
      </c>
      <c r="L16" t="s">
        <v>271</v>
      </c>
      <c r="M16" t="s">
        <v>273</v>
      </c>
      <c r="N16">
        <v>2.8037000000000001</v>
      </c>
      <c r="O16" t="s">
        <v>274</v>
      </c>
      <c r="P16" t="s">
        <v>211</v>
      </c>
      <c r="Q16" t="s">
        <v>275</v>
      </c>
      <c r="R16" t="s">
        <v>51</v>
      </c>
      <c r="S16" t="s">
        <v>52</v>
      </c>
      <c r="T16" t="s">
        <v>276</v>
      </c>
      <c r="U16" t="s">
        <v>277</v>
      </c>
      <c r="V16" t="s">
        <v>133</v>
      </c>
      <c r="W16" t="s">
        <v>278</v>
      </c>
      <c r="X16" t="s">
        <v>279</v>
      </c>
      <c r="Y16" t="s">
        <v>280</v>
      </c>
      <c r="Z16">
        <v>7.6</v>
      </c>
      <c r="AA16">
        <v>26626</v>
      </c>
      <c r="AB16" t="s">
        <v>281</v>
      </c>
      <c r="AC16">
        <v>7</v>
      </c>
      <c r="AD16">
        <v>2024</v>
      </c>
      <c r="AE16">
        <v>28</v>
      </c>
      <c r="AF16" t="s">
        <v>282</v>
      </c>
      <c r="AG16">
        <v>-12</v>
      </c>
      <c r="AH16">
        <v>15.0398123216376</v>
      </c>
      <c r="AI16">
        <v>1.1569086401259601</v>
      </c>
      <c r="AJ16" t="s">
        <v>61</v>
      </c>
      <c r="AK16" t="s">
        <v>283</v>
      </c>
      <c r="AL16">
        <v>24</v>
      </c>
      <c r="AM16">
        <v>2</v>
      </c>
      <c r="AN16">
        <v>54</v>
      </c>
      <c r="AO16">
        <v>0.04</v>
      </c>
      <c r="AP16" t="s">
        <v>63</v>
      </c>
      <c r="AQ16" t="s">
        <v>63</v>
      </c>
    </row>
    <row r="17" spans="1:43" x14ac:dyDescent="0.2">
      <c r="A17">
        <v>1233208</v>
      </c>
      <c r="B17" t="s">
        <v>284</v>
      </c>
      <c r="C17">
        <v>7.1</v>
      </c>
      <c r="D17">
        <v>63</v>
      </c>
      <c r="E17" t="s">
        <v>44</v>
      </c>
      <c r="F17" s="1">
        <v>45490</v>
      </c>
      <c r="G17">
        <v>1097812</v>
      </c>
      <c r="H17">
        <v>128</v>
      </c>
      <c r="I17">
        <v>2500000</v>
      </c>
      <c r="J17" t="s">
        <v>285</v>
      </c>
      <c r="K17" t="s">
        <v>177</v>
      </c>
      <c r="L17" t="s">
        <v>286</v>
      </c>
      <c r="M17" t="s">
        <v>287</v>
      </c>
      <c r="N17">
        <v>4.6426999999999996</v>
      </c>
      <c r="O17" t="s">
        <v>288</v>
      </c>
      <c r="P17" t="s">
        <v>289</v>
      </c>
      <c r="Q17" t="s">
        <v>290</v>
      </c>
      <c r="R17" t="s">
        <v>291</v>
      </c>
      <c r="S17" t="s">
        <v>183</v>
      </c>
      <c r="T17" t="s">
        <v>292</v>
      </c>
      <c r="U17" t="s">
        <v>293</v>
      </c>
      <c r="V17" t="s">
        <v>294</v>
      </c>
      <c r="W17" t="s">
        <v>295</v>
      </c>
      <c r="X17" t="s">
        <v>296</v>
      </c>
      <c r="Y17" t="s">
        <v>297</v>
      </c>
      <c r="Z17">
        <v>7.1</v>
      </c>
      <c r="AA17">
        <v>3218</v>
      </c>
      <c r="AB17" t="s">
        <v>298</v>
      </c>
      <c r="AC17">
        <v>7</v>
      </c>
      <c r="AD17">
        <v>2024</v>
      </c>
      <c r="AE17">
        <v>29</v>
      </c>
      <c r="AF17" t="s">
        <v>299</v>
      </c>
      <c r="AG17">
        <v>-7</v>
      </c>
      <c r="AH17">
        <v>13.908830576893299</v>
      </c>
      <c r="AI17">
        <v>1.73860382211167</v>
      </c>
      <c r="AJ17" t="s">
        <v>61</v>
      </c>
      <c r="AK17" t="s">
        <v>300</v>
      </c>
      <c r="AL17">
        <v>8</v>
      </c>
      <c r="AM17">
        <v>1</v>
      </c>
      <c r="AN17">
        <v>42</v>
      </c>
      <c r="AO17">
        <v>0.02</v>
      </c>
      <c r="AP17" t="s">
        <v>63</v>
      </c>
      <c r="AQ17" t="s">
        <v>63</v>
      </c>
    </row>
    <row r="18" spans="1:43" x14ac:dyDescent="0.2">
      <c r="A18">
        <v>629078</v>
      </c>
      <c r="B18" t="s">
        <v>301</v>
      </c>
      <c r="C18">
        <v>7.1</v>
      </c>
      <c r="D18">
        <v>29</v>
      </c>
      <c r="E18" t="s">
        <v>44</v>
      </c>
      <c r="F18" s="1">
        <v>45499</v>
      </c>
      <c r="G18">
        <v>108000</v>
      </c>
      <c r="H18">
        <v>98</v>
      </c>
      <c r="I18">
        <v>116000</v>
      </c>
      <c r="J18" t="s">
        <v>302</v>
      </c>
      <c r="K18" t="s">
        <v>303</v>
      </c>
      <c r="L18" t="s">
        <v>301</v>
      </c>
      <c r="M18" t="s">
        <v>304</v>
      </c>
      <c r="N18">
        <v>3.7854999999999999</v>
      </c>
      <c r="O18" t="s">
        <v>305</v>
      </c>
      <c r="P18" t="s">
        <v>306</v>
      </c>
      <c r="Q18" t="s">
        <v>307</v>
      </c>
      <c r="R18" t="s">
        <v>308</v>
      </c>
      <c r="S18" t="s">
        <v>309</v>
      </c>
      <c r="T18" t="s">
        <v>310</v>
      </c>
      <c r="U18" t="s">
        <v>311</v>
      </c>
      <c r="V18" t="s">
        <v>311</v>
      </c>
      <c r="W18" t="s">
        <v>312</v>
      </c>
      <c r="X18" t="s">
        <v>313</v>
      </c>
      <c r="Y18" t="s">
        <v>314</v>
      </c>
      <c r="Z18">
        <v>7.1</v>
      </c>
      <c r="AA18">
        <v>2274</v>
      </c>
      <c r="AB18" t="s">
        <v>315</v>
      </c>
      <c r="AC18">
        <v>7</v>
      </c>
      <c r="AD18">
        <v>2024</v>
      </c>
      <c r="AE18">
        <v>30</v>
      </c>
      <c r="AF18" t="s">
        <v>316</v>
      </c>
      <c r="AG18">
        <v>2</v>
      </c>
      <c r="AH18">
        <v>11.5898957653227</v>
      </c>
      <c r="AI18">
        <v>3.8632985884409101</v>
      </c>
      <c r="AJ18" t="s">
        <v>61</v>
      </c>
      <c r="AK18" t="s">
        <v>317</v>
      </c>
      <c r="AL18">
        <v>5</v>
      </c>
      <c r="AM18">
        <v>1</v>
      </c>
      <c r="AN18">
        <v>23</v>
      </c>
      <c r="AO18">
        <v>0.04</v>
      </c>
      <c r="AP18" t="s">
        <v>63</v>
      </c>
      <c r="AQ18" t="s">
        <v>63</v>
      </c>
    </row>
    <row r="19" spans="1:43" x14ac:dyDescent="0.2">
      <c r="A19">
        <v>1136418</v>
      </c>
      <c r="B19" t="s">
        <v>318</v>
      </c>
      <c r="C19">
        <v>6</v>
      </c>
      <c r="D19">
        <v>29</v>
      </c>
      <c r="E19" t="s">
        <v>44</v>
      </c>
      <c r="F19" s="1">
        <v>45499</v>
      </c>
      <c r="G19">
        <v>15000000</v>
      </c>
      <c r="H19">
        <v>143</v>
      </c>
      <c r="I19">
        <v>11900000</v>
      </c>
      <c r="J19" t="s">
        <v>319</v>
      </c>
      <c r="K19" t="s">
        <v>320</v>
      </c>
      <c r="L19" t="s">
        <v>321</v>
      </c>
      <c r="M19" t="s">
        <v>322</v>
      </c>
      <c r="N19">
        <v>3.5003000000000002</v>
      </c>
      <c r="O19" t="s">
        <v>323</v>
      </c>
      <c r="P19" t="s">
        <v>324</v>
      </c>
      <c r="Q19" t="s">
        <v>325</v>
      </c>
      <c r="R19" t="s">
        <v>148</v>
      </c>
      <c r="S19" t="s">
        <v>326</v>
      </c>
      <c r="T19" t="s">
        <v>327</v>
      </c>
      <c r="U19" t="s">
        <v>328</v>
      </c>
      <c r="V19" t="s">
        <v>329</v>
      </c>
      <c r="W19" t="s">
        <v>330</v>
      </c>
      <c r="X19" t="s">
        <v>331</v>
      </c>
      <c r="Y19" t="s">
        <v>332</v>
      </c>
      <c r="Z19">
        <v>6.5</v>
      </c>
      <c r="AA19">
        <v>13468</v>
      </c>
      <c r="AB19" t="s">
        <v>333</v>
      </c>
      <c r="AC19">
        <v>7</v>
      </c>
      <c r="AD19">
        <v>2024</v>
      </c>
      <c r="AE19">
        <v>30</v>
      </c>
      <c r="AF19" t="s">
        <v>334</v>
      </c>
      <c r="AG19">
        <v>2</v>
      </c>
      <c r="AH19">
        <v>16.523560825733099</v>
      </c>
      <c r="AI19">
        <v>5.5078536085777099</v>
      </c>
      <c r="AJ19" t="s">
        <v>61</v>
      </c>
      <c r="AK19" t="s">
        <v>335</v>
      </c>
      <c r="AL19">
        <v>5</v>
      </c>
      <c r="AM19">
        <v>1</v>
      </c>
      <c r="AN19">
        <v>7</v>
      </c>
      <c r="AO19">
        <v>0.14000000000000001</v>
      </c>
      <c r="AP19" t="s">
        <v>63</v>
      </c>
      <c r="AQ19" t="s">
        <v>63</v>
      </c>
    </row>
    <row r="20" spans="1:43" x14ac:dyDescent="0.2">
      <c r="A20">
        <v>826510</v>
      </c>
      <c r="B20" t="s">
        <v>336</v>
      </c>
      <c r="C20">
        <v>6.7</v>
      </c>
      <c r="D20">
        <v>321</v>
      </c>
      <c r="E20" t="s">
        <v>44</v>
      </c>
      <c r="F20" s="1">
        <v>45504</v>
      </c>
      <c r="G20">
        <v>32227855</v>
      </c>
      <c r="H20">
        <v>90</v>
      </c>
      <c r="I20">
        <v>40000000</v>
      </c>
      <c r="J20" t="s">
        <v>337</v>
      </c>
      <c r="K20" t="s">
        <v>46</v>
      </c>
      <c r="L20" t="s">
        <v>336</v>
      </c>
      <c r="M20" t="s">
        <v>338</v>
      </c>
      <c r="N20">
        <v>6.7442000000000002</v>
      </c>
      <c r="O20" t="s">
        <v>339</v>
      </c>
      <c r="P20" t="s">
        <v>340</v>
      </c>
      <c r="Q20" t="s">
        <v>341</v>
      </c>
      <c r="R20" t="s">
        <v>51</v>
      </c>
      <c r="S20" t="s">
        <v>52</v>
      </c>
      <c r="T20" t="s">
        <v>342</v>
      </c>
      <c r="U20" t="s">
        <v>343</v>
      </c>
      <c r="V20" t="s">
        <v>344</v>
      </c>
      <c r="W20" t="s">
        <v>345</v>
      </c>
      <c r="X20" t="s">
        <v>346</v>
      </c>
      <c r="Y20" t="s">
        <v>347</v>
      </c>
      <c r="Z20">
        <v>5.7</v>
      </c>
      <c r="AA20">
        <v>9541</v>
      </c>
      <c r="AB20" t="s">
        <v>348</v>
      </c>
      <c r="AC20">
        <v>7</v>
      </c>
      <c r="AD20">
        <v>2024</v>
      </c>
      <c r="AE20">
        <v>31</v>
      </c>
      <c r="AF20" t="s">
        <v>349</v>
      </c>
      <c r="AG20">
        <v>7</v>
      </c>
      <c r="AH20">
        <v>17.2883417297049</v>
      </c>
      <c r="AI20">
        <v>2.1610427162131098</v>
      </c>
      <c r="AJ20" t="s">
        <v>61</v>
      </c>
      <c r="AK20" t="s">
        <v>350</v>
      </c>
      <c r="AL20">
        <v>31</v>
      </c>
      <c r="AM20">
        <v>2</v>
      </c>
      <c r="AN20">
        <v>37</v>
      </c>
      <c r="AO20">
        <v>0.05</v>
      </c>
      <c r="AP20" t="s">
        <v>63</v>
      </c>
      <c r="AQ20" t="s">
        <v>63</v>
      </c>
    </row>
    <row r="21" spans="1:43" x14ac:dyDescent="0.2">
      <c r="A21">
        <v>1032823</v>
      </c>
      <c r="B21" t="s">
        <v>351</v>
      </c>
      <c r="C21">
        <v>6.3</v>
      </c>
      <c r="D21">
        <v>2510</v>
      </c>
      <c r="E21" t="s">
        <v>44</v>
      </c>
      <c r="F21" s="1">
        <v>45504</v>
      </c>
      <c r="G21">
        <v>83677281</v>
      </c>
      <c r="H21">
        <v>105</v>
      </c>
      <c r="I21">
        <v>30000000</v>
      </c>
      <c r="J21" t="s">
        <v>352</v>
      </c>
      <c r="K21" t="s">
        <v>46</v>
      </c>
      <c r="L21" t="s">
        <v>351</v>
      </c>
      <c r="M21" t="s">
        <v>353</v>
      </c>
      <c r="N21">
        <v>6.6580000000000004</v>
      </c>
      <c r="O21" t="s">
        <v>354</v>
      </c>
      <c r="P21" t="s">
        <v>355</v>
      </c>
      <c r="Q21" t="s">
        <v>356</v>
      </c>
      <c r="R21" t="s">
        <v>51</v>
      </c>
      <c r="S21" t="s">
        <v>52</v>
      </c>
      <c r="T21" t="s">
        <v>357</v>
      </c>
      <c r="U21" t="s">
        <v>358</v>
      </c>
      <c r="V21" t="s">
        <v>359</v>
      </c>
      <c r="W21" t="s">
        <v>358</v>
      </c>
      <c r="X21" t="s">
        <v>360</v>
      </c>
      <c r="Y21" t="s">
        <v>361</v>
      </c>
      <c r="Z21">
        <v>5.8</v>
      </c>
      <c r="AA21">
        <v>154590</v>
      </c>
      <c r="AB21" t="s">
        <v>362</v>
      </c>
      <c r="AC21">
        <v>7</v>
      </c>
      <c r="AD21">
        <v>2024</v>
      </c>
      <c r="AE21">
        <v>31</v>
      </c>
      <c r="AF21" t="s">
        <v>363</v>
      </c>
      <c r="AG21">
        <v>7</v>
      </c>
      <c r="AH21">
        <v>18.242478076873802</v>
      </c>
      <c r="AI21">
        <v>2.2803097596092199</v>
      </c>
      <c r="AJ21" t="s">
        <v>61</v>
      </c>
      <c r="AK21" t="s">
        <v>364</v>
      </c>
      <c r="AL21">
        <v>39</v>
      </c>
      <c r="AM21">
        <v>1</v>
      </c>
      <c r="AN21">
        <v>44</v>
      </c>
      <c r="AO21">
        <v>0.02</v>
      </c>
      <c r="AP21" t="s">
        <v>63</v>
      </c>
      <c r="AQ21" t="s">
        <v>63</v>
      </c>
    </row>
    <row r="22" spans="1:43" x14ac:dyDescent="0.2">
      <c r="A22">
        <v>870360</v>
      </c>
      <c r="B22" t="s">
        <v>365</v>
      </c>
      <c r="C22">
        <v>7.7</v>
      </c>
      <c r="D22">
        <v>175</v>
      </c>
      <c r="E22" t="s">
        <v>44</v>
      </c>
      <c r="F22" s="1">
        <v>45505</v>
      </c>
      <c r="G22">
        <v>15076954</v>
      </c>
      <c r="H22">
        <v>91</v>
      </c>
      <c r="I22">
        <v>15000000</v>
      </c>
      <c r="J22" t="s">
        <v>366</v>
      </c>
      <c r="K22" t="s">
        <v>46</v>
      </c>
      <c r="L22" t="s">
        <v>365</v>
      </c>
      <c r="M22" t="s">
        <v>367</v>
      </c>
      <c r="N22">
        <v>18.385300000000001</v>
      </c>
      <c r="O22" t="s">
        <v>368</v>
      </c>
      <c r="P22" t="s">
        <v>369</v>
      </c>
      <c r="Q22" t="s">
        <v>370</v>
      </c>
      <c r="R22" t="s">
        <v>51</v>
      </c>
      <c r="S22" t="s">
        <v>52</v>
      </c>
      <c r="T22" t="s">
        <v>371</v>
      </c>
      <c r="U22" t="s">
        <v>372</v>
      </c>
      <c r="W22" t="s">
        <v>373</v>
      </c>
      <c r="X22" t="s">
        <v>374</v>
      </c>
      <c r="Y22" t="s">
        <v>375</v>
      </c>
      <c r="Z22">
        <v>6.8</v>
      </c>
      <c r="AA22">
        <v>7843</v>
      </c>
      <c r="AB22" t="s">
        <v>376</v>
      </c>
      <c r="AC22">
        <v>8</v>
      </c>
      <c r="AD22">
        <v>2024</v>
      </c>
      <c r="AE22">
        <v>31</v>
      </c>
      <c r="AF22" t="s">
        <v>377</v>
      </c>
      <c r="AG22">
        <v>8</v>
      </c>
      <c r="AH22">
        <v>16.528677977077901</v>
      </c>
      <c r="AI22">
        <v>1.8365197752308799</v>
      </c>
      <c r="AJ22" t="s">
        <v>61</v>
      </c>
      <c r="AK22" t="s">
        <v>378</v>
      </c>
      <c r="AL22">
        <v>107</v>
      </c>
      <c r="AM22">
        <v>3</v>
      </c>
      <c r="AN22">
        <v>117</v>
      </c>
      <c r="AO22">
        <v>0.03</v>
      </c>
      <c r="AP22" t="s">
        <v>63</v>
      </c>
      <c r="AQ22" t="s">
        <v>63</v>
      </c>
    </row>
    <row r="23" spans="1:43" x14ac:dyDescent="0.2">
      <c r="A23">
        <v>1251621</v>
      </c>
      <c r="B23" t="s">
        <v>379</v>
      </c>
      <c r="C23">
        <v>7.4</v>
      </c>
      <c r="D23">
        <v>50</v>
      </c>
      <c r="E23" t="s">
        <v>44</v>
      </c>
      <c r="F23" s="1">
        <v>45505</v>
      </c>
      <c r="G23">
        <v>8405432</v>
      </c>
      <c r="H23">
        <v>131</v>
      </c>
      <c r="I23">
        <v>3500000</v>
      </c>
      <c r="J23" t="s">
        <v>380</v>
      </c>
      <c r="K23" t="s">
        <v>381</v>
      </c>
      <c r="L23" t="s">
        <v>382</v>
      </c>
      <c r="M23" t="s">
        <v>383</v>
      </c>
      <c r="N23">
        <v>1.9817</v>
      </c>
      <c r="O23" t="s">
        <v>384</v>
      </c>
      <c r="P23" t="s">
        <v>385</v>
      </c>
      <c r="Q23" t="s">
        <v>386</v>
      </c>
      <c r="R23" t="s">
        <v>387</v>
      </c>
      <c r="S23" t="s">
        <v>388</v>
      </c>
      <c r="T23" t="s">
        <v>389</v>
      </c>
      <c r="U23" t="s">
        <v>390</v>
      </c>
      <c r="V23" t="s">
        <v>391</v>
      </c>
      <c r="W23" t="s">
        <v>390</v>
      </c>
      <c r="X23" t="s">
        <v>392</v>
      </c>
      <c r="Y23" t="s">
        <v>393</v>
      </c>
      <c r="Z23">
        <v>7.8</v>
      </c>
      <c r="AA23">
        <v>2314</v>
      </c>
      <c r="AB23" t="s">
        <v>394</v>
      </c>
      <c r="AC23">
        <v>8</v>
      </c>
      <c r="AD23">
        <v>2024</v>
      </c>
      <c r="AE23">
        <v>31</v>
      </c>
      <c r="AF23" t="s">
        <v>395</v>
      </c>
      <c r="AG23">
        <v>8</v>
      </c>
      <c r="AH23">
        <v>15.944388840452</v>
      </c>
      <c r="AI23">
        <v>1.7715987600502301</v>
      </c>
      <c r="AJ23" t="s">
        <v>61</v>
      </c>
      <c r="AK23" t="s">
        <v>396</v>
      </c>
      <c r="AL23">
        <v>5</v>
      </c>
      <c r="AM23">
        <v>1</v>
      </c>
      <c r="AN23">
        <v>21</v>
      </c>
      <c r="AO23">
        <v>0.05</v>
      </c>
      <c r="AP23" t="s">
        <v>63</v>
      </c>
      <c r="AQ23" t="s">
        <v>63</v>
      </c>
    </row>
    <row r="24" spans="1:43" x14ac:dyDescent="0.2">
      <c r="A24">
        <v>1124876</v>
      </c>
      <c r="B24" t="s">
        <v>397</v>
      </c>
      <c r="C24">
        <v>5.5449999999999999</v>
      </c>
      <c r="D24">
        <v>11</v>
      </c>
      <c r="E24" t="s">
        <v>44</v>
      </c>
      <c r="F24" s="1">
        <v>45506</v>
      </c>
      <c r="G24">
        <v>1100000</v>
      </c>
      <c r="H24">
        <v>134</v>
      </c>
      <c r="I24">
        <v>4300000</v>
      </c>
      <c r="J24" t="s">
        <v>398</v>
      </c>
      <c r="K24" t="s">
        <v>177</v>
      </c>
      <c r="L24" t="s">
        <v>397</v>
      </c>
      <c r="M24" t="s">
        <v>399</v>
      </c>
      <c r="N24">
        <v>2.7658999999999998</v>
      </c>
      <c r="O24" t="s">
        <v>400</v>
      </c>
      <c r="P24" t="s">
        <v>401</v>
      </c>
      <c r="Q24" t="s">
        <v>402</v>
      </c>
      <c r="R24" t="s">
        <v>148</v>
      </c>
      <c r="S24" t="s">
        <v>183</v>
      </c>
      <c r="T24" t="s">
        <v>403</v>
      </c>
      <c r="U24" t="s">
        <v>404</v>
      </c>
      <c r="V24" t="s">
        <v>405</v>
      </c>
      <c r="W24" t="s">
        <v>406</v>
      </c>
      <c r="X24" t="s">
        <v>407</v>
      </c>
      <c r="Y24" t="s">
        <v>408</v>
      </c>
      <c r="Z24">
        <v>6</v>
      </c>
      <c r="AA24">
        <v>25309</v>
      </c>
      <c r="AB24" t="s">
        <v>409</v>
      </c>
      <c r="AC24">
        <v>8</v>
      </c>
      <c r="AD24">
        <v>2024</v>
      </c>
      <c r="AE24">
        <v>31</v>
      </c>
      <c r="AF24" t="s">
        <v>410</v>
      </c>
      <c r="AG24">
        <v>9</v>
      </c>
      <c r="AH24">
        <v>13.910821646859</v>
      </c>
      <c r="AI24">
        <v>1.3910821646859</v>
      </c>
      <c r="AJ24" t="s">
        <v>61</v>
      </c>
      <c r="AK24" t="s">
        <v>411</v>
      </c>
      <c r="AL24">
        <v>3</v>
      </c>
      <c r="AM24">
        <v>1</v>
      </c>
      <c r="AN24">
        <v>5</v>
      </c>
      <c r="AO24">
        <v>0.2</v>
      </c>
      <c r="AP24" t="s">
        <v>63</v>
      </c>
      <c r="AQ24" t="s">
        <v>63</v>
      </c>
    </row>
    <row r="25" spans="1:43" x14ac:dyDescent="0.2">
      <c r="A25">
        <v>365177</v>
      </c>
      <c r="B25" t="s">
        <v>412</v>
      </c>
      <c r="C25">
        <v>5.62</v>
      </c>
      <c r="D25">
        <v>1321</v>
      </c>
      <c r="E25" t="s">
        <v>44</v>
      </c>
      <c r="F25" s="1">
        <v>45511</v>
      </c>
      <c r="G25">
        <v>33017367</v>
      </c>
      <c r="H25">
        <v>101</v>
      </c>
      <c r="I25">
        <v>115000000</v>
      </c>
      <c r="J25" t="s">
        <v>413</v>
      </c>
      <c r="K25" t="s">
        <v>46</v>
      </c>
      <c r="L25" t="s">
        <v>412</v>
      </c>
      <c r="M25" t="s">
        <v>414</v>
      </c>
      <c r="N25">
        <v>7.8772000000000002</v>
      </c>
      <c r="O25" t="s">
        <v>415</v>
      </c>
      <c r="P25" t="s">
        <v>416</v>
      </c>
      <c r="Q25" t="s">
        <v>417</v>
      </c>
      <c r="R25" t="s">
        <v>418</v>
      </c>
      <c r="S25" t="s">
        <v>52</v>
      </c>
      <c r="T25" t="s">
        <v>419</v>
      </c>
      <c r="U25" t="s">
        <v>420</v>
      </c>
      <c r="V25" t="s">
        <v>421</v>
      </c>
      <c r="W25" t="s">
        <v>422</v>
      </c>
      <c r="X25" t="s">
        <v>423</v>
      </c>
      <c r="Y25" t="s">
        <v>424</v>
      </c>
      <c r="Z25">
        <v>4.7</v>
      </c>
      <c r="AA25">
        <v>54107</v>
      </c>
      <c r="AB25" t="s">
        <v>425</v>
      </c>
      <c r="AC25">
        <v>8</v>
      </c>
      <c r="AD25">
        <v>2024</v>
      </c>
      <c r="AE25">
        <v>32</v>
      </c>
      <c r="AF25" t="s">
        <v>426</v>
      </c>
      <c r="AG25">
        <v>14</v>
      </c>
      <c r="AH25">
        <v>17.312544284012102</v>
      </c>
      <c r="AI25">
        <v>1.1541696189341399</v>
      </c>
      <c r="AJ25" t="s">
        <v>61</v>
      </c>
      <c r="AK25" t="s">
        <v>427</v>
      </c>
      <c r="AL25">
        <v>41</v>
      </c>
      <c r="AM25">
        <v>2</v>
      </c>
      <c r="AN25">
        <v>48</v>
      </c>
      <c r="AO25">
        <v>0.04</v>
      </c>
      <c r="AP25" t="s">
        <v>63</v>
      </c>
      <c r="AQ25" t="s">
        <v>63</v>
      </c>
    </row>
    <row r="26" spans="1:43" x14ac:dyDescent="0.2">
      <c r="A26">
        <v>1079091</v>
      </c>
      <c r="B26" t="s">
        <v>428</v>
      </c>
      <c r="C26">
        <v>7</v>
      </c>
      <c r="D26">
        <v>1747</v>
      </c>
      <c r="E26" t="s">
        <v>44</v>
      </c>
      <c r="F26" s="1">
        <v>45511</v>
      </c>
      <c r="G26">
        <v>350993761</v>
      </c>
      <c r="H26">
        <v>131</v>
      </c>
      <c r="I26">
        <v>25000000</v>
      </c>
      <c r="J26" t="s">
        <v>429</v>
      </c>
      <c r="K26" t="s">
        <v>46</v>
      </c>
      <c r="L26" t="s">
        <v>428</v>
      </c>
      <c r="M26" t="s">
        <v>430</v>
      </c>
      <c r="N26">
        <v>5.2892999999999999</v>
      </c>
      <c r="O26" t="s">
        <v>431</v>
      </c>
      <c r="P26" t="s">
        <v>432</v>
      </c>
      <c r="Q26" t="s">
        <v>433</v>
      </c>
      <c r="R26" t="s">
        <v>51</v>
      </c>
      <c r="S26" t="s">
        <v>52</v>
      </c>
      <c r="T26" t="s">
        <v>434</v>
      </c>
      <c r="U26" t="s">
        <v>435</v>
      </c>
      <c r="V26" t="s">
        <v>436</v>
      </c>
      <c r="W26" t="s">
        <v>437</v>
      </c>
      <c r="X26" t="s">
        <v>438</v>
      </c>
      <c r="Y26" t="s">
        <v>439</v>
      </c>
      <c r="Z26">
        <v>6.3</v>
      </c>
      <c r="AA26">
        <v>94263</v>
      </c>
      <c r="AB26" t="s">
        <v>440</v>
      </c>
      <c r="AC26">
        <v>8</v>
      </c>
      <c r="AD26">
        <v>2024</v>
      </c>
      <c r="AE26">
        <v>32</v>
      </c>
      <c r="AF26" t="s">
        <v>441</v>
      </c>
      <c r="AG26">
        <v>14</v>
      </c>
      <c r="AH26">
        <v>19.676279009192399</v>
      </c>
      <c r="AI26">
        <v>1.3117519339461601</v>
      </c>
      <c r="AJ26" t="s">
        <v>61</v>
      </c>
      <c r="AK26" t="s">
        <v>442</v>
      </c>
      <c r="AL26">
        <v>44</v>
      </c>
      <c r="AM26">
        <v>1</v>
      </c>
      <c r="AN26">
        <v>46</v>
      </c>
      <c r="AO26">
        <v>0.02</v>
      </c>
      <c r="AP26" t="s">
        <v>63</v>
      </c>
      <c r="AQ26" t="s">
        <v>63</v>
      </c>
    </row>
    <row r="27" spans="1:43" x14ac:dyDescent="0.2">
      <c r="A27">
        <v>945961</v>
      </c>
      <c r="B27" t="s">
        <v>443</v>
      </c>
      <c r="C27">
        <v>7.1749999999999998</v>
      </c>
      <c r="D27">
        <v>4079</v>
      </c>
      <c r="E27" t="s">
        <v>44</v>
      </c>
      <c r="F27" s="1">
        <v>45517</v>
      </c>
      <c r="G27">
        <v>350865342</v>
      </c>
      <c r="H27">
        <v>119</v>
      </c>
      <c r="I27">
        <v>80000000</v>
      </c>
      <c r="J27" t="s">
        <v>444</v>
      </c>
      <c r="K27" t="s">
        <v>46</v>
      </c>
      <c r="L27" t="s">
        <v>443</v>
      </c>
      <c r="M27" t="s">
        <v>445</v>
      </c>
      <c r="N27">
        <v>23.622199999999999</v>
      </c>
      <c r="O27" t="s">
        <v>446</v>
      </c>
      <c r="P27" t="s">
        <v>447</v>
      </c>
      <c r="Q27" t="s">
        <v>448</v>
      </c>
      <c r="R27" t="s">
        <v>51</v>
      </c>
      <c r="S27" t="s">
        <v>52</v>
      </c>
      <c r="T27" t="s">
        <v>449</v>
      </c>
      <c r="U27" t="s">
        <v>450</v>
      </c>
      <c r="V27" t="s">
        <v>451</v>
      </c>
      <c r="W27" t="s">
        <v>452</v>
      </c>
      <c r="X27" t="s">
        <v>453</v>
      </c>
      <c r="Y27" t="s">
        <v>233</v>
      </c>
      <c r="Z27">
        <v>7.1</v>
      </c>
      <c r="AA27">
        <v>272175</v>
      </c>
      <c r="AB27" t="s">
        <v>454</v>
      </c>
      <c r="AC27">
        <v>8</v>
      </c>
      <c r="AD27">
        <v>2024</v>
      </c>
      <c r="AE27">
        <v>33</v>
      </c>
      <c r="AF27" t="s">
        <v>455</v>
      </c>
      <c r="AG27">
        <v>20</v>
      </c>
      <c r="AH27">
        <v>19.6759130696455</v>
      </c>
      <c r="AI27">
        <v>0.93694824141169197</v>
      </c>
      <c r="AJ27" t="s">
        <v>61</v>
      </c>
      <c r="AK27" t="s">
        <v>456</v>
      </c>
      <c r="AL27">
        <v>52</v>
      </c>
      <c r="AM27">
        <v>2</v>
      </c>
      <c r="AN27">
        <v>61</v>
      </c>
      <c r="AO27">
        <v>0.03</v>
      </c>
      <c r="AP27" t="s">
        <v>63</v>
      </c>
      <c r="AQ27" t="s">
        <v>63</v>
      </c>
    </row>
    <row r="28" spans="1:43" x14ac:dyDescent="0.2">
      <c r="A28">
        <v>1029281</v>
      </c>
      <c r="B28" t="s">
        <v>457</v>
      </c>
      <c r="C28">
        <v>6.91</v>
      </c>
      <c r="D28">
        <v>757</v>
      </c>
      <c r="E28" t="s">
        <v>44</v>
      </c>
      <c r="F28" s="1">
        <v>45518</v>
      </c>
      <c r="G28">
        <v>4853595</v>
      </c>
      <c r="H28">
        <v>98</v>
      </c>
      <c r="I28">
        <v>4000000</v>
      </c>
      <c r="J28" t="s">
        <v>458</v>
      </c>
      <c r="K28" t="s">
        <v>46</v>
      </c>
      <c r="L28" t="s">
        <v>457</v>
      </c>
      <c r="M28" t="s">
        <v>459</v>
      </c>
      <c r="N28">
        <v>21.007400000000001</v>
      </c>
      <c r="O28" t="s">
        <v>460</v>
      </c>
      <c r="P28" t="s">
        <v>241</v>
      </c>
      <c r="Q28" t="s">
        <v>461</v>
      </c>
      <c r="R28" t="s">
        <v>51</v>
      </c>
      <c r="S28" t="s">
        <v>52</v>
      </c>
      <c r="T28" t="s">
        <v>462</v>
      </c>
      <c r="U28" t="s">
        <v>463</v>
      </c>
      <c r="V28" t="s">
        <v>464</v>
      </c>
      <c r="W28" t="s">
        <v>463</v>
      </c>
      <c r="X28" t="s">
        <v>465</v>
      </c>
      <c r="Y28" t="s">
        <v>466</v>
      </c>
      <c r="Z28">
        <v>7</v>
      </c>
      <c r="AA28">
        <v>64035</v>
      </c>
      <c r="AB28" t="s">
        <v>467</v>
      </c>
      <c r="AC28">
        <v>8</v>
      </c>
      <c r="AD28">
        <v>2024</v>
      </c>
      <c r="AE28">
        <v>33</v>
      </c>
      <c r="AF28" t="s">
        <v>468</v>
      </c>
      <c r="AG28">
        <v>21</v>
      </c>
      <c r="AH28">
        <v>15.3952304314793</v>
      </c>
      <c r="AI28">
        <v>0.69978320143087902</v>
      </c>
      <c r="AJ28" t="s">
        <v>61</v>
      </c>
      <c r="AK28" t="s">
        <v>469</v>
      </c>
      <c r="AL28">
        <v>29</v>
      </c>
      <c r="AM28">
        <v>2</v>
      </c>
      <c r="AN28">
        <v>48</v>
      </c>
      <c r="AO28">
        <v>0.04</v>
      </c>
      <c r="AP28" t="s">
        <v>63</v>
      </c>
      <c r="AQ28" t="s">
        <v>63</v>
      </c>
    </row>
    <row r="29" spans="1:43" x14ac:dyDescent="0.2">
      <c r="A29">
        <v>1064028</v>
      </c>
      <c r="B29" t="s">
        <v>470</v>
      </c>
      <c r="C29">
        <v>6.6420000000000003</v>
      </c>
      <c r="D29">
        <v>885</v>
      </c>
      <c r="E29" t="s">
        <v>44</v>
      </c>
      <c r="F29" s="1">
        <v>45519</v>
      </c>
      <c r="G29">
        <v>262793</v>
      </c>
      <c r="H29">
        <v>105</v>
      </c>
      <c r="I29">
        <v>4400000</v>
      </c>
      <c r="J29" t="s">
        <v>471</v>
      </c>
      <c r="K29" t="s">
        <v>46</v>
      </c>
      <c r="L29" t="s">
        <v>470</v>
      </c>
      <c r="M29" t="s">
        <v>472</v>
      </c>
      <c r="N29">
        <v>7.5909000000000004</v>
      </c>
      <c r="O29" t="s">
        <v>473</v>
      </c>
      <c r="P29" t="s">
        <v>474</v>
      </c>
      <c r="Q29" t="s">
        <v>475</v>
      </c>
      <c r="R29" t="s">
        <v>51</v>
      </c>
      <c r="S29" t="s">
        <v>52</v>
      </c>
      <c r="T29" t="s">
        <v>476</v>
      </c>
      <c r="U29" t="s">
        <v>477</v>
      </c>
      <c r="V29" t="s">
        <v>478</v>
      </c>
      <c r="W29" t="s">
        <v>479</v>
      </c>
      <c r="X29" t="s">
        <v>480</v>
      </c>
      <c r="Y29" t="s">
        <v>481</v>
      </c>
      <c r="Z29">
        <v>5.4</v>
      </c>
      <c r="AA29">
        <v>33219</v>
      </c>
      <c r="AB29" t="s">
        <v>482</v>
      </c>
      <c r="AC29">
        <v>8</v>
      </c>
      <c r="AD29">
        <v>2024</v>
      </c>
      <c r="AE29">
        <v>33</v>
      </c>
      <c r="AF29" t="s">
        <v>483</v>
      </c>
      <c r="AG29">
        <v>22</v>
      </c>
      <c r="AH29">
        <v>12.4791257342817</v>
      </c>
      <c r="AI29">
        <v>0.54257068409920495</v>
      </c>
      <c r="AJ29" t="s">
        <v>61</v>
      </c>
      <c r="AK29" t="s">
        <v>484</v>
      </c>
      <c r="AL29">
        <v>19</v>
      </c>
      <c r="AM29">
        <v>8</v>
      </c>
      <c r="AN29">
        <v>32</v>
      </c>
      <c r="AO29">
        <v>0.25</v>
      </c>
      <c r="AP29" t="s">
        <v>63</v>
      </c>
      <c r="AQ29" t="s">
        <v>63</v>
      </c>
    </row>
    <row r="30" spans="1:43" x14ac:dyDescent="0.2">
      <c r="A30">
        <v>1209058</v>
      </c>
      <c r="B30" t="s">
        <v>485</v>
      </c>
      <c r="C30">
        <v>4</v>
      </c>
      <c r="D30">
        <v>5</v>
      </c>
      <c r="E30" t="s">
        <v>44</v>
      </c>
      <c r="F30" s="1">
        <v>45520</v>
      </c>
      <c r="G30">
        <v>624492</v>
      </c>
      <c r="H30">
        <v>80</v>
      </c>
      <c r="I30">
        <v>10000000</v>
      </c>
      <c r="J30" t="s">
        <v>486</v>
      </c>
      <c r="K30" t="s">
        <v>46</v>
      </c>
      <c r="L30" t="s">
        <v>485</v>
      </c>
      <c r="M30" t="s">
        <v>487</v>
      </c>
      <c r="N30">
        <v>0.29559999999999997</v>
      </c>
      <c r="O30" t="s">
        <v>488</v>
      </c>
      <c r="P30" t="s">
        <v>489</v>
      </c>
      <c r="Q30" t="s">
        <v>490</v>
      </c>
      <c r="R30" t="s">
        <v>491</v>
      </c>
      <c r="S30" t="s">
        <v>52</v>
      </c>
      <c r="T30" t="s">
        <v>492</v>
      </c>
      <c r="U30" t="s">
        <v>493</v>
      </c>
      <c r="V30" t="s">
        <v>494</v>
      </c>
      <c r="W30" t="s">
        <v>495</v>
      </c>
      <c r="X30" t="s">
        <v>496</v>
      </c>
      <c r="Y30" t="s">
        <v>497</v>
      </c>
      <c r="Z30">
        <v>1.7</v>
      </c>
      <c r="AA30">
        <v>798</v>
      </c>
      <c r="AB30" t="s">
        <v>498</v>
      </c>
      <c r="AC30">
        <v>8</v>
      </c>
      <c r="AD30">
        <v>2024</v>
      </c>
      <c r="AE30">
        <v>33</v>
      </c>
      <c r="AF30" t="s">
        <v>499</v>
      </c>
      <c r="AG30">
        <v>23</v>
      </c>
      <c r="AH30">
        <v>13.3446953995177</v>
      </c>
      <c r="AI30">
        <v>0.556028974979907</v>
      </c>
      <c r="AJ30" t="s">
        <v>61</v>
      </c>
      <c r="AK30" t="s">
        <v>500</v>
      </c>
      <c r="AL30">
        <v>1</v>
      </c>
      <c r="AM30">
        <v>0</v>
      </c>
      <c r="AN30">
        <v>3</v>
      </c>
      <c r="AO30">
        <v>0</v>
      </c>
      <c r="AP30" t="s">
        <v>63</v>
      </c>
      <c r="AQ30" t="s">
        <v>63</v>
      </c>
    </row>
    <row r="31" spans="1:43" x14ac:dyDescent="0.2">
      <c r="A31">
        <v>957452</v>
      </c>
      <c r="B31" t="s">
        <v>501</v>
      </c>
      <c r="C31">
        <v>5.8</v>
      </c>
      <c r="D31">
        <v>1153</v>
      </c>
      <c r="E31" t="s">
        <v>44</v>
      </c>
      <c r="F31" s="1">
        <v>45525</v>
      </c>
      <c r="G31">
        <v>24109036</v>
      </c>
      <c r="H31">
        <v>111</v>
      </c>
      <c r="I31">
        <v>50000000</v>
      </c>
      <c r="J31" t="s">
        <v>502</v>
      </c>
      <c r="K31" t="s">
        <v>46</v>
      </c>
      <c r="L31" t="s">
        <v>501</v>
      </c>
      <c r="M31" t="s">
        <v>503</v>
      </c>
      <c r="N31">
        <v>15.066700000000001</v>
      </c>
      <c r="O31" t="s">
        <v>504</v>
      </c>
      <c r="P31" t="s">
        <v>505</v>
      </c>
      <c r="Q31" t="s">
        <v>506</v>
      </c>
      <c r="R31" t="s">
        <v>507</v>
      </c>
      <c r="S31" t="s">
        <v>52</v>
      </c>
      <c r="T31" t="s">
        <v>508</v>
      </c>
      <c r="U31" t="s">
        <v>509</v>
      </c>
      <c r="V31" t="s">
        <v>510</v>
      </c>
      <c r="W31" t="s">
        <v>511</v>
      </c>
      <c r="X31" t="s">
        <v>512</v>
      </c>
      <c r="Y31" t="s">
        <v>513</v>
      </c>
      <c r="Z31">
        <v>4.7</v>
      </c>
      <c r="AA31">
        <v>39315</v>
      </c>
      <c r="AB31" t="s">
        <v>514</v>
      </c>
      <c r="AC31">
        <v>8</v>
      </c>
      <c r="AD31">
        <v>2024</v>
      </c>
      <c r="AE31">
        <v>34</v>
      </c>
      <c r="AF31" t="s">
        <v>515</v>
      </c>
      <c r="AG31">
        <v>28</v>
      </c>
      <c r="AH31">
        <v>16.9980973074268</v>
      </c>
      <c r="AI31">
        <v>0.58614128646299402</v>
      </c>
      <c r="AJ31" t="s">
        <v>61</v>
      </c>
      <c r="AK31" t="s">
        <v>516</v>
      </c>
      <c r="AL31">
        <v>42</v>
      </c>
      <c r="AM31">
        <v>1</v>
      </c>
      <c r="AN31">
        <v>46</v>
      </c>
      <c r="AO31">
        <v>0.02</v>
      </c>
      <c r="AP31" t="s">
        <v>63</v>
      </c>
      <c r="AQ31" t="s">
        <v>63</v>
      </c>
    </row>
    <row r="32" spans="1:43" x14ac:dyDescent="0.2">
      <c r="A32">
        <v>974950</v>
      </c>
      <c r="B32" t="s">
        <v>517</v>
      </c>
      <c r="C32">
        <v>6.5110000000000001</v>
      </c>
      <c r="D32">
        <v>1830</v>
      </c>
      <c r="E32" t="s">
        <v>44</v>
      </c>
      <c r="F32" s="1">
        <v>45525</v>
      </c>
      <c r="G32">
        <v>16302703</v>
      </c>
      <c r="H32">
        <v>132</v>
      </c>
      <c r="I32">
        <v>26000000</v>
      </c>
      <c r="J32" t="s">
        <v>518</v>
      </c>
      <c r="K32" t="s">
        <v>519</v>
      </c>
      <c r="L32" t="s">
        <v>517</v>
      </c>
      <c r="M32" t="s">
        <v>520</v>
      </c>
      <c r="N32">
        <v>3.6717</v>
      </c>
      <c r="O32" t="s">
        <v>521</v>
      </c>
      <c r="P32" t="s">
        <v>401</v>
      </c>
      <c r="Q32" t="s">
        <v>522</v>
      </c>
      <c r="R32" t="s">
        <v>523</v>
      </c>
      <c r="S32" t="s">
        <v>524</v>
      </c>
      <c r="T32" t="s">
        <v>525</v>
      </c>
      <c r="U32" t="s">
        <v>526</v>
      </c>
      <c r="V32" t="s">
        <v>527</v>
      </c>
      <c r="W32" t="s">
        <v>528</v>
      </c>
      <c r="X32" t="s">
        <v>529</v>
      </c>
      <c r="Y32" t="s">
        <v>530</v>
      </c>
      <c r="Z32">
        <v>5.4</v>
      </c>
      <c r="AA32">
        <v>95024</v>
      </c>
      <c r="AB32" t="s">
        <v>531</v>
      </c>
      <c r="AC32">
        <v>8</v>
      </c>
      <c r="AD32">
        <v>2024</v>
      </c>
      <c r="AE32">
        <v>34</v>
      </c>
      <c r="AF32" t="s">
        <v>532</v>
      </c>
      <c r="AG32">
        <v>28</v>
      </c>
      <c r="AH32">
        <v>16.606841541589301</v>
      </c>
      <c r="AI32">
        <v>0.57264970833066797</v>
      </c>
      <c r="AJ32" t="s">
        <v>61</v>
      </c>
      <c r="AK32" t="s">
        <v>533</v>
      </c>
      <c r="AL32">
        <v>31</v>
      </c>
      <c r="AM32">
        <v>15</v>
      </c>
      <c r="AN32">
        <v>90</v>
      </c>
      <c r="AO32">
        <v>0.17</v>
      </c>
      <c r="AP32" t="s">
        <v>63</v>
      </c>
      <c r="AQ32" t="s">
        <v>63</v>
      </c>
    </row>
    <row r="33" spans="1:43" hidden="1" x14ac:dyDescent="0.2">
      <c r="A33">
        <v>970347</v>
      </c>
      <c r="B33" t="s">
        <v>534</v>
      </c>
      <c r="C33">
        <v>6.2939999999999996</v>
      </c>
      <c r="D33">
        <v>464</v>
      </c>
      <c r="E33" t="s">
        <v>44</v>
      </c>
      <c r="F33" s="1">
        <v>45526</v>
      </c>
      <c r="G33">
        <v>318618</v>
      </c>
      <c r="H33">
        <v>126</v>
      </c>
      <c r="I33">
        <v>30000000</v>
      </c>
      <c r="J33" t="s">
        <v>535</v>
      </c>
      <c r="K33" t="s">
        <v>46</v>
      </c>
      <c r="L33" t="s">
        <v>534</v>
      </c>
      <c r="M33" t="s">
        <v>536</v>
      </c>
      <c r="N33">
        <v>7.9545000000000003</v>
      </c>
      <c r="O33" t="s">
        <v>537</v>
      </c>
      <c r="P33" t="s">
        <v>538</v>
      </c>
      <c r="Q33" t="s">
        <v>539</v>
      </c>
      <c r="R33" t="s">
        <v>243</v>
      </c>
      <c r="S33" t="s">
        <v>540</v>
      </c>
      <c r="T33" t="s">
        <v>541</v>
      </c>
      <c r="U33" t="s">
        <v>542</v>
      </c>
      <c r="V33" t="s">
        <v>543</v>
      </c>
      <c r="W33" t="s">
        <v>544</v>
      </c>
      <c r="X33" t="s">
        <v>545</v>
      </c>
      <c r="Y33" t="s">
        <v>546</v>
      </c>
      <c r="Z33">
        <v>5.7</v>
      </c>
      <c r="AA33">
        <v>15755</v>
      </c>
      <c r="AB33" t="s">
        <v>547</v>
      </c>
      <c r="AC33">
        <v>8</v>
      </c>
      <c r="AD33">
        <v>2024</v>
      </c>
      <c r="AE33">
        <v>34</v>
      </c>
      <c r="AF33" t="s">
        <v>548</v>
      </c>
      <c r="AG33">
        <v>29</v>
      </c>
      <c r="AH33">
        <v>12.671751310587</v>
      </c>
      <c r="AI33">
        <v>0.42239171035290002</v>
      </c>
      <c r="AJ33" t="s">
        <v>61</v>
      </c>
      <c r="AK33" t="s">
        <v>549</v>
      </c>
      <c r="AL33">
        <v>2</v>
      </c>
      <c r="AM33">
        <v>8</v>
      </c>
      <c r="AN33">
        <v>13</v>
      </c>
      <c r="AO33">
        <v>0.62</v>
      </c>
      <c r="AP33" t="s">
        <v>550</v>
      </c>
      <c r="AQ33" t="s">
        <v>63</v>
      </c>
    </row>
    <row r="34" spans="1:43" x14ac:dyDescent="0.2">
      <c r="A34">
        <v>1186532</v>
      </c>
      <c r="B34" t="s">
        <v>551</v>
      </c>
      <c r="C34">
        <v>8.3000000000000007</v>
      </c>
      <c r="D34">
        <v>298</v>
      </c>
      <c r="E34" t="s">
        <v>44</v>
      </c>
      <c r="F34" s="1">
        <v>45526</v>
      </c>
      <c r="G34">
        <v>40392664</v>
      </c>
      <c r="H34">
        <v>123</v>
      </c>
      <c r="I34">
        <v>5000000</v>
      </c>
      <c r="J34" t="s">
        <v>552</v>
      </c>
      <c r="K34" t="s">
        <v>46</v>
      </c>
      <c r="L34" t="s">
        <v>551</v>
      </c>
      <c r="M34" t="s">
        <v>553</v>
      </c>
      <c r="N34">
        <v>6.4558999999999997</v>
      </c>
      <c r="O34" t="s">
        <v>554</v>
      </c>
      <c r="P34" t="s">
        <v>555</v>
      </c>
      <c r="Q34" t="s">
        <v>556</v>
      </c>
      <c r="R34" t="s">
        <v>51</v>
      </c>
      <c r="S34" t="s">
        <v>52</v>
      </c>
      <c r="T34" t="s">
        <v>557</v>
      </c>
      <c r="U34" t="s">
        <v>558</v>
      </c>
      <c r="V34" t="s">
        <v>559</v>
      </c>
      <c r="W34" t="s">
        <v>560</v>
      </c>
      <c r="X34" t="s">
        <v>561</v>
      </c>
      <c r="Y34" t="s">
        <v>562</v>
      </c>
      <c r="Z34">
        <v>6.8</v>
      </c>
      <c r="AA34">
        <v>5553</v>
      </c>
      <c r="AB34" t="s">
        <v>563</v>
      </c>
      <c r="AC34">
        <v>8</v>
      </c>
      <c r="AD34">
        <v>2024</v>
      </c>
      <c r="AE34">
        <v>34</v>
      </c>
      <c r="AF34" t="s">
        <v>564</v>
      </c>
      <c r="AG34">
        <v>29</v>
      </c>
      <c r="AH34">
        <v>17.514158767041501</v>
      </c>
      <c r="AI34">
        <v>0.583805292234717</v>
      </c>
      <c r="AJ34" t="s">
        <v>61</v>
      </c>
      <c r="AK34" t="s">
        <v>565</v>
      </c>
      <c r="AL34">
        <v>10</v>
      </c>
      <c r="AM34">
        <v>2</v>
      </c>
      <c r="AN34">
        <v>13</v>
      </c>
      <c r="AO34">
        <v>0.15</v>
      </c>
      <c r="AP34" t="s">
        <v>63</v>
      </c>
      <c r="AQ34" t="s">
        <v>63</v>
      </c>
    </row>
    <row r="35" spans="1:43" x14ac:dyDescent="0.2">
      <c r="A35">
        <v>1225377</v>
      </c>
      <c r="B35" t="s">
        <v>566</v>
      </c>
      <c r="C35">
        <v>4.2</v>
      </c>
      <c r="D35">
        <v>114</v>
      </c>
      <c r="E35" t="s">
        <v>44</v>
      </c>
      <c r="F35" s="1">
        <v>45527</v>
      </c>
      <c r="G35">
        <v>5737</v>
      </c>
      <c r="H35">
        <v>80</v>
      </c>
      <c r="I35">
        <v>800000</v>
      </c>
      <c r="J35" t="s">
        <v>567</v>
      </c>
      <c r="K35" t="s">
        <v>46</v>
      </c>
      <c r="L35" t="s">
        <v>566</v>
      </c>
      <c r="M35" t="s">
        <v>568</v>
      </c>
      <c r="N35">
        <v>2.9523999999999999</v>
      </c>
      <c r="O35" t="s">
        <v>569</v>
      </c>
      <c r="P35" t="s">
        <v>197</v>
      </c>
      <c r="Q35" t="s">
        <v>570</v>
      </c>
      <c r="R35" t="s">
        <v>571</v>
      </c>
      <c r="S35" t="s">
        <v>52</v>
      </c>
      <c r="T35" t="s">
        <v>572</v>
      </c>
      <c r="U35" t="s">
        <v>573</v>
      </c>
      <c r="V35" t="s">
        <v>573</v>
      </c>
      <c r="W35" t="s">
        <v>574</v>
      </c>
      <c r="X35" t="s">
        <v>575</v>
      </c>
      <c r="Y35" t="s">
        <v>576</v>
      </c>
      <c r="Z35">
        <v>2.4</v>
      </c>
      <c r="AA35">
        <v>4011</v>
      </c>
      <c r="AB35" t="s">
        <v>577</v>
      </c>
      <c r="AC35">
        <v>8</v>
      </c>
      <c r="AD35">
        <v>2024</v>
      </c>
      <c r="AE35">
        <v>34</v>
      </c>
      <c r="AF35" t="s">
        <v>578</v>
      </c>
      <c r="AG35">
        <v>30</v>
      </c>
      <c r="AH35">
        <v>8.6548659965413108</v>
      </c>
      <c r="AI35">
        <v>0.27918922569488003</v>
      </c>
      <c r="AJ35" t="s">
        <v>61</v>
      </c>
      <c r="AK35" t="s">
        <v>579</v>
      </c>
      <c r="AL35">
        <v>7</v>
      </c>
      <c r="AM35">
        <v>5</v>
      </c>
      <c r="AN35">
        <v>15</v>
      </c>
      <c r="AO35">
        <v>0.33</v>
      </c>
      <c r="AP35" t="s">
        <v>63</v>
      </c>
      <c r="AQ35" t="s">
        <v>63</v>
      </c>
    </row>
    <row r="36" spans="1:43" x14ac:dyDescent="0.2">
      <c r="A36">
        <v>1062215</v>
      </c>
      <c r="B36" t="s">
        <v>580</v>
      </c>
      <c r="C36">
        <v>5.9</v>
      </c>
      <c r="D36">
        <v>445</v>
      </c>
      <c r="E36" t="s">
        <v>44</v>
      </c>
      <c r="F36" s="1">
        <v>45532</v>
      </c>
      <c r="G36">
        <v>12977758</v>
      </c>
      <c r="H36">
        <v>84</v>
      </c>
      <c r="I36">
        <v>12000000</v>
      </c>
      <c r="J36" t="s">
        <v>581</v>
      </c>
      <c r="K36" t="s">
        <v>46</v>
      </c>
      <c r="L36" t="s">
        <v>580</v>
      </c>
      <c r="M36" t="s">
        <v>582</v>
      </c>
      <c r="N36">
        <v>5.7785000000000002</v>
      </c>
      <c r="O36" t="s">
        <v>583</v>
      </c>
      <c r="P36" t="s">
        <v>129</v>
      </c>
      <c r="Q36" t="s">
        <v>584</v>
      </c>
      <c r="R36" t="s">
        <v>51</v>
      </c>
      <c r="S36" t="s">
        <v>52</v>
      </c>
      <c r="T36" t="s">
        <v>585</v>
      </c>
      <c r="U36" t="s">
        <v>586</v>
      </c>
      <c r="V36" t="s">
        <v>587</v>
      </c>
      <c r="W36" t="s">
        <v>586</v>
      </c>
      <c r="X36" t="s">
        <v>588</v>
      </c>
      <c r="Y36" t="s">
        <v>589</v>
      </c>
      <c r="Z36">
        <v>5.2</v>
      </c>
      <c r="AA36">
        <v>16093</v>
      </c>
      <c r="AB36" t="s">
        <v>590</v>
      </c>
      <c r="AC36">
        <v>8</v>
      </c>
      <c r="AD36">
        <v>2024</v>
      </c>
      <c r="AE36">
        <v>35</v>
      </c>
      <c r="AF36" t="s">
        <v>591</v>
      </c>
      <c r="AG36">
        <v>35</v>
      </c>
      <c r="AH36">
        <v>16.3787476041033</v>
      </c>
      <c r="AI36">
        <v>0.45496521122509198</v>
      </c>
      <c r="AJ36" t="s">
        <v>61</v>
      </c>
      <c r="AK36" t="s">
        <v>592</v>
      </c>
      <c r="AL36">
        <v>20</v>
      </c>
      <c r="AM36">
        <v>3</v>
      </c>
      <c r="AN36">
        <v>25</v>
      </c>
      <c r="AO36">
        <v>0.12</v>
      </c>
      <c r="AP36" t="s">
        <v>63</v>
      </c>
      <c r="AQ36" t="s">
        <v>63</v>
      </c>
    </row>
    <row r="37" spans="1:43" hidden="1" x14ac:dyDescent="0.2">
      <c r="A37">
        <v>413846</v>
      </c>
      <c r="B37">
        <v>1992</v>
      </c>
      <c r="C37">
        <v>6.9</v>
      </c>
      <c r="D37">
        <v>177</v>
      </c>
      <c r="E37" t="s">
        <v>44</v>
      </c>
      <c r="F37" s="1">
        <v>45533</v>
      </c>
      <c r="G37">
        <v>2900000</v>
      </c>
      <c r="H37">
        <v>96</v>
      </c>
      <c r="I37">
        <v>6500000</v>
      </c>
      <c r="J37" t="s">
        <v>593</v>
      </c>
      <c r="K37" t="s">
        <v>46</v>
      </c>
      <c r="L37">
        <v>1992</v>
      </c>
      <c r="M37" t="s">
        <v>594</v>
      </c>
      <c r="N37">
        <v>4.4150999999999998</v>
      </c>
      <c r="O37" t="s">
        <v>595</v>
      </c>
      <c r="P37" t="s">
        <v>596</v>
      </c>
      <c r="Q37" t="s">
        <v>597</v>
      </c>
      <c r="R37" t="s">
        <v>51</v>
      </c>
      <c r="S37" t="s">
        <v>52</v>
      </c>
      <c r="T37" t="s">
        <v>598</v>
      </c>
      <c r="U37" t="s">
        <v>599</v>
      </c>
      <c r="V37" t="s">
        <v>600</v>
      </c>
      <c r="W37" t="s">
        <v>601</v>
      </c>
      <c r="X37" t="s">
        <v>602</v>
      </c>
      <c r="Y37" t="s">
        <v>603</v>
      </c>
      <c r="Z37">
        <v>5.7</v>
      </c>
      <c r="AA37">
        <v>4149</v>
      </c>
      <c r="AB37" t="s">
        <v>604</v>
      </c>
      <c r="AC37">
        <v>8</v>
      </c>
      <c r="AD37">
        <v>2024</v>
      </c>
      <c r="AE37">
        <v>35</v>
      </c>
      <c r="AF37">
        <v>1992</v>
      </c>
      <c r="AG37">
        <v>36</v>
      </c>
      <c r="AH37">
        <v>14.8802216397842</v>
      </c>
      <c r="AI37">
        <v>0.40216815242659998</v>
      </c>
      <c r="AJ37" t="s">
        <v>61</v>
      </c>
      <c r="AK37" t="s">
        <v>605</v>
      </c>
      <c r="AL37">
        <v>2</v>
      </c>
      <c r="AM37">
        <v>8</v>
      </c>
      <c r="AN37">
        <v>18</v>
      </c>
      <c r="AO37">
        <v>0.44</v>
      </c>
      <c r="AP37" t="s">
        <v>550</v>
      </c>
      <c r="AQ37" t="s">
        <v>63</v>
      </c>
    </row>
    <row r="38" spans="1:43" x14ac:dyDescent="0.2">
      <c r="A38">
        <v>647245</v>
      </c>
      <c r="B38" t="s">
        <v>606</v>
      </c>
      <c r="C38">
        <v>6.3</v>
      </c>
      <c r="D38">
        <v>102</v>
      </c>
      <c r="E38" t="s">
        <v>44</v>
      </c>
      <c r="F38" s="1">
        <v>45533</v>
      </c>
      <c r="G38">
        <v>30107173</v>
      </c>
      <c r="H38">
        <v>141</v>
      </c>
      <c r="I38">
        <v>25000000</v>
      </c>
      <c r="J38" t="s">
        <v>607</v>
      </c>
      <c r="K38" t="s">
        <v>46</v>
      </c>
      <c r="L38" t="s">
        <v>606</v>
      </c>
      <c r="M38" t="s">
        <v>608</v>
      </c>
      <c r="N38">
        <v>4.6868999999999996</v>
      </c>
      <c r="O38" t="s">
        <v>609</v>
      </c>
      <c r="P38" t="s">
        <v>610</v>
      </c>
      <c r="Q38" t="s">
        <v>611</v>
      </c>
      <c r="R38" t="s">
        <v>51</v>
      </c>
      <c r="S38" t="s">
        <v>612</v>
      </c>
      <c r="T38" t="s">
        <v>613</v>
      </c>
      <c r="U38" t="s">
        <v>614</v>
      </c>
      <c r="V38" t="s">
        <v>615</v>
      </c>
      <c r="W38" t="s">
        <v>616</v>
      </c>
      <c r="X38" t="s">
        <v>617</v>
      </c>
      <c r="Y38" t="s">
        <v>618</v>
      </c>
      <c r="Z38">
        <v>6.1</v>
      </c>
      <c r="AA38">
        <v>12343</v>
      </c>
      <c r="AB38" t="s">
        <v>619</v>
      </c>
      <c r="AC38">
        <v>8</v>
      </c>
      <c r="AD38">
        <v>2024</v>
      </c>
      <c r="AE38">
        <v>35</v>
      </c>
      <c r="AF38" t="s">
        <v>620</v>
      </c>
      <c r="AG38">
        <v>36</v>
      </c>
      <c r="AH38">
        <v>17.220274040191299</v>
      </c>
      <c r="AI38">
        <v>0.46541281189706302</v>
      </c>
      <c r="AJ38" t="s">
        <v>61</v>
      </c>
      <c r="AK38" t="s">
        <v>621</v>
      </c>
      <c r="AL38">
        <v>7</v>
      </c>
      <c r="AM38">
        <v>4</v>
      </c>
      <c r="AN38">
        <v>14</v>
      </c>
      <c r="AO38">
        <v>0.28999999999999998</v>
      </c>
      <c r="AP38" t="s">
        <v>63</v>
      </c>
      <c r="AQ38" t="s">
        <v>63</v>
      </c>
    </row>
    <row r="39" spans="1:43" hidden="1" x14ac:dyDescent="0.2">
      <c r="A39">
        <v>949484</v>
      </c>
      <c r="B39" t="s">
        <v>622</v>
      </c>
      <c r="C39">
        <v>6.3</v>
      </c>
      <c r="D39">
        <v>155</v>
      </c>
      <c r="E39" t="s">
        <v>44</v>
      </c>
      <c r="F39" s="1">
        <v>45533</v>
      </c>
      <c r="G39">
        <v>126540</v>
      </c>
      <c r="H39">
        <v>94</v>
      </c>
      <c r="I39">
        <v>13000000</v>
      </c>
      <c r="J39" t="s">
        <v>623</v>
      </c>
      <c r="K39" t="s">
        <v>46</v>
      </c>
      <c r="L39" t="s">
        <v>622</v>
      </c>
      <c r="M39" t="s">
        <v>624</v>
      </c>
      <c r="N39">
        <v>5.8451000000000004</v>
      </c>
      <c r="O39" t="s">
        <v>625</v>
      </c>
      <c r="P39" t="s">
        <v>226</v>
      </c>
      <c r="Q39" t="s">
        <v>626</v>
      </c>
      <c r="R39" t="s">
        <v>51</v>
      </c>
      <c r="S39" t="s">
        <v>52</v>
      </c>
      <c r="T39" t="s">
        <v>627</v>
      </c>
      <c r="U39" t="s">
        <v>628</v>
      </c>
      <c r="V39" t="s">
        <v>629</v>
      </c>
      <c r="W39" t="s">
        <v>630</v>
      </c>
      <c r="X39" t="s">
        <v>631</v>
      </c>
      <c r="Y39" t="s">
        <v>632</v>
      </c>
      <c r="Z39">
        <v>4.5999999999999996</v>
      </c>
      <c r="AA39">
        <v>2207</v>
      </c>
      <c r="AB39" t="s">
        <v>633</v>
      </c>
      <c r="AC39">
        <v>8</v>
      </c>
      <c r="AD39">
        <v>2024</v>
      </c>
      <c r="AE39">
        <v>35</v>
      </c>
      <c r="AF39" t="s">
        <v>634</v>
      </c>
      <c r="AG39">
        <v>36</v>
      </c>
      <c r="AH39">
        <v>11.748321645309099</v>
      </c>
      <c r="AI39">
        <v>0.31752220662997599</v>
      </c>
      <c r="AJ39" t="s">
        <v>61</v>
      </c>
      <c r="AK39" t="s">
        <v>635</v>
      </c>
      <c r="AL39">
        <v>4</v>
      </c>
      <c r="AM39">
        <v>9</v>
      </c>
      <c r="AN39">
        <v>15</v>
      </c>
      <c r="AO39">
        <v>0.6</v>
      </c>
      <c r="AP39" t="s">
        <v>550</v>
      </c>
      <c r="AQ39" t="s">
        <v>63</v>
      </c>
    </row>
    <row r="40" spans="1:43" x14ac:dyDescent="0.2">
      <c r="A40">
        <v>1087822</v>
      </c>
      <c r="B40" t="s">
        <v>636</v>
      </c>
      <c r="C40">
        <v>5.2</v>
      </c>
      <c r="D40">
        <v>470</v>
      </c>
      <c r="E40" t="s">
        <v>44</v>
      </c>
      <c r="F40" s="1">
        <v>45533</v>
      </c>
      <c r="G40">
        <v>2014050</v>
      </c>
      <c r="H40">
        <v>100</v>
      </c>
      <c r="I40">
        <v>20000000</v>
      </c>
      <c r="J40" t="s">
        <v>637</v>
      </c>
      <c r="K40" t="s">
        <v>46</v>
      </c>
      <c r="L40" t="s">
        <v>636</v>
      </c>
      <c r="M40" t="s">
        <v>638</v>
      </c>
      <c r="N40">
        <v>7.1967999999999996</v>
      </c>
      <c r="O40" t="s">
        <v>639</v>
      </c>
      <c r="P40" t="s">
        <v>640</v>
      </c>
      <c r="Q40" t="s">
        <v>641</v>
      </c>
      <c r="R40" t="s">
        <v>642</v>
      </c>
      <c r="S40" t="s">
        <v>52</v>
      </c>
      <c r="T40" t="s">
        <v>643</v>
      </c>
      <c r="U40" t="s">
        <v>644</v>
      </c>
      <c r="V40" t="s">
        <v>645</v>
      </c>
      <c r="W40" t="s">
        <v>646</v>
      </c>
      <c r="X40" t="s">
        <v>647</v>
      </c>
      <c r="Y40" t="s">
        <v>648</v>
      </c>
      <c r="Z40">
        <v>4.5</v>
      </c>
      <c r="AA40">
        <v>16103</v>
      </c>
      <c r="AB40" t="s">
        <v>649</v>
      </c>
      <c r="AC40">
        <v>8</v>
      </c>
      <c r="AD40">
        <v>2024</v>
      </c>
      <c r="AE40">
        <v>35</v>
      </c>
      <c r="AF40" t="s">
        <v>650</v>
      </c>
      <c r="AG40">
        <v>36</v>
      </c>
      <c r="AH40">
        <v>14.5156586746808</v>
      </c>
      <c r="AI40">
        <v>0.39231509931569802</v>
      </c>
      <c r="AJ40" t="s">
        <v>61</v>
      </c>
      <c r="AK40" t="s">
        <v>651</v>
      </c>
      <c r="AL40">
        <v>26</v>
      </c>
      <c r="AM40">
        <v>4</v>
      </c>
      <c r="AN40">
        <v>32</v>
      </c>
      <c r="AO40">
        <v>0.12</v>
      </c>
      <c r="AP40" t="s">
        <v>63</v>
      </c>
      <c r="AQ40" t="s">
        <v>63</v>
      </c>
    </row>
    <row r="41" spans="1:43" x14ac:dyDescent="0.2">
      <c r="A41">
        <v>917496</v>
      </c>
      <c r="B41" t="s">
        <v>652</v>
      </c>
      <c r="C41">
        <v>6.9630000000000001</v>
      </c>
      <c r="D41">
        <v>2833</v>
      </c>
      <c r="E41" t="s">
        <v>44</v>
      </c>
      <c r="F41" s="1">
        <v>45539</v>
      </c>
      <c r="G41">
        <v>452000435</v>
      </c>
      <c r="H41">
        <v>105</v>
      </c>
      <c r="I41">
        <v>99000000</v>
      </c>
      <c r="J41" t="s">
        <v>653</v>
      </c>
      <c r="K41" t="s">
        <v>46</v>
      </c>
      <c r="L41" t="s">
        <v>652</v>
      </c>
      <c r="M41" t="s">
        <v>654</v>
      </c>
      <c r="N41">
        <v>8.8483000000000001</v>
      </c>
      <c r="O41" t="s">
        <v>655</v>
      </c>
      <c r="P41" t="s">
        <v>656</v>
      </c>
      <c r="Q41" t="s">
        <v>657</v>
      </c>
      <c r="R41" t="s">
        <v>51</v>
      </c>
      <c r="S41" t="s">
        <v>52</v>
      </c>
      <c r="T41" t="s">
        <v>658</v>
      </c>
      <c r="U41" t="s">
        <v>659</v>
      </c>
      <c r="V41" t="s">
        <v>660</v>
      </c>
      <c r="W41" t="s">
        <v>661</v>
      </c>
      <c r="X41" t="s">
        <v>662</v>
      </c>
      <c r="Y41" t="s">
        <v>663</v>
      </c>
      <c r="Z41">
        <v>6.6</v>
      </c>
      <c r="AA41">
        <v>165989</v>
      </c>
      <c r="AB41" t="s">
        <v>664</v>
      </c>
      <c r="AC41">
        <v>9</v>
      </c>
      <c r="AD41">
        <v>2024</v>
      </c>
      <c r="AE41">
        <v>36</v>
      </c>
      <c r="AF41" t="s">
        <v>665</v>
      </c>
      <c r="AG41">
        <v>42</v>
      </c>
      <c r="AH41">
        <v>19.9291937023978</v>
      </c>
      <c r="AI41">
        <v>0.46346962098599498</v>
      </c>
      <c r="AJ41" t="s">
        <v>61</v>
      </c>
      <c r="AK41" t="s">
        <v>666</v>
      </c>
      <c r="AL41">
        <v>59</v>
      </c>
      <c r="AM41">
        <v>1</v>
      </c>
      <c r="AN41">
        <v>68</v>
      </c>
      <c r="AO41">
        <v>0.01</v>
      </c>
      <c r="AP41" t="s">
        <v>63</v>
      </c>
      <c r="AQ41" t="s">
        <v>63</v>
      </c>
    </row>
    <row r="42" spans="1:43" x14ac:dyDescent="0.2">
      <c r="A42">
        <v>1016848</v>
      </c>
      <c r="B42" t="s">
        <v>667</v>
      </c>
      <c r="C42">
        <v>5.1130000000000004</v>
      </c>
      <c r="D42">
        <v>111</v>
      </c>
      <c r="E42" t="s">
        <v>44</v>
      </c>
      <c r="F42" s="1">
        <v>45540</v>
      </c>
      <c r="G42">
        <v>3165361</v>
      </c>
      <c r="H42">
        <v>95</v>
      </c>
      <c r="I42">
        <v>3500000</v>
      </c>
      <c r="J42" t="s">
        <v>668</v>
      </c>
      <c r="K42" t="s">
        <v>46</v>
      </c>
      <c r="L42" t="s">
        <v>667</v>
      </c>
      <c r="M42" t="s">
        <v>669</v>
      </c>
      <c r="N42">
        <v>2.0878999999999999</v>
      </c>
      <c r="O42" t="s">
        <v>670</v>
      </c>
      <c r="P42" t="s">
        <v>671</v>
      </c>
      <c r="Q42" t="s">
        <v>672</v>
      </c>
      <c r="R42" t="s">
        <v>673</v>
      </c>
      <c r="S42" t="s">
        <v>52</v>
      </c>
      <c r="T42" t="s">
        <v>674</v>
      </c>
      <c r="U42" t="s">
        <v>675</v>
      </c>
      <c r="V42" t="s">
        <v>676</v>
      </c>
      <c r="W42" t="s">
        <v>677</v>
      </c>
      <c r="X42" t="s">
        <v>678</v>
      </c>
      <c r="Y42" t="s">
        <v>679</v>
      </c>
      <c r="Z42">
        <v>4.7</v>
      </c>
      <c r="AA42">
        <v>6381</v>
      </c>
      <c r="AB42" t="s">
        <v>680</v>
      </c>
      <c r="AC42">
        <v>9</v>
      </c>
      <c r="AD42">
        <v>2024</v>
      </c>
      <c r="AE42">
        <v>36</v>
      </c>
      <c r="AF42" t="s">
        <v>681</v>
      </c>
      <c r="AG42">
        <v>43</v>
      </c>
      <c r="AH42">
        <v>14.9677779830073</v>
      </c>
      <c r="AI42">
        <v>0.34017677234107502</v>
      </c>
      <c r="AJ42" t="s">
        <v>61</v>
      </c>
      <c r="AK42" t="s">
        <v>682</v>
      </c>
      <c r="AL42">
        <v>5</v>
      </c>
      <c r="AM42">
        <v>1</v>
      </c>
      <c r="AN42">
        <v>6</v>
      </c>
      <c r="AO42">
        <v>0.17</v>
      </c>
      <c r="AP42" t="s">
        <v>63</v>
      </c>
      <c r="AQ42" t="s">
        <v>63</v>
      </c>
    </row>
    <row r="43" spans="1:43" x14ac:dyDescent="0.2">
      <c r="A43">
        <v>1129608</v>
      </c>
      <c r="B43" t="s">
        <v>683</v>
      </c>
      <c r="C43">
        <v>4.7</v>
      </c>
      <c r="D43">
        <v>33</v>
      </c>
      <c r="E43" t="s">
        <v>44</v>
      </c>
      <c r="F43" s="1">
        <v>45540</v>
      </c>
      <c r="G43">
        <v>47700000</v>
      </c>
      <c r="H43">
        <v>183</v>
      </c>
      <c r="I43">
        <v>36000000</v>
      </c>
      <c r="J43" t="s">
        <v>684</v>
      </c>
      <c r="K43" t="s">
        <v>320</v>
      </c>
      <c r="L43" t="s">
        <v>685</v>
      </c>
      <c r="M43" t="s">
        <v>686</v>
      </c>
      <c r="N43">
        <v>4.1566999999999998</v>
      </c>
      <c r="O43" t="s">
        <v>687</v>
      </c>
      <c r="P43" t="s">
        <v>324</v>
      </c>
      <c r="Q43" t="s">
        <v>688</v>
      </c>
      <c r="R43" t="s">
        <v>148</v>
      </c>
      <c r="S43" t="s">
        <v>689</v>
      </c>
      <c r="T43" t="s">
        <v>690</v>
      </c>
      <c r="U43" t="s">
        <v>691</v>
      </c>
      <c r="V43" t="s">
        <v>692</v>
      </c>
      <c r="W43" t="s">
        <v>693</v>
      </c>
      <c r="X43" t="s">
        <v>694</v>
      </c>
      <c r="Y43" t="s">
        <v>695</v>
      </c>
      <c r="Z43">
        <v>5.7</v>
      </c>
      <c r="AA43">
        <v>25394</v>
      </c>
      <c r="AB43" t="s">
        <v>696</v>
      </c>
      <c r="AC43">
        <v>9</v>
      </c>
      <c r="AD43">
        <v>2024</v>
      </c>
      <c r="AE43">
        <v>36</v>
      </c>
      <c r="AF43" t="s">
        <v>697</v>
      </c>
      <c r="AG43">
        <v>43</v>
      </c>
      <c r="AH43">
        <v>17.680441976822902</v>
      </c>
      <c r="AI43">
        <v>0.40182822674597501</v>
      </c>
      <c r="AJ43" t="s">
        <v>61</v>
      </c>
      <c r="AK43" t="s">
        <v>698</v>
      </c>
      <c r="AL43">
        <v>10</v>
      </c>
      <c r="AM43">
        <v>2</v>
      </c>
      <c r="AN43">
        <v>12</v>
      </c>
      <c r="AO43">
        <v>0.17</v>
      </c>
      <c r="AP43" t="s">
        <v>63</v>
      </c>
      <c r="AQ43" t="s">
        <v>63</v>
      </c>
    </row>
    <row r="44" spans="1:43" x14ac:dyDescent="0.2">
      <c r="A44">
        <v>933260</v>
      </c>
      <c r="B44" t="s">
        <v>699</v>
      </c>
      <c r="C44">
        <v>7.1420000000000003</v>
      </c>
      <c r="D44">
        <v>5315</v>
      </c>
      <c r="E44" t="s">
        <v>44</v>
      </c>
      <c r="F44" s="1">
        <v>45542</v>
      </c>
      <c r="G44">
        <v>76506196</v>
      </c>
      <c r="H44">
        <v>141</v>
      </c>
      <c r="I44">
        <v>17500000</v>
      </c>
      <c r="J44" t="s">
        <v>700</v>
      </c>
      <c r="K44" t="s">
        <v>46</v>
      </c>
      <c r="L44" t="s">
        <v>699</v>
      </c>
      <c r="M44" t="s">
        <v>701</v>
      </c>
      <c r="N44">
        <v>20.0684</v>
      </c>
      <c r="O44" t="s">
        <v>702</v>
      </c>
      <c r="P44" t="s">
        <v>703</v>
      </c>
      <c r="Q44" t="s">
        <v>704</v>
      </c>
      <c r="R44" t="s">
        <v>705</v>
      </c>
      <c r="S44" t="s">
        <v>52</v>
      </c>
      <c r="T44" t="s">
        <v>706</v>
      </c>
      <c r="U44" t="s">
        <v>707</v>
      </c>
      <c r="V44" t="s">
        <v>708</v>
      </c>
      <c r="W44" t="s">
        <v>707</v>
      </c>
      <c r="X44" t="s">
        <v>709</v>
      </c>
      <c r="Y44" t="s">
        <v>710</v>
      </c>
      <c r="Z44">
        <v>7.2</v>
      </c>
      <c r="AA44">
        <v>360457</v>
      </c>
      <c r="AB44" t="s">
        <v>711</v>
      </c>
      <c r="AC44">
        <v>9</v>
      </c>
      <c r="AD44">
        <v>2024</v>
      </c>
      <c r="AE44">
        <v>36</v>
      </c>
      <c r="AF44" t="s">
        <v>712</v>
      </c>
      <c r="AG44">
        <v>45</v>
      </c>
      <c r="AH44">
        <v>18.1528823020518</v>
      </c>
      <c r="AI44">
        <v>0.39462787613156203</v>
      </c>
      <c r="AJ44" t="s">
        <v>61</v>
      </c>
      <c r="AK44" t="s">
        <v>713</v>
      </c>
      <c r="AL44">
        <v>46</v>
      </c>
      <c r="AM44">
        <v>2</v>
      </c>
      <c r="AN44">
        <v>83</v>
      </c>
      <c r="AO44">
        <v>0.02</v>
      </c>
      <c r="AP44" t="s">
        <v>63</v>
      </c>
      <c r="AQ44" t="s">
        <v>63</v>
      </c>
    </row>
    <row r="45" spans="1:43" x14ac:dyDescent="0.2">
      <c r="A45" t="s">
        <v>714</v>
      </c>
      <c r="AI45">
        <f>SUBTOTAL(109,Table1[score])</f>
        <v>42.080279774497633</v>
      </c>
      <c r="AQ45">
        <f>SUBTOTAL(103,Table1[error])</f>
        <v>40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Deadpool_&amp;_Wolverine_attributes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2026-02-17T17:10:26Z</dcterms:created>
  <dcterms:modified xsi:type="dcterms:W3CDTF">2026-02-17T17:57:06Z</dcterms:modified>
</cp:coreProperties>
</file>