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7766A8AE-6CC0-044E-B746-F057068DD49A}" xr6:coauthVersionLast="47" xr6:coauthVersionMax="47" xr10:uidLastSave="{00000000-0000-0000-0000-000000000000}"/>
  <bookViews>
    <workbookView xWindow="380" yWindow="80" windowWidth="28040" windowHeight="17180" xr2:uid="{1641151E-77D2-3B4C-8C5B-36AE08A716C5}"/>
  </bookViews>
  <sheets>
    <sheet name="Guardians_of_the_Galaxy_Vol._3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3" i="1" l="1"/>
  <c r="AQ33" i="1"/>
</calcChain>
</file>

<file path=xl/sharedStrings.xml><?xml version="1.0" encoding="utf-8"?>
<sst xmlns="http://schemas.openxmlformats.org/spreadsheetml/2006/main" count="755" uniqueCount="538">
  <si>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</si>
  <si>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</si>
  <si>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</si>
  <si>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</si>
  <si>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</si>
  <si>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</si>
  <si>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</si>
  <si>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</si>
  <si>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</si>
  <si>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</si>
  <si>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</si>
  <si>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</si>
  <si>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</si>
  <si>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</si>
  <si>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</si>
  <si>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</si>
  <si>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</si>
  <si>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</si>
  <si>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</si>
  <si>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</si>
  <si>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</si>
  <si>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</si>
  <si>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</si>
  <si>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</si>
  <si>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</si>
  <si>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</si>
  <si>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</si>
  <si>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</si>
  <si>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</si>
  <si>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</si>
  <si>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</si>
  <si>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</si>
  <si>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</si>
  <si>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</si>
  <si>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</si>
  <si>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</si>
  <si>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</si>
  <si>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</si>
  <si>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</si>
  <si>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</si>
  <si>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</si>
  <si>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</si>
  <si>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</si>
  <si>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John Wick: Chapter 4</t>
  </si>
  <si>
    <t>Released</t>
  </si>
  <si>
    <t>tt10366206</t>
  </si>
  <si>
    <t>en</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</si>
  <si>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</si>
  <si>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</si>
  <si>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Action, Thriller, Crime</t>
  </si>
  <si>
    <t>thunder road, 87eleven, studio babelsberg, lionsgate</t>
  </si>
  <si>
    <t>Germany, United States of America</t>
  </si>
  <si>
    <t>√ø√ü≈∏√ë√øœÄ√ø¬±√ø¬Æ≈∏√§√ø¬©, √ÇœÄ√∏√Ç‚àë√ª√ã√ò√π / √Ç¬™¬£√Ç‚àë√ª√ã¬©¬±, English, Fran‚àö√üais, Deutsch, √ä√≥‚Ä¢√ä√∫¬®√ã‚Ñ¢√ª, Latin, P‚Äî√â‚Äî√Ö‚Äî√Ö‚Äì‚à´‚Äì‚àè‚ÄìœÄ, Espa‚àö¬±ol</t>
  </si>
  <si>
    <t>Julia Asuka Riedl, Iryna Fedorova, Keanu Reeves, Hishofuji Hiroki, Aim‚àö¬©e Kwan, Sven Marquardt, Milena Rend‚àö‚â•n, Donnie Yen, Lance Reddick, Hiroyuki Sanada, Scott Adkins, Clancy Brown, Lous and the Yakuza, Bill Skarsg‚àö‚Ä¢rd, Ivy Quainoo, Daiki Suzuki, Raicho Vasilev, Yoshinori Tashiro, Shamier Anderson, Rina Sawayama, Natalia Tena, Christoph Hofmann, Marko Zaror, Laurence Fishburne, George Georgiou, Ian McShane, Irina Trifanov, Andrej Kaminsky</t>
  </si>
  <si>
    <t>Chad Stahelski</t>
  </si>
  <si>
    <t>Dan Laustsen</t>
  </si>
  <si>
    <t>Shay Hatten, Michael Finch, Derek Kolstad</t>
  </si>
  <si>
    <t>Chad Stahelski, Erica Lee, Michael Paseornek, Basil Iwanyk, David Leitch, Keanu Reeves, Louise Rosner-Meyer</t>
  </si>
  <si>
    <t>Tyler Bates, Joel J. Richard</t>
  </si>
  <si>
    <t>/vZloFAK7NmvMGKE7VkF5UHaz0I.jpg</t>
  </si>
  <si>
    <t>john wick: chapter 4</t>
  </si>
  <si>
    <t>guardians of the galaxy vol. 3</t>
  </si>
  <si>
    <t>limited (1), south by southwest film festival (1), blank (65), fribourg international film festival (1), vod (1), internet (2), dvd,4k uhd,blu-ray (1), tv release (1)</t>
  </si>
  <si>
    <t>no</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</si>
  <si>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</si>
  <si>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</si>
  <si>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</si>
  <si>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</si>
  <si>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Adventure, Fantasy, Comedy</t>
  </si>
  <si>
    <t>entertainment one, paramount pictures</t>
  </si>
  <si>
    <t>Canada, United States of America</t>
  </si>
  <si>
    <t>English</t>
  </si>
  <si>
    <t>Daniel Campbell, Bryan Larkin, Rylan Jackson, Clayton Grover, Appy Pratt, Sophia Lillis, Sarah Amankwah, Seamus O'Hara, Kim Chapman, Moe Sasegbon, Chris Pine, Daisy Head, Luke Bennett, Edd Osmond, Ian Hanmore, Richie Wilson, Michael Redmond, Jeanne Nicole N‚àö‚â† ‚àö√Öinle,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Reg‚àö¬©-Jean Page, Avril Murphy, Anton Simpson-Tidy, Chloe Coleman, Harriet Barrow, Jude Hill, Nicholas Blane, Michelle Rodriguez, Darren Kent</t>
  </si>
  <si>
    <t>Jonathan Goldstein, John Francis Daley</t>
  </si>
  <si>
    <t>Barry Peterson</t>
  </si>
  <si>
    <t>Jonathan Goldstein, Chris McKay, Michael Gilio, John Francis Daley</t>
  </si>
  <si>
    <t>Brian Goldner, Jonathan Goldstein, John Francis Daley, Jeremy Latcham, Chris Pine, Greg Mooradian, Zev Foreman, Denis L. Stewart, Nick Meyer</t>
  </si>
  <si>
    <t>Lorne Balfe</t>
  </si>
  <si>
    <t>/v7UF7ypAqjsFZFdjksjQ7IUpXdn.jpg</t>
  </si>
  <si>
    <t>dungeons &amp; dragons: honor among thieves</t>
  </si>
  <si>
    <t>opening film (1), south by southwest film festival (1), premiere (1), limited (2), blank (45), early access (1), fan event (1), internet (4), dvd,4k uhd,blu-ray (1), dvd premiere (1), tv premiere (1)</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</si>
  <si>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</si>
  <si>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</si>
  <si>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</si>
  <si>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</si>
  <si>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Comedy, Drama</t>
  </si>
  <si>
    <t>gracie films, lionsgate</t>
  </si>
  <si>
    <t>United States of America</t>
  </si>
  <si>
    <t>English, ‚óä¬¢√∑¬•‚óä√´√∑‚àû‚óä¬Æ√∑¬•‚óä√¥‚óä‚Ñ¢</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</si>
  <si>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</si>
  <si>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Kelly Fremon Craig</t>
  </si>
  <si>
    <t>Tim Ives</t>
  </si>
  <si>
    <t>Judy Blume, Kelly Fremon Craig</t>
  </si>
  <si>
    <t>Julie Ansell, Judy Blume, Richard Sakai, Kelly Fremon Craig, Jonathan McCoy, Amy Brooks, James L. Brooks</t>
  </si>
  <si>
    <t>Hans Zimmer</t>
  </si>
  <si>
    <t>/yb6UB4WC3znlwU0L4AqMnjR9G9S.jpg</t>
  </si>
  <si>
    <t>are you there god? it's me, margaret.</t>
  </si>
  <si>
    <t>san francisco international film festival (1), blank (6), vod (1), internet (6), blu-ray and dvd (1), new zealand international film festival (1), limited (1), tv release (1), leiden international film festival (1), stockholm international film festival (1), taipei golden horse film festival (1)</t>
  </si>
  <si>
    <t>The Super Mario Bros. Movie</t>
  </si>
  <si>
    <t>tt6718170</t>
  </si>
  <si>
    <t>While working underground to fix a water main, Brooklyn plumbers‚Äö√Ñ√Æand brothers‚Äö√Ñ√ÆMario and Luigi are transported down a mysterious pipe and wander into a magical new world. But when the brothers are separated, Mario embarks on an epic quest to find Luigi.</t>
  </si>
  <si>
    <t>Not all heroes wear capes. Some wear overalls.</t>
  </si>
  <si>
    <t>Family, Comedy, Adventure, Animation, Fantasy</t>
  </si>
  <si>
    <t>universal pictures, illumination, nintendo</t>
  </si>
  <si>
    <t>Japan, United States of America</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</si>
  <si>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</si>
  <si>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</si>
  <si>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</si>
  <si>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</si>
  <si>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Brian Tyler</t>
  </si>
  <si>
    <t>/qNBAXBIQlnOThrVvA6mA2B5ggV6.jpg</t>
  </si>
  <si>
    <t>the super mario bros. movie</t>
  </si>
  <si>
    <t>los angeles, california (1), premiere (1), blank (84), internet (2), re-release (1), limited (1)</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</si>
  <si>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</si>
  <si>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</si>
  <si>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</si>
  <si>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</si>
  <si>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Horror, Thriller</t>
  </si>
  <si>
    <t>screen gems, 2.0 entertainment, loyola productions</t>
  </si>
  <si>
    <t>English, Fulfulde, Deutsch, Italiano, Latin, Portugu‚àö‚Ñ¢s, Espa‚àö¬±ol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</si>
  <si>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Bay‚àö‚â•n, Victor Sol‚àö¬©, Andrea Dugoni, Neha Dubey, Ollie Ryan, Pablo Raybould, Bianca Bardoe, Niamh McHenry, Alex Essoe, Laila Barwick, Ryan O'Grady, Franco Nero, Gennaro Diana</t>
  </si>
  <si>
    <t>Julius Avery</t>
  </si>
  <si>
    <t>Khalid Mohtaseb</t>
  </si>
  <si>
    <t>R. Dean McCreary, Michael Petroni, Chester Hastings, Evan Spiliotopoulos, Gabriele Amorth</t>
  </si>
  <si>
    <t>Doug Belgrad, Jeff Katz, Michael Patrick Kaczmarek, Sophie Cassidy, Jo Homewood, Eddie Siebert</t>
  </si>
  <si>
    <t>Jed Kurzel</t>
  </si>
  <si>
    <t>/jFC4LS5qTAT3PinzdEzINfu1CV9.jpg</t>
  </si>
  <si>
    <t>the pope's exorcist</t>
  </si>
  <si>
    <t>blank (42), tv premiere (1)</t>
  </si>
  <si>
    <t>Renfield</t>
  </si>
  <si>
    <t>tt11358390</t>
  </si>
  <si>
    <t>Having grown sick and tired of his centuries as Dracula's lackey, Renfield finds a new lease on life ‚Äö√Ñ√Æ and maybe even redemption ‚Äö√Ñ√Æ when he falls for feisty, perennially angry traffic cop Rebecca Quincy.</t>
  </si>
  <si>
    <t>Sucks to be him.</t>
  </si>
  <si>
    <t>Comedy, Fantasy, Horror</t>
  </si>
  <si>
    <t>skybound entertainment, universal pictures, giant wildcat</t>
  </si>
  <si>
    <t>English, ‚Ä°‚àè‚Ä†‚Ä°‚àè‚â§‚Ä°‚àè¬©‚Ä°‚àè‚â§‚Ä°œÄ√ë‚Ä°‚àè√≥‚Ä°‚àè¬¢</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</si>
  <si>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LeCont‚àö¬©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</si>
  <si>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Chris McKay</t>
  </si>
  <si>
    <t>Mitchell Amundsen</t>
  </si>
  <si>
    <t>Ryan Ridley, Bram Stoker, Robert Kirkman</t>
  </si>
  <si>
    <t>David Alpert, Todd Lewis, Chris McKay, Bryan Furst, Robert Kirkman, Samantha Nisenboim, Sean Furst</t>
  </si>
  <si>
    <t>Marco Beltrami</t>
  </si>
  <si>
    <t>/p6yUjhvNGQpFZilKwOKbxQ1eHlo.jpg</t>
  </si>
  <si>
    <t>renfield</t>
  </si>
  <si>
    <t>overlook film festival (1), closing film (1), phoenix film festival (1), blank (49), brussels international fantastic film festival (1), vod (1), blu-ray and dvd (1), internet (2), tv release (1), 4k uhd (1)</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</si>
  <si>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</si>
  <si>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</si>
  <si>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</si>
  <si>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</si>
  <si>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</si>
  <si>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</si>
  <si>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</si>
  <si>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</si>
  <si>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</si>
  <si>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</si>
  <si>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</si>
  <si>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Stephen McKeon</t>
  </si>
  <si>
    <t>/5ik4ATKmNtmJU6AYD0bLm56BCVM.jpg</t>
  </si>
  <si>
    <t>evil dead rise</t>
  </si>
  <si>
    <t>south by southwest film festival (1), night visions international film festival (1), blank (38), fantasy filmfest (1), internet (2), blu ray release (1)</t>
  </si>
  <si>
    <t>Mafia Mamma</t>
  </si>
  <si>
    <t>tt13923456</t>
  </si>
  <si>
    <t>A suburban American woman inherits her grandfather‚Äö√Ñ√¥s Mafia empire and, guided by the Firm‚Äö√Ñ√¥s trusted consigliere, defies everyone‚Äö√Ñ√¥s expectations, including her own, as the new head of the family business.</t>
  </si>
  <si>
    <t>From suburban Mom to mafia Don.</t>
  </si>
  <si>
    <t>Comedy, Crime, Action</t>
  </si>
  <si>
    <t>idea(l), vocab films, new sparta films, ingenious media, lipsync productions, cornerstone films</t>
  </si>
  <si>
    <t>United Kingdom, United States of America, Italy</t>
  </si>
  <si>
    <t>English, Italiano</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</si>
  <si>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</si>
  <si>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Catherine Hardwicke</t>
  </si>
  <si>
    <t>Patrick Murguia</t>
  </si>
  <si>
    <t>Amanda Sthers, J. Michael Feldman, Debbie Jhoon</t>
  </si>
  <si>
    <t>Kent Sanderson, Toni Collette, Amanda Sthers, Simon Baxter, Andrew Karpen</t>
  </si>
  <si>
    <t>Alex Heffes</t>
  </si>
  <si>
    <t>/x83FFyGGux31l7OiF9NZHeq6ZWv.jpg</t>
  </si>
  <si>
    <t>mafia mamma</t>
  </si>
  <si>
    <t>blank (15), video premiere (2), internet (5), dvd premiere (1), tv premiere (1)</t>
  </si>
  <si>
    <t>Beau Is Afraid</t>
  </si>
  <si>
    <t>tt13521006</t>
  </si>
  <si>
    <t>Following the sudden death of his mother, a mild-mannered but anxiety-ridden man confronts his darkest fears as he embarks on an epic, Kafkaesque odyssey back home.</t>
  </si>
  <si>
    <t>From his darkest fears comes the greatest adventure.</t>
  </si>
  <si>
    <t>Comedy, Adventure, Fantasy</t>
  </si>
  <si>
    <t>a24, square peg, ipr.vc, access entertainment</t>
  </si>
  <si>
    <t>United States of America, Finland</t>
  </si>
  <si>
    <t>Alicia Rosario, Luz Tercero, Archie Madekwe, Julien Fortin, Th‚àö¬©odore Pellerin, David Mamet, Zoe Lister-Jones, Steve Newburn, Kayla Dobilas, Arthur Holden, Peter Seaborne, John Walsh, Lily Bird, Patti LuPone, Ari Aster, Tyrone Benskin, Charles Hardy, Catherine B‚àö¬©rub‚àö¬©, Gord Robertson, Marc-Andr‚àö¬© Brisebois, Lucas Gosselin, Joe Cobden, Marc-Andr‚àö¬© Casavant, Harry Standjofski, Pamela Iveta, Jason Detheridge, Denis M‚àö¬©nochet, Isabelle Brabant, Ernest-James Chuipka, Maev Beaty, Julian Richings, Parker Posey, Amy Ryan, Tristan D. Lalla, Genevi‚àö¬Æve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Fran‚àö√üois Paquette, Stephanie Herrera, Mike Taylor, Barry Morgan, Michael Gandolfini, Kwasi Songui, Greg Halpin, Bill Hader, Ryan S. Hill, Stephen McKinley Henderson, Armen Nahapetian, Cat Lemieux, Tarah Schwartz, Karl Roy</t>
  </si>
  <si>
    <t>Ari Aster</t>
  </si>
  <si>
    <t>Pawel Pogorzelski</t>
  </si>
  <si>
    <t>Danny Cohen, Timo Argillander, Elisa Alvares, Ari Aster, Lars Knudsen, Ann Ruark, Len Blavatnik</t>
  </si>
  <si>
    <t>Bobby Krlic</t>
  </si>
  <si>
    <t>/wgVkkjigF31r1nZV80uV0xNIoun.jpg</t>
  </si>
  <si>
    <t>beau is afraid</t>
  </si>
  <si>
    <t>special screening (2), new york city (1), prague (1), closing film (1), golden horse fantastic film festival (1), blank (40), bcn film fest (1), blu-ray release (1), internet (2), limited (1), jueves cr√≠ticos con santas listas (1)</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</si>
  <si>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</si>
  <si>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</si>
  <si>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</si>
  <si>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</si>
  <si>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Horror, Drama</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</si>
  <si>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</si>
  <si>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</si>
  <si>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</si>
  <si>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</si>
  <si>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</si>
  <si>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Bryan E. Miller</t>
  </si>
  <si>
    <t>/xwjWUAajQJPj5aik1tounPguZbz.jpg</t>
  </si>
  <si>
    <t>nefarious</t>
  </si>
  <si>
    <t>plano, texas (1), premiere (1), internet (3), blank (13), blu-ray &amp; dvd premiere (1)</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</si>
  <si>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</si>
  <si>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</si>
  <si>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</si>
  <si>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</si>
  <si>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</si>
  <si>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</si>
  <si>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United Kingdom, United States of America</t>
  </si>
  <si>
    <t>English, ≈∏√Ö√ø√ü√ø¬±√ø‚â•‚Ç¨√•</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</si>
  <si>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Zad‚àö¬©, Gary Anthony Stennette, Paeman Arianfar, Fariba Sheikhan, Ash Goldeh, Shoaib Lodin, Timothy Siddall, Rhys Yates, Jonny Lee Miller, Walid Shahalami, Javid Hakim, Hadi Khanjanpour, Abbas Fasaei, Sergio Mart‚àö‚â†, Altamasch Noor, Reza Diako, Saboor Sahak, Jake Gyllenhaal, Ali Nazarian</t>
  </si>
  <si>
    <t>Guy Ritchie</t>
  </si>
  <si>
    <t>Ed Wild</t>
  </si>
  <si>
    <t>Marn Davies, Ivan Atkinson, Guy Ritchie</t>
  </si>
  <si>
    <t>John Friedberg, Josh Berger, Ivan Atkinson, Olga Filipuk, Guy Ritchie, Samantha Waite</t>
  </si>
  <si>
    <t>Chris Benstead</t>
  </si>
  <si>
    <t>/kVG8zFFYrpyYLoHChuEeOGAd6Ru.jpg</t>
  </si>
  <si>
    <t>guy ritchie's the covenant</t>
  </si>
  <si>
    <t>blank (26), internet (13), blu-ray release (1)</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</si>
  <si>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</si>
  <si>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</si>
  <si>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</si>
  <si>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</si>
  <si>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</si>
  <si>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</si>
  <si>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Ireland, United States of America</t>
  </si>
  <si>
    <t>English, Fran‚àö√üais</t>
  </si>
  <si>
    <t>Kelvin Harrison, Jr., Sian Clifford, Alec Newman, Henry Lloyd-Hughes, Jessica Boone, Fatou Sohna, Marton Csokas, Ronk¬∑‚à´œÄ Ad‚àö¬©kolu¬∑‚à´œÄjo, Sam Barlien, Ben Bradshaw, Alex Fitzalan, Joseph Prowen, Samara Weaving, Martin Matejcik, Lucy Boynton, Minnie Driver, Jim High</t>
  </si>
  <si>
    <t>Stephen Williams</t>
  </si>
  <si>
    <t>Jess Hall</t>
  </si>
  <si>
    <t>Stefani Robinson</t>
  </si>
  <si>
    <t>Andrew Lowe, Peter Oberth, Dianne McGunigle, Zahra Phillips, Cornelia Burleigh, Ed Guiney, Stefani Robinson</t>
  </si>
  <si>
    <t>Kris Bowers</t>
  </si>
  <si>
    <t>/iLhp2fqA0VDIhnC20QHDnw5Yrcf.jpg</t>
  </si>
  <si>
    <t>chevalier</t>
  </si>
  <si>
    <t>toronto international film festival (1), palm springs international film festival (1), boulder film festival (1), kosmorama trondheim international film festival (1), manchester film festival (1), cleveland international film festival (1), closing film (1), sonoma international film festival (1), phoenix film festival (1), blank (6), limited (2), minneapolis st. paul international film festival (1), internet (10), sydney film festival (1)</t>
  </si>
  <si>
    <t>yes</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</si>
  <si>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</si>
  <si>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</si>
  <si>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</si>
  <si>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</si>
  <si>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</si>
  <si>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</si>
  <si>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</si>
  <si>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√ä√≥‚Ä¢√ä√∫¬®√ã‚Ñ¢√ª, English</t>
  </si>
  <si>
    <t>Caitlin M Hutson, Zoltan Durko, Kaylan Teague, Mackenyu, Katie Moy, Nick Stahl, Tod Williams, T.J. Storm, David Torok, Ryusei Iwata, Diego Tinoco, Mark Dacascos, Madison Iseman, Famke Janssen, Sean Bean</t>
  </si>
  <si>
    <t>Tomek Bagi‚âà√ëski</t>
  </si>
  <si>
    <t>Tomasz Naumiuk</t>
  </si>
  <si>
    <t>Masami Kurumada, Kiel Murray, Josh Campbell, Matthew Stuecken</t>
  </si>
  <si>
    <t>Tim Kwok, Katsuhiro Takagi, Yoshi Ikezawa, Jeffrey Chan Wing-Hung, K‚âà√ßz‚âà√ß Morishita, Rick Nathanson, Joseph Chou</t>
  </si>
  <si>
    <t>Yoshihiro Ike</t>
  </si>
  <si>
    <t>/qW4crfED8mpNDadSmMdi7ZDzhXF.jpg</t>
  </si>
  <si>
    <t>knights of the zodiac</t>
  </si>
  <si>
    <t>blank (29), limited (1), dvd premiere (1), internet (1)</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</si>
  <si>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</si>
  <si>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</si>
  <si>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</si>
  <si>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</si>
  <si>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History, Drama</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</si>
  <si>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</si>
  <si>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Jos‚àö¬© Jos‚àö¬© Reinaldo Flora, Billy Slaughter, Greg Wattkis, Martin Bats Bradford, T.C. Matherne, Zephaniah Terry, Eric Hanson, Michael Ricca, Philip Fornah, April Dupr‚àö¬©,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</si>
  <si>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George Tillman Jr.</t>
  </si>
  <si>
    <t>John Matysiak, David Tattersall</t>
  </si>
  <si>
    <t>George Tillman Jr., Frank Baldwin, Dan Gordon</t>
  </si>
  <si>
    <t>Wendy Williams, Peter Guber, Henry W. Holmes Jr., David Zelon, George Foreman</t>
  </si>
  <si>
    <t>Marcelo Zarvos</t>
  </si>
  <si>
    <t>/fdVd6thTstt0MQ4dUC1IXiOXpxv.jpg</t>
  </si>
  <si>
    <t>big george foreman</t>
  </si>
  <si>
    <t>blank (10), dvd premiere (1), dvd and blu-ray premiere (1), internet (3)</t>
  </si>
  <si>
    <t>Ponniyin Selvan: Part II</t>
  </si>
  <si>
    <t>tt22444570</t>
  </si>
  <si>
    <t>ta</t>
  </si>
  <si>
    <t>‚Ä°√Ü‚Ñ¢‚Ä°√ò√§‚Ä°√Ü¬©‚Ä°√ò√ß‚Ä°√Ü¬©‚Ä°√Ü√∏‚Ä°√Ü√ò‚Ä°√Ü√∏‚Ä°√Ü¬©‚Ä°√ò√ß ‚Ä°√Ü√∂‚Ä°√ò√ú‚Ä°√Ü‚â§‚Ä°√ò√ß‚Ä°√Ü¬µ‚Ä°√Ü¬©‚Ä°√ò√ß: ‚Ä°√Ü‚Ñ¢‚Ä°√Ü√¶‚Ä°√Ü√Ø‚Ä°√Ü√Ü‚Ä°√ò√ß 2</t>
  </si>
  <si>
    <t>968 AD. The Pandyan assassins gather once again to destroy the Chola dynasty. Now the mighty Chola princes must fight the Pandyas, the Rashtrakutas and other Chola enemies who have joined forces. Also, at play are the rumours of Ponniyin Selvan‚Äö√Ñ√¥s death at sea, the powerful Pazhuvettarayar‚Äö√Ñ√¥s betrayal, and the tragic destiny of Aditha Karikalan, whose heart was long lost to the vengeful Nandini.</t>
  </si>
  <si>
    <t>The Cholas are Back</t>
  </si>
  <si>
    <t>Action, Adventure, History, Drama</t>
  </si>
  <si>
    <t>madras talkies, lyca productions</t>
  </si>
  <si>
    <t>India</t>
  </si>
  <si>
    <t>‚Ä°√Ü¬ß‚Ä°√Ü√Ü‚Ä°√Ü√∏‚Ä°√Ü¬•‚Ä°√ò√ß</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</si>
  <si>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</si>
  <si>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Mani Ratnam</t>
  </si>
  <si>
    <t>Ravi Varman</t>
  </si>
  <si>
    <t>Jeyamohan, Sivakumar Ananth, Kalki Krishnamurthy, Mani Ratnam, Elango Kumaravel, Ilango Krishnan, Bejoy Nambiar</t>
  </si>
  <si>
    <t>Allirajah Subaskaran, Sivakumar Ananth, Mani Ratnam</t>
  </si>
  <si>
    <t>A.R. Rahman</t>
  </si>
  <si>
    <t>/1fMM5yjLYJNfO3CSQBpfC1kqeIK.jpg</t>
  </si>
  <si>
    <t>ponniyin selvan: part ii</t>
  </si>
  <si>
    <t>blank (9), limited (1), internet (1), tv release (1)</t>
  </si>
  <si>
    <t>Love Again</t>
  </si>
  <si>
    <t>tt10276482</t>
  </si>
  <si>
    <t>Mira Ray, dealing with the loss of her fianc‚àö¬©, John, sends a series of romantic texts to his old cell phone number‚Äö√Ñ¬∂ not realizing the number was reassigned to Rob Burns' new work phone. Rob, a journalist, is captivated by the honesty in the beautifully confessional texts. When he‚Äö√Ñ√¥s assigned to write a profile of megastar C‚àö¬©line Dion, he enlists her help in figuring out how to meet Mira in person and win her heart.</t>
  </si>
  <si>
    <t>Destiny has a plan.</t>
  </si>
  <si>
    <t>Romance, Drama, Comedy</t>
  </si>
  <si>
    <t>screen gems, thunder road, 2.0 entertainment</t>
  </si>
  <si>
    <t>Omid Djalili, Arinz‚àö¬© Kene, Ricardo Castro, Nick Jonas, Lydia West, Sam Heughan, Sofia Barclay, C‚àö¬©line Dion, Russell Tovey, Laurence Varda, Tom Blake, Daniel Barry, Camille Hatcher, Steve Oram, Harry Attwell, Amanda Blake, Celia Imrie, Priyanka Chopra Jonas, Haley McGee</t>
  </si>
  <si>
    <t>Jim Strouse</t>
  </si>
  <si>
    <t>Andrew Dunn</t>
  </si>
  <si>
    <t>Andrea Wilson, Sophie Kluge, Jim Strouse, Malte Welding, Karoline Herfurth, Anika Decker, Sofie Cramer</t>
  </si>
  <si>
    <t>Sophie Cassidy, Dave Platel, Erica Lee, Basil Iwanyk, Jonathan Fuhrman, C‚àö¬©line Dion, Esther Hornstein, Denis Savage, Louise Killin, Doug Belgrad</t>
  </si>
  <si>
    <t>Keegan DeWitt</t>
  </si>
  <si>
    <t>/koswMk0y7jGcyofV1sBccnNtY0B.jpg</t>
  </si>
  <si>
    <t>love again</t>
  </si>
  <si>
    <t>blank (42), internet (1), tv premiere (1)</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</si>
  <si>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</si>
  <si>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</si>
  <si>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</si>
  <si>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</si>
  <si>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</si>
  <si>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</si>
  <si>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English, Espa‚àö¬±ol</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</si>
  <si>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T‚àö¬©llez, Georgia Foy, Justin Hall, Bonnie Discepolo, Jeff Fahey, Sandy Avila, Jose Barajas, Gabriel 'G-Rod' Rodriguez, Corina Calderon, Jackie Earle Haley</t>
  </si>
  <si>
    <t>Robert Rodriguez</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</si>
  <si>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</si>
  <si>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</si>
  <si>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</si>
  <si>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</si>
  <si>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</si>
  <si>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hypnotic</t>
  </si>
  <si>
    <t>sxsw (1), blank (34), internet (4), cannes film festival (1), rio de janeiro international film festival (1), dvd premiere (1), tv premiere (1)</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</si>
  <si>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</si>
  <si>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</si>
  <si>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</si>
  <si>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</si>
  <si>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Comedy, Romance</t>
  </si>
  <si>
    <t>makeready, fifth season, apartment story, focus features, universal pictures</t>
  </si>
  <si>
    <t>Pietro Angelini, Diane Keaton, Giancarlo Giannini, Vera Dragone, Don Johnson, Robert Steiner, Andy Garc‚àö‚â†a,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</si>
  <si>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t>
  </si>
  <si>
    <t>Bill Holderman, Erin Simms</t>
  </si>
  <si>
    <t>Brad Weston, Andrew Duncan, Enzo Sisti, Bill Holderman, Erin Simms, Trish Hofmann</t>
  </si>
  <si>
    <t>Tom Howe</t>
  </si>
  <si>
    <t>/lXoeOcWWhPpLH1wzTIhOx8jydBo.jpg</t>
  </si>
  <si>
    <t>book club: the next chapter</t>
  </si>
  <si>
    <t>early access (1), blank (35), internet (1)</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</si>
  <si>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</si>
  <si>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</si>
  <si>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everything‚Äö√Ñ√Æand everyone‚Äö√Ñ√Æthat Dom loves, forever.</t>
  </si>
  <si>
    <t>The end of the road begins.</t>
  </si>
  <si>
    <t>Action, Crime, Thriller, Adventure, Mystery</t>
  </si>
  <si>
    <t>universal pictures, original film, one race, perfect storm entertainment</t>
  </si>
  <si>
    <t>Espa‚àö¬±ol, English</t>
  </si>
  <si>
    <t>Rita Moreno, Luca De Massis, Joaquim de Almeida, Pete Davidson, Michael Irby, Dan Matteucci, Meadow Walker, John Cena, Charlize Theron, Cl‚àö¬©ment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Grbi∆í√°, Dwayne Johnson, Ludacris, Jason Statham, Tony Morgan, Boye Cole, Ludmilla, Jordana Brewster, Calvin Chen</t>
  </si>
  <si>
    <t>Louis Leterrier</t>
  </si>
  <si>
    <t>Stephen F. Windon</t>
  </si>
  <si>
    <t>Zach Dean, Dan Mazeau, Gary Scott Thompson, Justin Lin</t>
  </si>
  <si>
    <t>Vin Diesel, Chris Morgan, David Cain, Justin Lin, Amanda Lewis, Joseph M. Caracciolo Jr., Mark Bomback, Neal H. Moritz, Samantha Vincent, Jeff Kirschenbaum</t>
  </si>
  <si>
    <t>/fiVW06jE7z9YnO4trhaMEdclSiC.jpg</t>
  </si>
  <si>
    <t>fast x</t>
  </si>
  <si>
    <t>rome (1), premiere (1), blank (52), dolby cinema (1), imax (1), digital (1), dvd,4k uhd,blu-ray (1), internet (1), tv release (1), tv premiere (1)</t>
  </si>
  <si>
    <t>The Little Mermaid</t>
  </si>
  <si>
    <t>tt5971474</t>
  </si>
  <si>
    <t>The youngest of King Triton‚Äö√Ñ√¥s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‚Äö√Ñ√¨ and her father‚Äö√Ñ√¥s crown ‚Äö√Ñ√¨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</si>
  <si>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</si>
  <si>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</si>
  <si>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</si>
  <si>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Maug‚àö¬©,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</si>
  <si>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Rob Marshall</t>
  </si>
  <si>
    <t>Dion Beebe</t>
  </si>
  <si>
    <t>Hans Christian Andersen, John Musker, Lin-Manuel Miranda, David Magee, Howard Ashman, Ron Clements</t>
  </si>
  <si>
    <t>Marc Platt, Rob Marshall, Lin-Manuel Miranda, John DeLuca, Jeffrey Silver</t>
  </si>
  <si>
    <t>Alan Menken</t>
  </si>
  <si>
    <t>/ym1dxyOk4jFcSl4Q2zmRrA5BEEN.jpg</t>
  </si>
  <si>
    <t>the little mermaid</t>
  </si>
  <si>
    <t>los angeles, california (1), premiere (2), s√£o paulo (1), blank (71), sing-along version (1), internet (1)</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</si>
  <si>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</si>
  <si>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</si>
  <si>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</si>
  <si>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</si>
  <si>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</si>
  <si>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</si>
  <si>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Australia, United States of America</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</si>
  <si>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</si>
  <si>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Paul Schrader</t>
  </si>
  <si>
    <t>Alexander Dynan</t>
  </si>
  <si>
    <t>Luisa Law, Dale Roberts, David Gonzales, Linda Ujuk, Jamieson McClurg, Amanda Crittenden, Scott LaStaiti</t>
  </si>
  <si>
    <t>Devont‚àö¬© Hynes</t>
  </si>
  <si>
    <t>/afkyHDaMblwX2F1zJzMrTnPsDUH.jpg</t>
  </si>
  <si>
    <t>master gardener</t>
  </si>
  <si>
    <t>venice film festival (1), athens international film and video festival (1), new york film festival (1), haifa film festival (1), valladolid international film festival (1), marrakech international film festival (1), stockholm international film festival (1), lisbon &amp; sintra film festival (1), victoria film festival (1), luxembourg city film festival (1), sonoma international film festival (1), sarasota film festival (1), phoenix film festival (1), reims polar international thriller film festival (1), pff springfest (1), buenos aires international festival of independent cinema (1), indy film fest (1), atlanta film festival (1), independent film festival of boston (1), jeonju international film festival (1), limited (4), blank (11), internet (2), oakville festivals of film and art (1), dvd premiere (2), tv premiere (1)</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</si>
  <si>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</si>
  <si>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</si>
  <si>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</si>
  <si>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</si>
  <si>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Comedy</t>
  </si>
  <si>
    <t>lionsgate, depth of field, media capital technologies</t>
  </si>
  <si>
    <t>Kim Cattrall, Leslie Bibb, Adan James Carrillo, Colby Shinn, Anders Holm, Brett Dier, Sebastian Maniscalco, Bradley Hoover, David Rasche, Arielle Prepetit, Robert De Niro</t>
  </si>
  <si>
    <t>Laura Terruso</t>
  </si>
  <si>
    <t>Rogier Stoffers</t>
  </si>
  <si>
    <t>Austen Earl, Sebastian Maniscalco</t>
  </si>
  <si>
    <t>Paul Weitz, Chris Weitz, Andrew Miano, Sebastian Maniscalco, Christopher Woodrow, Chris Fenton, Dan Balgoyen, Judi Brown-Marmel, Jared Ian Goldman</t>
  </si>
  <si>
    <t>Stephanie Economou</t>
  </si>
  <si>
    <t>/eHcXyH207gLJCMLECRlBtXDK12X.jpg</t>
  </si>
  <si>
    <t>about my father</t>
  </si>
  <si>
    <t>blank (29), vod (1), internet (3), blu-ray premiere (1), blu-ray and dvd (1), tv release (1)</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</si>
  <si>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</si>
  <si>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</si>
  <si>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</si>
  <si>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</si>
  <si>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Action, Horror, Thriller</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</si>
  <si>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</si>
  <si>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</si>
  <si>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</si>
  <si>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</si>
  <si>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</si>
  <si>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</si>
  <si>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Nima Fakhrara</t>
  </si>
  <si>
    <t>/uKNCPaxYZgpsLGSHiasA5IisR3e.jpg</t>
  </si>
  <si>
    <t>the wrath of becky</t>
  </si>
  <si>
    <t>south by southwest film festival (1), overlook film festival (1), blank (6), limited (1), internet (7), dvd release (1), dvd (1)</t>
  </si>
  <si>
    <t>The Boogeyman</t>
  </si>
  <si>
    <t>tt3427252</t>
  </si>
  <si>
    <t>Still reeling from the tragic death of their mother, a teenage girl and her younger sister find themselves plagued by a sadistic presence in their house and struggle to get their grieving father to pay attention before it‚Äö√Ñ√¥s too late.</t>
  </si>
  <si>
    <t>It's not real. It's not real. It's not real.</t>
  </si>
  <si>
    <t>Horror</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</si>
  <si>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</si>
  <si>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</si>
  <si>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</si>
  <si>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</si>
  <si>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</si>
  <si>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</si>
  <si>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</si>
  <si>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</si>
  <si>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the boogeyman</t>
  </si>
  <si>
    <t>blank (41), early access (1), internet (1)</t>
  </si>
  <si>
    <t>Spider-Man: Across the Spider-Verse</t>
  </si>
  <si>
    <t>tt9362722</t>
  </si>
  <si>
    <t>After reuniting with Gwen Stacy, Brooklyn‚Äö√Ñ√¥s full-time, friendly neighborhood Spider-Man is catapulted across the Multiverse, where he encounters the Spider Society, a team of Spider-People charged with protecting the Multiverse‚Äö√Ñ√¥s very existence. But when the heroes clash on how to handle a new threat, Miles finds himself pitted against the other Spiders and must set out on his own to save those he loves most.</t>
  </si>
  <si>
    <t>It's how you wear the mask that matters.</t>
  </si>
  <si>
    <t>Animation, Action, Adventure, Science Fiction</t>
  </si>
  <si>
    <t>columbia pictures, sony pictures animation, lord miller, pascal pictures, arad productions, marvel entertainment</t>
  </si>
  <si>
    <t>English, ‚Ä°¬ßœÄ‚Ä°¬ß√∏‚Ä°¬ß¬Æ‚Ä°‚Ä¢√ß‚Ä°¬ß¬∂‚Ä°‚Ä¢√Ñ, Italiano, Espa‚àö¬±ol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</si>
  <si>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</si>
  <si>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</si>
  <si>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</si>
  <si>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</si>
  <si>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Daniel Pemberton</t>
  </si>
  <si>
    <t>/8Vt6mWEReuy4Of61Lnj5Xj704m8.jpg</t>
  </si>
  <si>
    <t>spider-man: across the spider-verse</t>
  </si>
  <si>
    <t>blank (133), french speaking region (1), german speaking region (1), italian speaking region (1), internet (2), dvd,4k uhd,blu-ray (1), moma - the contenders (1), re-release (3), limited (2), tv release (1)</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</si>
  <si>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</si>
  <si>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</si>
  <si>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</si>
  <si>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</si>
  <si>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Science Fiction, Adventure, Action</t>
  </si>
  <si>
    <t>skydance media, paramount pictures, di bonaventura pictures, bay films, new republic pictures, desanto/murphy productions, hasbro</t>
  </si>
  <si>
    <t>, Espa‚àö¬±ol, English</t>
  </si>
  <si>
    <t>Sarah Stiles, Mike Chute, Seth Fuentes, Yesenia Inquillay, Cristo Fern‚àö¬∞ndez, John DiMaggio, Pete Davidson, Jason D. Avalos, Domenic Di Rosa, Leni Parker, Michelle Yeoh, Tobe Nwigwe, Michael Kelly, Luna Lauren Velez, Dominique Fishback, Luke Jones, Anthony Ramos, Lucas Huarancca, Santusa Cutipa, Frank Marrs, Michaela Ja‚àö¬©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</si>
  <si>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Steven Caple Jr.</t>
  </si>
  <si>
    <t>Enrique Chediak</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</si>
  <si>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</si>
  <si>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</si>
  <si>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</si>
  <si>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</si>
  <si>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transformers: rise of the beasts</t>
  </si>
  <si>
    <t>singapore (1), global premiere (1), blank (53), early access (1), imax 3d (1), dolby cinema (1), imax (1), digital (1), internet (2), dvd,4k uhd,blu-ray (1), dvd premiere (1), re-release (1), tv premiere (1)</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</si>
  <si>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</si>
  <si>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</si>
  <si>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</si>
  <si>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Worlds collide.</t>
  </si>
  <si>
    <t>Action, Science Fiction, Adventure</t>
  </si>
  <si>
    <t>warner bros. pictures, double dream, the disco factory, dc films</t>
  </si>
  <si>
    <t>English, Espa‚àö¬±ol, P‚Äî√â‚Äî√Ö‚Äî√Ö‚Äì‚à´‚Äì‚àè‚ÄìœÄ</t>
  </si>
  <si>
    <t>Rob Hunt, Florence Wright, Andrei Nova, Sean Rogers, Kieran Hodgson, Luke Brandon Field, Maurice Chung, George Clooney, Michael Lerman, Temuera Morrison, Ed Wade, Bret Jones, Rosie Ede, Freya Evans, Ian Loh, Ezra Miller, Bastian Antonio Fuentes, Jason Momoa, Ben Affleck, Maribel Verd‚àö‚à´,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</si>
  <si>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Andy Muschietti</t>
  </si>
  <si>
    <t>Henry Braham</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</si>
  <si>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</si>
  <si>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</si>
  <si>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Benjamin Wallfisch</t>
  </si>
  <si>
    <t>/rktDFPbfHfUbArZ6OOOKsXcv0Bm.jpg</t>
  </si>
  <si>
    <t>the flash</t>
  </si>
  <si>
    <t>blank (49), internet (2)</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</si>
  <si>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</si>
  <si>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</si>
  <si>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</si>
  <si>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</si>
  <si>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</si>
  <si>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pixar</t>
  </si>
  <si>
    <t>Ronobir Lahiri, Mason Wertheimer, Matthew Yang King, Shila Ommi, Catherine O'Hara, Wilma Bonet, Jonathan Adams, Reagan To, Alex Kapp, Jeff Lapensee, Clara Lin Ding, Leah Lewis, Ben Morris, Mamoudou Athie, Joe Pera, Ronnie del Carmen, Wendi McLendon-Covey, P.L. Brown</t>
  </si>
  <si>
    <t>Peter Sohn</t>
  </si>
  <si>
    <t>David Juan Bianchi, Jean-Claude Kalache</t>
  </si>
  <si>
    <t>John Hoberg, Le Tang, Kat Likkel, Brenda Hsueh, Jason Katz, Peter Sohn</t>
  </si>
  <si>
    <t>Denise Ream, Pete Docter</t>
  </si>
  <si>
    <t>Thomas Newman</t>
  </si>
  <si>
    <t>/4Y1WNkd88JXmGfhtWR7dmDAo1T2.jpg</t>
  </si>
  <si>
    <t>elemental</t>
  </si>
  <si>
    <t>cannes film festival (1), premiere (1), blank (90), nantucket film festival (1), re-release (2)</t>
  </si>
  <si>
    <t>No Hard Feelings</t>
  </si>
  <si>
    <t>tt15671028</t>
  </si>
  <si>
    <t>On the brink of losing her childhood home, Maddie discovers an intriguing job listing: wealthy helicopter parents looking for someone to ‚Äö√Ñ√∫date‚Äö√Ñ√π their introverted 19-year-old son, Percy, before he leaves for college. To her surprise, Maddie soon discovers the awkward Percy is no sure thing.</t>
  </si>
  <si>
    <t>Pretty. Awkward.</t>
  </si>
  <si>
    <t>excellent cadaver, ope partners, columbia pictures, saks picture company</t>
  </si>
  <si>
    <t>English, Portugu‚àö‚Ñ¢s, Espa‚àö¬±ol</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</si>
  <si>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Cal‚àö¬®, Alaina Surgener, Darren Valinotti, Victor Verhaeghe, Kelley Rae O'Donnell, Andrew Barth Feldman</t>
  </si>
  <si>
    <t>Gene Stupnitsky</t>
  </si>
  <si>
    <t>Eigil Bryld</t>
  </si>
  <si>
    <t>John Phillips, Gene Stupnitsky</t>
  </si>
  <si>
    <t>Justine Ciarrocchi, Alex Saks, John Phillips, Jennifer Lawrence, Naomi Odenkirk, Marc Provissiero, Kerry Orent</t>
  </si>
  <si>
    <t>Mychael Danna, Jessica Rose Weiss</t>
  </si>
  <si>
    <t>/gD72DhJ7NbfxvtxGiAzLaa0xaoj.jpg</t>
  </si>
  <si>
    <t>no hard feelings</t>
  </si>
  <si>
    <t>internet (6), blank (48)</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</si>
  <si>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</si>
  <si>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</si>
  <si>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</si>
  <si>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</si>
  <si>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Horror, Comedy</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</si>
  <si>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</si>
  <si>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</si>
  <si>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Tim Story</t>
  </si>
  <si>
    <t>Todd Dos Reis</t>
  </si>
  <si>
    <t>Tracy Oliver, Dewayne Perkins</t>
  </si>
  <si>
    <t>Sharla Sumpter, Tracy Oliver, Tim Story, Marcei A. Brubaker Brown, Jason Clark, E. Brian Dobbins</t>
  </si>
  <si>
    <t>Dexter Story</t>
  </si>
  <si>
    <t>/n2aS9FE0C3VUHtSb3Ak41aU9K3y.jpg</t>
  </si>
  <si>
    <t>the blackening</t>
  </si>
  <si>
    <t>toronto international film festival (1), tribeca film festival (1), early access (1), blank (5), american black film festival (1), blu-ray release (1), tv release (1), internet (5)</t>
  </si>
  <si>
    <t>Adipurush</t>
  </si>
  <si>
    <t>tt12915716</t>
  </si>
  <si>
    <t>hi</t>
  </si>
  <si>
    <t>‚Ä°¬ß√ú‚Ä°¬ß¬∂‚Ä°¬ß√∏‚Ä°¬ß‚Ñ¢‚Ä°‚Ä¢√Ö‚Ä°¬ß‚àû‚Ä°‚Ä¢√Ö‚Ä°¬ß‚àë</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</si>
  <si>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</si>
  <si>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</si>
  <si>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Action, Adventure, Fantasy</t>
  </si>
  <si>
    <t>retrophiles, t-series, aa films, uv creations, people media factory</t>
  </si>
  <si>
    <t>‚Ä°¬ßœÄ‚Ä°¬ß√∏‚Ä°¬ß¬Æ‚Ä°‚Ä¢√ß‚Ä°¬ß¬∂‚Ä°‚Ä¢√Ñ</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</si>
  <si>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</si>
  <si>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Om Raut</t>
  </si>
  <si>
    <t>Kharthik Palani</t>
  </si>
  <si>
    <t>Om Raut, Manoj Muntashir</t>
  </si>
  <si>
    <t>Rajesh Nair, Krishan Kumar, Om Raut, Prasad Sutar, Bhushan Kumar</t>
  </si>
  <si>
    <t>Ajay Gogavale, Atul Gogavale, Ankit Balhara, Sanchit Balhara</t>
  </si>
  <si>
    <t>/1H2xEZOixs0z0JKwyjANZiKNNVJ.jpg</t>
  </si>
  <si>
    <t>adipurush</t>
  </si>
  <si>
    <t>blank (10), internet (6), limited (2), santa cruz de tenerife (1), english subtitled version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</si>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</sst>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6723FC-6B1F-0044-9338-188A78353844}" name="Table1" displayName="Table1" ref="A1:AQ33" totalsRowCount="1">
  <autoFilter ref="A1:AQ32" xr:uid="{5E6723FC-6B1F-0044-9338-188A78353844}">
    <filterColumn colId="41">
      <filters>
        <filter val="no"/>
      </filters>
    </filterColumn>
  </autoFilter>
  <tableColumns count="43">
    <tableColumn id="1" xr3:uid="{6476CF2E-25FA-CB4E-8B27-CD1AB8D5E0CA}" name="id" totalsRowLabel="Total"/>
    <tableColumn id="2" xr3:uid="{38887C2A-22D5-F94F-9449-324BD7244396}" name="title"/>
    <tableColumn id="3" xr3:uid="{FE476A4C-619E-6B4F-8640-7472F8D4C836}" name="vote_average"/>
    <tableColumn id="4" xr3:uid="{C53B8DC6-8391-1147-A387-A9BF1B943CB4}" name="vote_count"/>
    <tableColumn id="5" xr3:uid="{0AE2BF82-FB61-624A-8301-DB48814927D6}" name="status"/>
    <tableColumn id="6" xr3:uid="{8BA46081-4EA6-2145-8B5F-0E29E0FDC834}" name="release_date" dataDxfId="0"/>
    <tableColumn id="7" xr3:uid="{5F276EF0-A90E-4B4E-ABF8-991631AC5749}" name="revenue"/>
    <tableColumn id="8" xr3:uid="{D6239D25-1D3A-3A48-9E06-31FEE3F47162}" name="runtime"/>
    <tableColumn id="9" xr3:uid="{93009B50-7F0F-2B4C-A950-584990EC76B4}" name="budget"/>
    <tableColumn id="10" xr3:uid="{61E93AFD-99CB-F14E-983E-EBA4BD95F059}" name="imdb_id"/>
    <tableColumn id="11" xr3:uid="{E20EF21A-53F8-E44E-A960-AA12DBD3B8D2}" name="original_language"/>
    <tableColumn id="12" xr3:uid="{F117BD77-7723-984F-A2FF-68EA1C8D3033}" name="original_title"/>
    <tableColumn id="13" xr3:uid="{EAF605F9-498A-8C4C-9E7A-F009F7F86EB9}" name="overview"/>
    <tableColumn id="14" xr3:uid="{8A1386AE-CFAC-734D-B46F-D1E5780A9EA9}" name="popularity"/>
    <tableColumn id="15" xr3:uid="{2E209A8A-2E26-0249-869E-782061E707B3}" name="tagline"/>
    <tableColumn id="16" xr3:uid="{E08A633F-2995-EE43-9E2C-E3B35B58C47D}" name="genres"/>
    <tableColumn id="17" xr3:uid="{88281B62-1F00-ED48-B0D2-C1E03B3AB83A}" name="production_companies"/>
    <tableColumn id="18" xr3:uid="{C5BDC67D-5144-ED4E-851C-A192195B20A0}" name="production_countries"/>
    <tableColumn id="19" xr3:uid="{09548D65-82C9-F941-80A7-C32155377646}" name="spoken_languages"/>
    <tableColumn id="20" xr3:uid="{E5FE2FE5-A33F-E346-B3A7-5D21FCA92A39}" name="cast"/>
    <tableColumn id="21" xr3:uid="{5BA6A2B8-93E2-8049-A5C8-4FD5A66FC236}" name="director"/>
    <tableColumn id="22" xr3:uid="{BC8E7F50-F446-824A-92AC-3D033EF5F92A}" name="director_of_photography"/>
    <tableColumn id="23" xr3:uid="{1668DCDA-E305-6743-95C1-A9FB5346D920}" name="writers"/>
    <tableColumn id="24" xr3:uid="{5DF3FFB9-2DEC-564A-95E0-D7E86A03E099}" name="producers"/>
    <tableColumn id="25" xr3:uid="{DC63FFF2-82C2-8E4E-AF75-60DCD510B9BA}" name="music_composer"/>
    <tableColumn id="26" xr3:uid="{013B0E70-5DA2-C842-A395-357B2CE81A94}" name="imdb_rating"/>
    <tableColumn id="27" xr3:uid="{FA0FD746-D2F7-154A-97CA-9F0559F38EFC}" name="imdb_votes"/>
    <tableColumn id="28" xr3:uid="{3F6CBC4C-7D22-0945-8D68-184EA8AA9B49}" name="poster_path"/>
    <tableColumn id="29" xr3:uid="{D0577839-D990-BB4D-932E-5F140711C9EB}" name="release_month"/>
    <tableColumn id="30" xr3:uid="{FF3D9CD0-5FB4-F44C-B438-7757E0EF93FE}" name="release_year"/>
    <tableColumn id="31" xr3:uid="{3DEEFCAF-ADED-D54E-A28A-0D21D4DF804B}" name="iso_week"/>
    <tableColumn id="32" xr3:uid="{31EB6CD0-09CF-0C49-B065-A0204A2EEBC6}" name="title_clean"/>
    <tableColumn id="33" xr3:uid="{C18BB583-84D1-764A-9AF4-687A839CA0CC}" name="distance"/>
    <tableColumn id="34" xr3:uid="{B1FBA06E-8DF3-924B-A9F1-0AD75B58BAC5}" name="strength"/>
    <tableColumn id="35" xr3:uid="{1BF0A331-13E3-0C40-A37C-F13E5160E073}" name="score" totalsRowFunction="sum"/>
    <tableColumn id="36" xr3:uid="{A275A473-0B94-B045-AD6E-178580E5E453}" name="marvel_movie"/>
    <tableColumn id="37" xr3:uid="{69974993-B235-5A48-B23B-8631F7E8BDB9}" name="attributes"/>
    <tableColumn id="38" xr3:uid="{DBCB587B-53A7-9A48-A995-758AFACDC67F}" name="blank"/>
    <tableColumn id="39" xr3:uid="{75012335-1121-0149-AC25-961BDC5B7419}" name="internet"/>
    <tableColumn id="40" xr3:uid="{94E0BFA5-7BCB-094B-B31B-A81A2431B99A}" name="total"/>
    <tableColumn id="41" xr3:uid="{D59D5F1E-D747-2B45-BB24-E276B5C78D3D}" name="internet_ratio"/>
    <tableColumn id="42" xr3:uid="{EC838DDE-2DCA-E34A-82B9-BF59D61E6DD1}" name="internet_dominance"/>
    <tableColumn id="43" xr3:uid="{4B714CBF-81C9-2C47-A5E9-A22E47B51085}"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BB07B-4A7E-1748-ABD6-395BA704AC50}">
  <dimension ref="A1:AQ33"/>
  <sheetViews>
    <sheetView tabSelected="1" topLeftCell="AA1" workbookViewId="0">
      <selection activeCell="AI33" sqref="AI33"/>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603692</v>
      </c>
      <c r="B2" t="s">
        <v>43</v>
      </c>
      <c r="C2">
        <v>7.7</v>
      </c>
      <c r="D2">
        <v>7469</v>
      </c>
      <c r="E2" t="s">
        <v>44</v>
      </c>
      <c r="F2" s="1">
        <v>45007</v>
      </c>
      <c r="G2">
        <v>440157245</v>
      </c>
      <c r="H2">
        <v>170</v>
      </c>
      <c r="I2">
        <v>100000000</v>
      </c>
      <c r="J2" t="s">
        <v>45</v>
      </c>
      <c r="K2" t="s">
        <v>46</v>
      </c>
      <c r="L2" t="s">
        <v>43</v>
      </c>
      <c r="M2" t="s">
        <v>47</v>
      </c>
      <c r="N2">
        <v>13.587400000000001</v>
      </c>
      <c r="O2" t="s">
        <v>48</v>
      </c>
      <c r="P2" t="s">
        <v>49</v>
      </c>
      <c r="Q2" t="s">
        <v>50</v>
      </c>
      <c r="R2" t="s">
        <v>51</v>
      </c>
      <c r="S2" t="s">
        <v>52</v>
      </c>
      <c r="T2" t="s">
        <v>53</v>
      </c>
      <c r="U2" t="s">
        <v>54</v>
      </c>
      <c r="V2" t="s">
        <v>55</v>
      </c>
      <c r="W2" t="s">
        <v>56</v>
      </c>
      <c r="X2" t="s">
        <v>57</v>
      </c>
      <c r="Y2" t="s">
        <v>58</v>
      </c>
      <c r="Z2">
        <v>7.6</v>
      </c>
      <c r="AA2">
        <v>397550</v>
      </c>
      <c r="AB2" t="s">
        <v>59</v>
      </c>
      <c r="AC2">
        <v>3</v>
      </c>
      <c r="AD2">
        <v>2023</v>
      </c>
      <c r="AE2">
        <v>12</v>
      </c>
      <c r="AF2" t="s">
        <v>60</v>
      </c>
      <c r="AG2">
        <v>-42</v>
      </c>
      <c r="AH2">
        <v>19.902642598305199</v>
      </c>
      <c r="AI2">
        <v>0.46285215344895903</v>
      </c>
      <c r="AJ2" t="s">
        <v>61</v>
      </c>
      <c r="AK2" t="s">
        <v>62</v>
      </c>
      <c r="AL2">
        <v>65</v>
      </c>
      <c r="AM2">
        <v>2</v>
      </c>
      <c r="AN2">
        <v>73</v>
      </c>
      <c r="AO2">
        <v>0.03</v>
      </c>
      <c r="AP2" t="s">
        <v>63</v>
      </c>
      <c r="AQ2" t="s">
        <v>63</v>
      </c>
    </row>
    <row r="3" spans="1:43" x14ac:dyDescent="0.2">
      <c r="A3">
        <v>493529</v>
      </c>
      <c r="B3" t="s">
        <v>64</v>
      </c>
      <c r="C3">
        <v>7.33</v>
      </c>
      <c r="D3">
        <v>4206</v>
      </c>
      <c r="E3" t="s">
        <v>44</v>
      </c>
      <c r="F3" s="1">
        <v>45008</v>
      </c>
      <c r="G3">
        <v>208200000</v>
      </c>
      <c r="H3">
        <v>134</v>
      </c>
      <c r="I3">
        <v>151000000</v>
      </c>
      <c r="J3" t="s">
        <v>65</v>
      </c>
      <c r="K3" t="s">
        <v>46</v>
      </c>
      <c r="L3" t="s">
        <v>64</v>
      </c>
      <c r="M3" t="s">
        <v>66</v>
      </c>
      <c r="N3">
        <v>9.0975000000000001</v>
      </c>
      <c r="O3" t="s">
        <v>67</v>
      </c>
      <c r="P3" t="s">
        <v>68</v>
      </c>
      <c r="Q3" t="s">
        <v>69</v>
      </c>
      <c r="R3" t="s">
        <v>70</v>
      </c>
      <c r="S3" t="s">
        <v>71</v>
      </c>
      <c r="T3" t="s">
        <v>72</v>
      </c>
      <c r="U3" t="s">
        <v>73</v>
      </c>
      <c r="V3" t="s">
        <v>74</v>
      </c>
      <c r="W3" t="s">
        <v>75</v>
      </c>
      <c r="X3" t="s">
        <v>76</v>
      </c>
      <c r="Y3" t="s">
        <v>77</v>
      </c>
      <c r="Z3">
        <v>7.2</v>
      </c>
      <c r="AA3">
        <v>267572</v>
      </c>
      <c r="AB3" t="s">
        <v>78</v>
      </c>
      <c r="AC3">
        <v>3</v>
      </c>
      <c r="AD3">
        <v>2023</v>
      </c>
      <c r="AE3">
        <v>12</v>
      </c>
      <c r="AF3" t="s">
        <v>79</v>
      </c>
      <c r="AG3">
        <v>-41</v>
      </c>
      <c r="AH3">
        <v>19.154009718948199</v>
      </c>
      <c r="AI3">
        <v>0.45604785045114798</v>
      </c>
      <c r="AJ3" t="s">
        <v>61</v>
      </c>
      <c r="AK3" t="s">
        <v>80</v>
      </c>
      <c r="AL3">
        <v>45</v>
      </c>
      <c r="AM3">
        <v>4</v>
      </c>
      <c r="AN3">
        <v>59</v>
      </c>
      <c r="AO3">
        <v>7.0000000000000007E-2</v>
      </c>
      <c r="AP3" t="s">
        <v>63</v>
      </c>
      <c r="AQ3" t="s">
        <v>63</v>
      </c>
    </row>
    <row r="4" spans="1:43" x14ac:dyDescent="0.2">
      <c r="A4">
        <v>555285</v>
      </c>
      <c r="B4" t="s">
        <v>81</v>
      </c>
      <c r="C4">
        <v>7.2</v>
      </c>
      <c r="D4">
        <v>460</v>
      </c>
      <c r="E4" t="s">
        <v>44</v>
      </c>
      <c r="F4" s="1">
        <v>45014</v>
      </c>
      <c r="G4">
        <v>21800000</v>
      </c>
      <c r="H4">
        <v>106</v>
      </c>
      <c r="I4">
        <v>30000000</v>
      </c>
      <c r="J4" t="s">
        <v>82</v>
      </c>
      <c r="K4" t="s">
        <v>46</v>
      </c>
      <c r="L4" t="s">
        <v>81</v>
      </c>
      <c r="M4" t="s">
        <v>83</v>
      </c>
      <c r="N4">
        <v>4.0491000000000001</v>
      </c>
      <c r="O4" t="s">
        <v>84</v>
      </c>
      <c r="P4" t="s">
        <v>85</v>
      </c>
      <c r="Q4" t="s">
        <v>86</v>
      </c>
      <c r="R4" t="s">
        <v>87</v>
      </c>
      <c r="S4" t="s">
        <v>88</v>
      </c>
      <c r="T4" t="s">
        <v>89</v>
      </c>
      <c r="U4" t="s">
        <v>90</v>
      </c>
      <c r="V4" t="s">
        <v>91</v>
      </c>
      <c r="W4" t="s">
        <v>92</v>
      </c>
      <c r="X4" t="s">
        <v>93</v>
      </c>
      <c r="Y4" t="s">
        <v>94</v>
      </c>
      <c r="Z4">
        <v>7.3</v>
      </c>
      <c r="AA4">
        <v>36256</v>
      </c>
      <c r="AB4" t="s">
        <v>95</v>
      </c>
      <c r="AC4">
        <v>3</v>
      </c>
      <c r="AD4">
        <v>2023</v>
      </c>
      <c r="AE4">
        <v>13</v>
      </c>
      <c r="AF4" t="s">
        <v>96</v>
      </c>
      <c r="AG4">
        <v>-35</v>
      </c>
      <c r="AH4">
        <v>16.8974205736308</v>
      </c>
      <c r="AI4">
        <v>0.46937279371196799</v>
      </c>
      <c r="AJ4" t="s">
        <v>61</v>
      </c>
      <c r="AK4" t="s">
        <v>97</v>
      </c>
      <c r="AL4">
        <v>6</v>
      </c>
      <c r="AM4">
        <v>6</v>
      </c>
      <c r="AN4">
        <v>21</v>
      </c>
      <c r="AO4">
        <v>0.28999999999999998</v>
      </c>
      <c r="AP4" t="s">
        <v>63</v>
      </c>
      <c r="AQ4" t="s">
        <v>63</v>
      </c>
    </row>
    <row r="5" spans="1:43" x14ac:dyDescent="0.2">
      <c r="A5">
        <v>502356</v>
      </c>
      <c r="B5" t="s">
        <v>98</v>
      </c>
      <c r="C5">
        <v>7.6</v>
      </c>
      <c r="D5">
        <v>10048</v>
      </c>
      <c r="E5" t="s">
        <v>44</v>
      </c>
      <c r="F5" s="1">
        <v>45021</v>
      </c>
      <c r="G5">
        <v>1362000000</v>
      </c>
      <c r="H5">
        <v>93</v>
      </c>
      <c r="I5">
        <v>100000000</v>
      </c>
      <c r="J5" t="s">
        <v>99</v>
      </c>
      <c r="K5" t="s">
        <v>46</v>
      </c>
      <c r="L5" t="s">
        <v>98</v>
      </c>
      <c r="M5" t="s">
        <v>100</v>
      </c>
      <c r="N5">
        <v>14.1135</v>
      </c>
      <c r="O5" t="s">
        <v>101</v>
      </c>
      <c r="P5" t="s">
        <v>102</v>
      </c>
      <c r="Q5" t="s">
        <v>103</v>
      </c>
      <c r="R5" t="s">
        <v>104</v>
      </c>
      <c r="S5" t="s">
        <v>71</v>
      </c>
      <c r="T5" t="s">
        <v>105</v>
      </c>
      <c r="U5" t="s">
        <v>106</v>
      </c>
      <c r="W5" t="s">
        <v>107</v>
      </c>
      <c r="X5" t="s">
        <v>108</v>
      </c>
      <c r="Y5" t="s">
        <v>109</v>
      </c>
      <c r="Z5">
        <v>7</v>
      </c>
      <c r="AA5">
        <v>278183</v>
      </c>
      <c r="AB5" t="s">
        <v>110</v>
      </c>
      <c r="AC5">
        <v>4</v>
      </c>
      <c r="AD5">
        <v>2023</v>
      </c>
      <c r="AE5">
        <v>14</v>
      </c>
      <c r="AF5" t="s">
        <v>111</v>
      </c>
      <c r="AG5">
        <v>-28</v>
      </c>
      <c r="AH5">
        <v>21.0322200454079</v>
      </c>
      <c r="AI5">
        <v>0.72524896708303199</v>
      </c>
      <c r="AJ5" t="s">
        <v>61</v>
      </c>
      <c r="AK5" t="s">
        <v>112</v>
      </c>
      <c r="AL5">
        <v>84</v>
      </c>
      <c r="AM5">
        <v>2</v>
      </c>
      <c r="AN5">
        <v>90</v>
      </c>
      <c r="AO5">
        <v>0.02</v>
      </c>
      <c r="AP5" t="s">
        <v>63</v>
      </c>
      <c r="AQ5" t="s">
        <v>63</v>
      </c>
    </row>
    <row r="6" spans="1:43" x14ac:dyDescent="0.2">
      <c r="A6">
        <v>758323</v>
      </c>
      <c r="B6" t="s">
        <v>113</v>
      </c>
      <c r="C6">
        <v>6.9</v>
      </c>
      <c r="D6">
        <v>3004</v>
      </c>
      <c r="E6" t="s">
        <v>44</v>
      </c>
      <c r="F6" s="1">
        <v>45021</v>
      </c>
      <c r="G6">
        <v>76987621</v>
      </c>
      <c r="H6">
        <v>103</v>
      </c>
      <c r="I6">
        <v>18000000</v>
      </c>
      <c r="J6" t="s">
        <v>114</v>
      </c>
      <c r="K6" t="s">
        <v>46</v>
      </c>
      <c r="L6" t="s">
        <v>113</v>
      </c>
      <c r="M6" t="s">
        <v>115</v>
      </c>
      <c r="N6">
        <v>10.852</v>
      </c>
      <c r="O6" t="s">
        <v>116</v>
      </c>
      <c r="P6" t="s">
        <v>117</v>
      </c>
      <c r="Q6" t="s">
        <v>118</v>
      </c>
      <c r="R6" t="s">
        <v>87</v>
      </c>
      <c r="S6" t="s">
        <v>119</v>
      </c>
      <c r="T6" t="s">
        <v>120</v>
      </c>
      <c r="U6" t="s">
        <v>121</v>
      </c>
      <c r="V6" t="s">
        <v>122</v>
      </c>
      <c r="W6" t="s">
        <v>123</v>
      </c>
      <c r="X6" t="s">
        <v>124</v>
      </c>
      <c r="Y6" t="s">
        <v>125</v>
      </c>
      <c r="Z6">
        <v>6.1</v>
      </c>
      <c r="AA6">
        <v>99604</v>
      </c>
      <c r="AB6" t="s">
        <v>126</v>
      </c>
      <c r="AC6">
        <v>4</v>
      </c>
      <c r="AD6">
        <v>2023</v>
      </c>
      <c r="AE6">
        <v>14</v>
      </c>
      <c r="AF6" t="s">
        <v>127</v>
      </c>
      <c r="AG6">
        <v>-28</v>
      </c>
      <c r="AH6">
        <v>18.159155213649001</v>
      </c>
      <c r="AI6">
        <v>0.62617776598789698</v>
      </c>
      <c r="AJ6" t="s">
        <v>61</v>
      </c>
      <c r="AK6" t="s">
        <v>128</v>
      </c>
      <c r="AL6">
        <v>42</v>
      </c>
      <c r="AM6">
        <v>0</v>
      </c>
      <c r="AN6">
        <v>43</v>
      </c>
      <c r="AO6">
        <v>0</v>
      </c>
      <c r="AP6" t="s">
        <v>63</v>
      </c>
      <c r="AQ6" t="s">
        <v>63</v>
      </c>
    </row>
    <row r="7" spans="1:43" x14ac:dyDescent="0.2">
      <c r="A7">
        <v>649609</v>
      </c>
      <c r="B7" t="s">
        <v>129</v>
      </c>
      <c r="C7">
        <v>6.5</v>
      </c>
      <c r="D7">
        <v>1989</v>
      </c>
      <c r="E7" t="s">
        <v>44</v>
      </c>
      <c r="F7" s="1">
        <v>45023</v>
      </c>
      <c r="G7">
        <v>26874347</v>
      </c>
      <c r="H7">
        <v>93</v>
      </c>
      <c r="I7">
        <v>65000000</v>
      </c>
      <c r="J7" t="s">
        <v>130</v>
      </c>
      <c r="K7" t="s">
        <v>46</v>
      </c>
      <c r="L7" t="s">
        <v>129</v>
      </c>
      <c r="M7" t="s">
        <v>131</v>
      </c>
      <c r="N7">
        <v>6.5141</v>
      </c>
      <c r="O7" t="s">
        <v>132</v>
      </c>
      <c r="P7" t="s">
        <v>133</v>
      </c>
      <c r="Q7" t="s">
        <v>134</v>
      </c>
      <c r="R7" t="s">
        <v>87</v>
      </c>
      <c r="S7" t="s">
        <v>135</v>
      </c>
      <c r="T7" t="s">
        <v>136</v>
      </c>
      <c r="U7" t="s">
        <v>137</v>
      </c>
      <c r="V7" t="s">
        <v>138</v>
      </c>
      <c r="W7" t="s">
        <v>139</v>
      </c>
      <c r="X7" t="s">
        <v>140</v>
      </c>
      <c r="Y7" t="s">
        <v>141</v>
      </c>
      <c r="Z7">
        <v>6.4</v>
      </c>
      <c r="AA7">
        <v>116917</v>
      </c>
      <c r="AB7" t="s">
        <v>142</v>
      </c>
      <c r="AC7">
        <v>4</v>
      </c>
      <c r="AD7">
        <v>2023</v>
      </c>
      <c r="AE7">
        <v>14</v>
      </c>
      <c r="AF7" t="s">
        <v>143</v>
      </c>
      <c r="AG7">
        <v>-26</v>
      </c>
      <c r="AH7">
        <v>17.106682783652602</v>
      </c>
      <c r="AI7">
        <v>0.63358084383898805</v>
      </c>
      <c r="AJ7" t="s">
        <v>61</v>
      </c>
      <c r="AK7" t="s">
        <v>144</v>
      </c>
      <c r="AL7">
        <v>49</v>
      </c>
      <c r="AM7">
        <v>2</v>
      </c>
      <c r="AN7">
        <v>59</v>
      </c>
      <c r="AO7">
        <v>0.03</v>
      </c>
      <c r="AP7" t="s">
        <v>63</v>
      </c>
      <c r="AQ7" t="s">
        <v>63</v>
      </c>
    </row>
    <row r="8" spans="1:43" x14ac:dyDescent="0.2">
      <c r="A8">
        <v>713704</v>
      </c>
      <c r="B8" t="s">
        <v>145</v>
      </c>
      <c r="C8">
        <v>6.9219999999999997</v>
      </c>
      <c r="D8">
        <v>3430</v>
      </c>
      <c r="E8" t="s">
        <v>44</v>
      </c>
      <c r="F8" s="1">
        <v>45028</v>
      </c>
      <c r="G8">
        <v>147156372</v>
      </c>
      <c r="H8">
        <v>96</v>
      </c>
      <c r="I8">
        <v>15000000</v>
      </c>
      <c r="J8" t="s">
        <v>146</v>
      </c>
      <c r="K8" t="s">
        <v>46</v>
      </c>
      <c r="L8" t="s">
        <v>145</v>
      </c>
      <c r="M8" t="s">
        <v>147</v>
      </c>
      <c r="N8">
        <v>8.7062000000000008</v>
      </c>
      <c r="O8" t="s">
        <v>148</v>
      </c>
      <c r="P8" t="s">
        <v>117</v>
      </c>
      <c r="Q8" t="s">
        <v>149</v>
      </c>
      <c r="R8" t="s">
        <v>150</v>
      </c>
      <c r="S8" t="s">
        <v>71</v>
      </c>
      <c r="T8" t="s">
        <v>151</v>
      </c>
      <c r="U8" t="s">
        <v>152</v>
      </c>
      <c r="V8" t="s">
        <v>153</v>
      </c>
      <c r="W8" t="s">
        <v>154</v>
      </c>
      <c r="X8" t="s">
        <v>155</v>
      </c>
      <c r="Y8" t="s">
        <v>156</v>
      </c>
      <c r="Z8">
        <v>6.5</v>
      </c>
      <c r="AA8">
        <v>162423</v>
      </c>
      <c r="AB8" t="s">
        <v>157</v>
      </c>
      <c r="AC8">
        <v>4</v>
      </c>
      <c r="AD8">
        <v>2023</v>
      </c>
      <c r="AE8">
        <v>15</v>
      </c>
      <c r="AF8" t="s">
        <v>158</v>
      </c>
      <c r="AG8">
        <v>-21</v>
      </c>
      <c r="AH8">
        <v>18.807006341253999</v>
      </c>
      <c r="AI8">
        <v>0.85486392460245397</v>
      </c>
      <c r="AJ8" t="s">
        <v>61</v>
      </c>
      <c r="AK8" t="s">
        <v>159</v>
      </c>
      <c r="AL8">
        <v>38</v>
      </c>
      <c r="AM8">
        <v>2</v>
      </c>
      <c r="AN8">
        <v>44</v>
      </c>
      <c r="AO8">
        <v>0.05</v>
      </c>
      <c r="AP8" t="s">
        <v>63</v>
      </c>
      <c r="AQ8" t="s">
        <v>63</v>
      </c>
    </row>
    <row r="9" spans="1:43" x14ac:dyDescent="0.2">
      <c r="A9">
        <v>809787</v>
      </c>
      <c r="B9" t="s">
        <v>160</v>
      </c>
      <c r="C9">
        <v>6.1</v>
      </c>
      <c r="D9">
        <v>285</v>
      </c>
      <c r="E9" t="s">
        <v>44</v>
      </c>
      <c r="F9" s="1">
        <v>45029</v>
      </c>
      <c r="G9">
        <v>3900000</v>
      </c>
      <c r="H9">
        <v>101</v>
      </c>
      <c r="I9">
        <v>41000000</v>
      </c>
      <c r="J9" t="s">
        <v>161</v>
      </c>
      <c r="K9" t="s">
        <v>46</v>
      </c>
      <c r="L9" t="s">
        <v>160</v>
      </c>
      <c r="M9" t="s">
        <v>162</v>
      </c>
      <c r="N9">
        <v>2.9321000000000002</v>
      </c>
      <c r="O9" t="s">
        <v>163</v>
      </c>
      <c r="P9" t="s">
        <v>164</v>
      </c>
      <c r="Q9" t="s">
        <v>165</v>
      </c>
      <c r="R9" t="s">
        <v>166</v>
      </c>
      <c r="S9" t="s">
        <v>167</v>
      </c>
      <c r="T9" t="s">
        <v>168</v>
      </c>
      <c r="U9" t="s">
        <v>169</v>
      </c>
      <c r="V9" t="s">
        <v>170</v>
      </c>
      <c r="W9" t="s">
        <v>171</v>
      </c>
      <c r="X9" t="s">
        <v>172</v>
      </c>
      <c r="Y9" t="s">
        <v>173</v>
      </c>
      <c r="Z9">
        <v>5.4</v>
      </c>
      <c r="AA9">
        <v>13653</v>
      </c>
      <c r="AB9" t="s">
        <v>174</v>
      </c>
      <c r="AC9">
        <v>4</v>
      </c>
      <c r="AD9">
        <v>2023</v>
      </c>
      <c r="AE9">
        <v>15</v>
      </c>
      <c r="AF9" t="s">
        <v>175</v>
      </c>
      <c r="AG9">
        <v>-20</v>
      </c>
      <c r="AH9">
        <v>15.1764873675101</v>
      </c>
      <c r="AI9">
        <v>0.722689874643338</v>
      </c>
      <c r="AJ9" t="s">
        <v>61</v>
      </c>
      <c r="AK9" t="s">
        <v>176</v>
      </c>
      <c r="AL9">
        <v>15</v>
      </c>
      <c r="AM9">
        <v>5</v>
      </c>
      <c r="AN9">
        <v>24</v>
      </c>
      <c r="AO9">
        <v>0.21</v>
      </c>
      <c r="AP9" t="s">
        <v>63</v>
      </c>
      <c r="AQ9" t="s">
        <v>63</v>
      </c>
    </row>
    <row r="10" spans="1:43" x14ac:dyDescent="0.2">
      <c r="A10">
        <v>798286</v>
      </c>
      <c r="B10" t="s">
        <v>177</v>
      </c>
      <c r="C10">
        <v>6.7240000000000002</v>
      </c>
      <c r="D10">
        <v>1215</v>
      </c>
      <c r="E10" t="s">
        <v>44</v>
      </c>
      <c r="F10" s="1">
        <v>45030</v>
      </c>
      <c r="G10">
        <v>12337378</v>
      </c>
      <c r="H10">
        <v>179</v>
      </c>
      <c r="I10">
        <v>35000000</v>
      </c>
      <c r="J10" t="s">
        <v>178</v>
      </c>
      <c r="K10" t="s">
        <v>46</v>
      </c>
      <c r="L10" t="s">
        <v>177</v>
      </c>
      <c r="M10" t="s">
        <v>179</v>
      </c>
      <c r="N10">
        <v>6.3768000000000002</v>
      </c>
      <c r="O10" t="s">
        <v>180</v>
      </c>
      <c r="P10" t="s">
        <v>181</v>
      </c>
      <c r="Q10" t="s">
        <v>182</v>
      </c>
      <c r="R10" t="s">
        <v>183</v>
      </c>
      <c r="S10" t="s">
        <v>71</v>
      </c>
      <c r="T10" t="s">
        <v>184</v>
      </c>
      <c r="U10" t="s">
        <v>185</v>
      </c>
      <c r="V10" t="s">
        <v>186</v>
      </c>
      <c r="W10" t="s">
        <v>185</v>
      </c>
      <c r="X10" t="s">
        <v>187</v>
      </c>
      <c r="Y10" t="s">
        <v>188</v>
      </c>
      <c r="Z10">
        <v>6.6</v>
      </c>
      <c r="AA10">
        <v>75974</v>
      </c>
      <c r="AB10" t="s">
        <v>189</v>
      </c>
      <c r="AC10">
        <v>4</v>
      </c>
      <c r="AD10">
        <v>2023</v>
      </c>
      <c r="AE10">
        <v>15</v>
      </c>
      <c r="AF10" t="s">
        <v>190</v>
      </c>
      <c r="AG10">
        <v>-19</v>
      </c>
      <c r="AH10">
        <v>16.3281441551783</v>
      </c>
      <c r="AI10">
        <v>0.81640720775891495</v>
      </c>
      <c r="AJ10" t="s">
        <v>61</v>
      </c>
      <c r="AK10" t="s">
        <v>191</v>
      </c>
      <c r="AL10">
        <v>40</v>
      </c>
      <c r="AM10">
        <v>2</v>
      </c>
      <c r="AN10">
        <v>52</v>
      </c>
      <c r="AO10">
        <v>0.04</v>
      </c>
      <c r="AP10" t="s">
        <v>63</v>
      </c>
      <c r="AQ10" t="s">
        <v>63</v>
      </c>
    </row>
    <row r="11" spans="1:43" x14ac:dyDescent="0.2">
      <c r="A11">
        <v>913673</v>
      </c>
      <c r="B11" t="s">
        <v>192</v>
      </c>
      <c r="C11">
        <v>6.8</v>
      </c>
      <c r="D11">
        <v>404</v>
      </c>
      <c r="E11" t="s">
        <v>44</v>
      </c>
      <c r="F11" s="1">
        <v>45030</v>
      </c>
      <c r="G11">
        <v>5400000</v>
      </c>
      <c r="H11">
        <v>98</v>
      </c>
      <c r="I11">
        <v>3000000</v>
      </c>
      <c r="J11" t="s">
        <v>193</v>
      </c>
      <c r="K11" t="s">
        <v>46</v>
      </c>
      <c r="L11" t="s">
        <v>192</v>
      </c>
      <c r="M11" t="s">
        <v>194</v>
      </c>
      <c r="N11">
        <v>3.1589999999999998</v>
      </c>
      <c r="O11" t="s">
        <v>195</v>
      </c>
      <c r="P11" t="s">
        <v>196</v>
      </c>
      <c r="Q11" t="s">
        <v>197</v>
      </c>
      <c r="R11" t="s">
        <v>87</v>
      </c>
      <c r="S11" t="s">
        <v>71</v>
      </c>
      <c r="T11" t="s">
        <v>198</v>
      </c>
      <c r="U11" t="s">
        <v>199</v>
      </c>
      <c r="V11" t="s">
        <v>200</v>
      </c>
      <c r="W11" t="s">
        <v>199</v>
      </c>
      <c r="X11" t="s">
        <v>201</v>
      </c>
      <c r="Y11" t="s">
        <v>202</v>
      </c>
      <c r="Z11">
        <v>6.4</v>
      </c>
      <c r="AA11">
        <v>37321</v>
      </c>
      <c r="AB11" t="s">
        <v>203</v>
      </c>
      <c r="AC11">
        <v>4</v>
      </c>
      <c r="AD11">
        <v>2023</v>
      </c>
      <c r="AE11">
        <v>15</v>
      </c>
      <c r="AF11" t="s">
        <v>204</v>
      </c>
      <c r="AG11">
        <v>-19</v>
      </c>
      <c r="AH11">
        <v>15.501909696719601</v>
      </c>
      <c r="AI11">
        <v>0.77509548483598301</v>
      </c>
      <c r="AJ11" t="s">
        <v>61</v>
      </c>
      <c r="AK11" t="s">
        <v>205</v>
      </c>
      <c r="AL11">
        <v>13</v>
      </c>
      <c r="AM11">
        <v>3</v>
      </c>
      <c r="AN11">
        <v>19</v>
      </c>
      <c r="AO11">
        <v>0.16</v>
      </c>
      <c r="AP11" t="s">
        <v>63</v>
      </c>
      <c r="AQ11" t="s">
        <v>63</v>
      </c>
    </row>
    <row r="12" spans="1:43" x14ac:dyDescent="0.2">
      <c r="A12">
        <v>882569</v>
      </c>
      <c r="B12" t="s">
        <v>206</v>
      </c>
      <c r="C12">
        <v>7.7309999999999999</v>
      </c>
      <c r="D12">
        <v>2931</v>
      </c>
      <c r="E12" t="s">
        <v>44</v>
      </c>
      <c r="F12" s="1">
        <v>45035</v>
      </c>
      <c r="G12">
        <v>21948551</v>
      </c>
      <c r="H12">
        <v>123</v>
      </c>
      <c r="I12">
        <v>55000000</v>
      </c>
      <c r="J12" t="s">
        <v>207</v>
      </c>
      <c r="K12" t="s">
        <v>46</v>
      </c>
      <c r="L12" t="s">
        <v>206</v>
      </c>
      <c r="M12" t="s">
        <v>208</v>
      </c>
      <c r="N12">
        <v>6.1439000000000004</v>
      </c>
      <c r="O12" t="s">
        <v>209</v>
      </c>
      <c r="P12" t="s">
        <v>210</v>
      </c>
      <c r="Q12" t="s">
        <v>211</v>
      </c>
      <c r="R12" t="s">
        <v>212</v>
      </c>
      <c r="S12" t="s">
        <v>213</v>
      </c>
      <c r="T12" t="s">
        <v>214</v>
      </c>
      <c r="U12" t="s">
        <v>215</v>
      </c>
      <c r="V12" t="s">
        <v>216</v>
      </c>
      <c r="W12" t="s">
        <v>217</v>
      </c>
      <c r="X12" t="s">
        <v>218</v>
      </c>
      <c r="Y12" t="s">
        <v>219</v>
      </c>
      <c r="Z12">
        <v>7.5</v>
      </c>
      <c r="AA12">
        <v>198353</v>
      </c>
      <c r="AB12" t="s">
        <v>220</v>
      </c>
      <c r="AC12">
        <v>4</v>
      </c>
      <c r="AD12">
        <v>2023</v>
      </c>
      <c r="AE12">
        <v>16</v>
      </c>
      <c r="AF12" t="s">
        <v>221</v>
      </c>
      <c r="AG12">
        <v>-14</v>
      </c>
      <c r="AH12">
        <v>16.904211727200099</v>
      </c>
      <c r="AI12">
        <v>1.1269474484799999</v>
      </c>
      <c r="AJ12" t="s">
        <v>61</v>
      </c>
      <c r="AK12" t="s">
        <v>222</v>
      </c>
      <c r="AL12">
        <v>26</v>
      </c>
      <c r="AM12">
        <v>13</v>
      </c>
      <c r="AN12">
        <v>40</v>
      </c>
      <c r="AO12">
        <v>0.33</v>
      </c>
      <c r="AP12" t="s">
        <v>63</v>
      </c>
      <c r="AQ12" t="s">
        <v>63</v>
      </c>
    </row>
    <row r="13" spans="1:43" hidden="1" x14ac:dyDescent="0.2">
      <c r="A13">
        <v>812635</v>
      </c>
      <c r="B13" t="s">
        <v>223</v>
      </c>
      <c r="C13">
        <v>6.3010000000000002</v>
      </c>
      <c r="D13">
        <v>118</v>
      </c>
      <c r="E13" t="s">
        <v>44</v>
      </c>
      <c r="F13" s="1">
        <v>45036</v>
      </c>
      <c r="G13">
        <v>4200000</v>
      </c>
      <c r="H13">
        <v>104</v>
      </c>
      <c r="I13">
        <v>35000000</v>
      </c>
      <c r="J13" t="s">
        <v>224</v>
      </c>
      <c r="K13" t="s">
        <v>46</v>
      </c>
      <c r="L13" t="s">
        <v>223</v>
      </c>
      <c r="M13" t="s">
        <v>225</v>
      </c>
      <c r="N13">
        <v>3.7988</v>
      </c>
      <c r="O13" t="s">
        <v>226</v>
      </c>
      <c r="P13" t="s">
        <v>227</v>
      </c>
      <c r="Q13" t="s">
        <v>228</v>
      </c>
      <c r="R13" t="s">
        <v>229</v>
      </c>
      <c r="S13" t="s">
        <v>230</v>
      </c>
      <c r="T13" t="s">
        <v>231</v>
      </c>
      <c r="U13" t="s">
        <v>232</v>
      </c>
      <c r="V13" t="s">
        <v>233</v>
      </c>
      <c r="W13" t="s">
        <v>234</v>
      </c>
      <c r="X13" t="s">
        <v>235</v>
      </c>
      <c r="Y13" t="s">
        <v>236</v>
      </c>
      <c r="Z13">
        <v>6.5</v>
      </c>
      <c r="AA13">
        <v>7829</v>
      </c>
      <c r="AB13" t="s">
        <v>237</v>
      </c>
      <c r="AC13">
        <v>4</v>
      </c>
      <c r="AD13">
        <v>2023</v>
      </c>
      <c r="AE13">
        <v>16</v>
      </c>
      <c r="AF13" t="s">
        <v>238</v>
      </c>
      <c r="AG13">
        <v>-13</v>
      </c>
      <c r="AH13">
        <v>15.250595321348801</v>
      </c>
      <c r="AI13">
        <v>1.0893282372391999</v>
      </c>
      <c r="AJ13" t="s">
        <v>61</v>
      </c>
      <c r="AK13" t="s">
        <v>239</v>
      </c>
      <c r="AL13">
        <v>6</v>
      </c>
      <c r="AM13">
        <v>10</v>
      </c>
      <c r="AN13">
        <v>29</v>
      </c>
      <c r="AO13">
        <v>0.34</v>
      </c>
      <c r="AP13" t="s">
        <v>240</v>
      </c>
      <c r="AQ13" t="s">
        <v>63</v>
      </c>
    </row>
    <row r="14" spans="1:43" x14ac:dyDescent="0.2">
      <c r="A14">
        <v>455476</v>
      </c>
      <c r="B14" t="s">
        <v>241</v>
      </c>
      <c r="C14">
        <v>6.3</v>
      </c>
      <c r="D14">
        <v>1216</v>
      </c>
      <c r="E14" t="s">
        <v>44</v>
      </c>
      <c r="F14" s="1">
        <v>45043</v>
      </c>
      <c r="G14">
        <v>7000000</v>
      </c>
      <c r="H14">
        <v>113</v>
      </c>
      <c r="I14">
        <v>60000000</v>
      </c>
      <c r="J14" t="s">
        <v>242</v>
      </c>
      <c r="K14" t="s">
        <v>46</v>
      </c>
      <c r="L14" t="s">
        <v>241</v>
      </c>
      <c r="M14" t="s">
        <v>243</v>
      </c>
      <c r="N14">
        <v>6.8779000000000003</v>
      </c>
      <c r="O14" t="s">
        <v>244</v>
      </c>
      <c r="P14" t="s">
        <v>245</v>
      </c>
      <c r="Q14" t="s">
        <v>246</v>
      </c>
      <c r="R14" t="s">
        <v>247</v>
      </c>
      <c r="S14" t="s">
        <v>248</v>
      </c>
      <c r="T14" t="s">
        <v>249</v>
      </c>
      <c r="U14" t="s">
        <v>250</v>
      </c>
      <c r="V14" t="s">
        <v>251</v>
      </c>
      <c r="W14" t="s">
        <v>252</v>
      </c>
      <c r="X14" t="s">
        <v>253</v>
      </c>
      <c r="Y14" t="s">
        <v>254</v>
      </c>
      <c r="Z14">
        <v>4.4000000000000004</v>
      </c>
      <c r="AA14">
        <v>17412</v>
      </c>
      <c r="AB14" t="s">
        <v>255</v>
      </c>
      <c r="AC14">
        <v>4</v>
      </c>
      <c r="AD14">
        <v>2023</v>
      </c>
      <c r="AE14">
        <v>17</v>
      </c>
      <c r="AF14" t="s">
        <v>256</v>
      </c>
      <c r="AG14">
        <v>-6</v>
      </c>
      <c r="AH14">
        <v>15.7614208498767</v>
      </c>
      <c r="AI14">
        <v>2.2516315499823798</v>
      </c>
      <c r="AJ14" t="s">
        <v>61</v>
      </c>
      <c r="AK14" t="s">
        <v>257</v>
      </c>
      <c r="AL14">
        <v>29</v>
      </c>
      <c r="AM14">
        <v>1</v>
      </c>
      <c r="AN14">
        <v>32</v>
      </c>
      <c r="AO14">
        <v>0.03</v>
      </c>
      <c r="AP14" t="s">
        <v>63</v>
      </c>
      <c r="AQ14" t="s">
        <v>63</v>
      </c>
    </row>
    <row r="15" spans="1:43" x14ac:dyDescent="0.2">
      <c r="A15">
        <v>878361</v>
      </c>
      <c r="B15" t="s">
        <v>258</v>
      </c>
      <c r="C15">
        <v>7.5</v>
      </c>
      <c r="D15">
        <v>323</v>
      </c>
      <c r="E15" t="s">
        <v>44</v>
      </c>
      <c r="F15" s="1">
        <v>45043</v>
      </c>
      <c r="G15">
        <v>3800000</v>
      </c>
      <c r="H15">
        <v>129</v>
      </c>
      <c r="I15">
        <v>32000000</v>
      </c>
      <c r="J15" t="s">
        <v>259</v>
      </c>
      <c r="K15" t="s">
        <v>46</v>
      </c>
      <c r="L15" t="s">
        <v>258</v>
      </c>
      <c r="M15" t="s">
        <v>260</v>
      </c>
      <c r="N15">
        <v>5.2873000000000001</v>
      </c>
      <c r="O15" t="s">
        <v>261</v>
      </c>
      <c r="P15" t="s">
        <v>262</v>
      </c>
      <c r="Q15" t="s">
        <v>263</v>
      </c>
      <c r="R15" t="s">
        <v>87</v>
      </c>
      <c r="S15" t="s">
        <v>71</v>
      </c>
      <c r="T15" t="s">
        <v>264</v>
      </c>
      <c r="U15" t="s">
        <v>265</v>
      </c>
      <c r="V15" t="s">
        <v>266</v>
      </c>
      <c r="W15" t="s">
        <v>267</v>
      </c>
      <c r="X15" t="s">
        <v>268</v>
      </c>
      <c r="Y15" t="s">
        <v>269</v>
      </c>
      <c r="Z15">
        <v>6.6</v>
      </c>
      <c r="AA15">
        <v>12165</v>
      </c>
      <c r="AB15" t="s">
        <v>270</v>
      </c>
      <c r="AC15">
        <v>4</v>
      </c>
      <c r="AD15">
        <v>2023</v>
      </c>
      <c r="AE15">
        <v>17</v>
      </c>
      <c r="AF15" t="s">
        <v>271</v>
      </c>
      <c r="AG15">
        <v>-6</v>
      </c>
      <c r="AH15">
        <v>15.1505118878544</v>
      </c>
      <c r="AI15">
        <v>2.16435884112206</v>
      </c>
      <c r="AJ15" t="s">
        <v>61</v>
      </c>
      <c r="AK15" t="s">
        <v>272</v>
      </c>
      <c r="AL15">
        <v>10</v>
      </c>
      <c r="AM15">
        <v>3</v>
      </c>
      <c r="AN15">
        <v>15</v>
      </c>
      <c r="AO15">
        <v>0.2</v>
      </c>
      <c r="AP15" t="s">
        <v>63</v>
      </c>
      <c r="AQ15" t="s">
        <v>63</v>
      </c>
    </row>
    <row r="16" spans="1:43" x14ac:dyDescent="0.2">
      <c r="A16">
        <v>858082</v>
      </c>
      <c r="B16" t="s">
        <v>273</v>
      </c>
      <c r="C16">
        <v>6.2</v>
      </c>
      <c r="D16">
        <v>57</v>
      </c>
      <c r="E16" t="s">
        <v>44</v>
      </c>
      <c r="F16" s="1">
        <v>45044</v>
      </c>
      <c r="G16">
        <v>40000000</v>
      </c>
      <c r="H16">
        <v>164</v>
      </c>
      <c r="I16">
        <v>29500000</v>
      </c>
      <c r="J16" t="s">
        <v>274</v>
      </c>
      <c r="K16" t="s">
        <v>275</v>
      </c>
      <c r="L16" t="s">
        <v>276</v>
      </c>
      <c r="M16" t="s">
        <v>277</v>
      </c>
      <c r="N16">
        <v>3.9660000000000002</v>
      </c>
      <c r="O16" t="s">
        <v>278</v>
      </c>
      <c r="P16" t="s">
        <v>279</v>
      </c>
      <c r="Q16" t="s">
        <v>280</v>
      </c>
      <c r="R16" t="s">
        <v>281</v>
      </c>
      <c r="S16" t="s">
        <v>282</v>
      </c>
      <c r="T16" t="s">
        <v>283</v>
      </c>
      <c r="U16" t="s">
        <v>284</v>
      </c>
      <c r="V16" t="s">
        <v>285</v>
      </c>
      <c r="W16" t="s">
        <v>286</v>
      </c>
      <c r="X16" t="s">
        <v>287</v>
      </c>
      <c r="Y16" t="s">
        <v>288</v>
      </c>
      <c r="Z16">
        <v>7.2</v>
      </c>
      <c r="AA16">
        <v>19523</v>
      </c>
      <c r="AB16" t="s">
        <v>289</v>
      </c>
      <c r="AC16">
        <v>4</v>
      </c>
      <c r="AD16">
        <v>2023</v>
      </c>
      <c r="AE16">
        <v>17</v>
      </c>
      <c r="AF16" t="s">
        <v>290</v>
      </c>
      <c r="AG16">
        <v>-5</v>
      </c>
      <c r="AH16">
        <v>17.504390037078199</v>
      </c>
      <c r="AI16">
        <v>2.9173983395130301</v>
      </c>
      <c r="AJ16" t="s">
        <v>61</v>
      </c>
      <c r="AK16" t="s">
        <v>291</v>
      </c>
      <c r="AL16">
        <v>9</v>
      </c>
      <c r="AM16">
        <v>1</v>
      </c>
      <c r="AN16">
        <v>12</v>
      </c>
      <c r="AO16">
        <v>0.08</v>
      </c>
      <c r="AP16" t="s">
        <v>63</v>
      </c>
      <c r="AQ16" t="s">
        <v>63</v>
      </c>
    </row>
    <row r="17" spans="1:43" x14ac:dyDescent="0.2">
      <c r="A17">
        <v>758336</v>
      </c>
      <c r="B17" t="s">
        <v>292</v>
      </c>
      <c r="C17">
        <v>6.7389999999999999</v>
      </c>
      <c r="D17">
        <v>442</v>
      </c>
      <c r="E17" t="s">
        <v>44</v>
      </c>
      <c r="F17" s="1">
        <v>45050</v>
      </c>
      <c r="G17">
        <v>10000000</v>
      </c>
      <c r="H17">
        <v>104</v>
      </c>
      <c r="I17">
        <v>9000000</v>
      </c>
      <c r="J17" t="s">
        <v>293</v>
      </c>
      <c r="K17" t="s">
        <v>46</v>
      </c>
      <c r="L17" t="s">
        <v>292</v>
      </c>
      <c r="M17" t="s">
        <v>294</v>
      </c>
      <c r="N17">
        <v>6.9886999999999997</v>
      </c>
      <c r="O17" t="s">
        <v>295</v>
      </c>
      <c r="P17" t="s">
        <v>296</v>
      </c>
      <c r="Q17" t="s">
        <v>297</v>
      </c>
      <c r="R17" t="s">
        <v>87</v>
      </c>
      <c r="S17" t="s">
        <v>71</v>
      </c>
      <c r="T17" t="s">
        <v>298</v>
      </c>
      <c r="U17" t="s">
        <v>299</v>
      </c>
      <c r="V17" t="s">
        <v>300</v>
      </c>
      <c r="W17" t="s">
        <v>301</v>
      </c>
      <c r="X17" t="s">
        <v>302</v>
      </c>
      <c r="Y17" t="s">
        <v>303</v>
      </c>
      <c r="Z17">
        <v>5.9</v>
      </c>
      <c r="AA17">
        <v>18440</v>
      </c>
      <c r="AB17" t="s">
        <v>304</v>
      </c>
      <c r="AC17">
        <v>5</v>
      </c>
      <c r="AD17">
        <v>2023</v>
      </c>
      <c r="AE17">
        <v>18</v>
      </c>
      <c r="AF17" t="s">
        <v>305</v>
      </c>
      <c r="AG17">
        <v>1</v>
      </c>
      <c r="AH17">
        <v>16.1180957509583</v>
      </c>
      <c r="AI17">
        <v>8.0590478754791501</v>
      </c>
      <c r="AJ17" t="s">
        <v>61</v>
      </c>
      <c r="AK17" t="s">
        <v>306</v>
      </c>
      <c r="AL17">
        <v>42</v>
      </c>
      <c r="AM17">
        <v>1</v>
      </c>
      <c r="AN17">
        <v>44</v>
      </c>
      <c r="AO17">
        <v>0.02</v>
      </c>
      <c r="AP17" t="s">
        <v>63</v>
      </c>
      <c r="AQ17" t="s">
        <v>63</v>
      </c>
    </row>
    <row r="18" spans="1:43" x14ac:dyDescent="0.2">
      <c r="A18">
        <v>536437</v>
      </c>
      <c r="B18" t="s">
        <v>307</v>
      </c>
      <c r="C18">
        <v>6.2</v>
      </c>
      <c r="D18">
        <v>1362</v>
      </c>
      <c r="E18" t="s">
        <v>44</v>
      </c>
      <c r="F18" s="1">
        <v>45057</v>
      </c>
      <c r="G18">
        <v>16014123</v>
      </c>
      <c r="H18">
        <v>93</v>
      </c>
      <c r="I18">
        <v>70000000</v>
      </c>
      <c r="J18" t="s">
        <v>308</v>
      </c>
      <c r="K18" t="s">
        <v>46</v>
      </c>
      <c r="L18" t="s">
        <v>307</v>
      </c>
      <c r="M18" t="s">
        <v>309</v>
      </c>
      <c r="N18">
        <v>5.4617000000000004</v>
      </c>
      <c r="O18" t="s">
        <v>310</v>
      </c>
      <c r="P18" t="s">
        <v>311</v>
      </c>
      <c r="Q18" t="s">
        <v>312</v>
      </c>
      <c r="R18" t="s">
        <v>212</v>
      </c>
      <c r="S18" t="s">
        <v>313</v>
      </c>
      <c r="T18" t="s">
        <v>314</v>
      </c>
      <c r="U18" t="s">
        <v>315</v>
      </c>
      <c r="V18" t="s">
        <v>316</v>
      </c>
      <c r="W18" t="s">
        <v>317</v>
      </c>
      <c r="X18" t="s">
        <v>318</v>
      </c>
      <c r="Y18" t="s">
        <v>319</v>
      </c>
      <c r="Z18">
        <v>5.5</v>
      </c>
      <c r="AA18">
        <v>44707</v>
      </c>
      <c r="AB18" t="s">
        <v>320</v>
      </c>
      <c r="AC18">
        <v>5</v>
      </c>
      <c r="AD18">
        <v>2023</v>
      </c>
      <c r="AE18">
        <v>19</v>
      </c>
      <c r="AF18" t="s">
        <v>321</v>
      </c>
      <c r="AG18">
        <v>8</v>
      </c>
      <c r="AH18">
        <v>16.588981640809401</v>
      </c>
      <c r="AI18">
        <v>1.8432201823121499</v>
      </c>
      <c r="AJ18" t="s">
        <v>61</v>
      </c>
      <c r="AK18" t="s">
        <v>322</v>
      </c>
      <c r="AL18">
        <v>34</v>
      </c>
      <c r="AM18">
        <v>4</v>
      </c>
      <c r="AN18">
        <v>43</v>
      </c>
      <c r="AO18">
        <v>0.09</v>
      </c>
      <c r="AP18" t="s">
        <v>63</v>
      </c>
      <c r="AQ18" t="s">
        <v>63</v>
      </c>
    </row>
    <row r="19" spans="1:43" x14ac:dyDescent="0.2">
      <c r="A19">
        <v>982271</v>
      </c>
      <c r="B19" t="s">
        <v>323</v>
      </c>
      <c r="C19">
        <v>6.3</v>
      </c>
      <c r="D19">
        <v>207</v>
      </c>
      <c r="E19" t="s">
        <v>44</v>
      </c>
      <c r="F19" s="1">
        <v>45057</v>
      </c>
      <c r="G19">
        <v>27849137</v>
      </c>
      <c r="H19">
        <v>108</v>
      </c>
      <c r="I19">
        <v>20000000</v>
      </c>
      <c r="J19" t="s">
        <v>324</v>
      </c>
      <c r="K19" t="s">
        <v>46</v>
      </c>
      <c r="L19" t="s">
        <v>323</v>
      </c>
      <c r="M19" t="s">
        <v>325</v>
      </c>
      <c r="N19">
        <v>3.6097999999999999</v>
      </c>
      <c r="O19" t="s">
        <v>326</v>
      </c>
      <c r="P19" t="s">
        <v>327</v>
      </c>
      <c r="Q19" t="s">
        <v>328</v>
      </c>
      <c r="R19" t="s">
        <v>87</v>
      </c>
      <c r="S19" t="s">
        <v>71</v>
      </c>
      <c r="T19" t="s">
        <v>329</v>
      </c>
      <c r="U19" t="s">
        <v>330</v>
      </c>
      <c r="V19" t="s">
        <v>300</v>
      </c>
      <c r="W19" t="s">
        <v>331</v>
      </c>
      <c r="X19" t="s">
        <v>332</v>
      </c>
      <c r="Y19" t="s">
        <v>333</v>
      </c>
      <c r="Z19">
        <v>5.6</v>
      </c>
      <c r="AA19">
        <v>9722</v>
      </c>
      <c r="AB19" t="s">
        <v>334</v>
      </c>
      <c r="AC19">
        <v>5</v>
      </c>
      <c r="AD19">
        <v>2023</v>
      </c>
      <c r="AE19">
        <v>19</v>
      </c>
      <c r="AF19" t="s">
        <v>335</v>
      </c>
      <c r="AG19">
        <v>8</v>
      </c>
      <c r="AH19">
        <v>17.1423125723325</v>
      </c>
      <c r="AI19">
        <v>1.90470139692583</v>
      </c>
      <c r="AJ19" t="s">
        <v>61</v>
      </c>
      <c r="AK19" t="s">
        <v>336</v>
      </c>
      <c r="AL19">
        <v>35</v>
      </c>
      <c r="AM19">
        <v>1</v>
      </c>
      <c r="AN19">
        <v>37</v>
      </c>
      <c r="AO19">
        <v>0.03</v>
      </c>
      <c r="AP19" t="s">
        <v>63</v>
      </c>
      <c r="AQ19" t="s">
        <v>63</v>
      </c>
    </row>
    <row r="20" spans="1:43" x14ac:dyDescent="0.2">
      <c r="A20">
        <v>385687</v>
      </c>
      <c r="B20" t="s">
        <v>337</v>
      </c>
      <c r="C20">
        <v>7</v>
      </c>
      <c r="D20">
        <v>6091</v>
      </c>
      <c r="E20" t="s">
        <v>44</v>
      </c>
      <c r="F20" s="1">
        <v>45063</v>
      </c>
      <c r="G20">
        <v>704709660</v>
      </c>
      <c r="H20">
        <v>142</v>
      </c>
      <c r="I20">
        <v>340000000</v>
      </c>
      <c r="J20" t="s">
        <v>338</v>
      </c>
      <c r="K20" t="s">
        <v>46</v>
      </c>
      <c r="L20" t="s">
        <v>337</v>
      </c>
      <c r="M20" t="s">
        <v>339</v>
      </c>
      <c r="N20">
        <v>19.650600000000001</v>
      </c>
      <c r="O20" t="s">
        <v>340</v>
      </c>
      <c r="P20" t="s">
        <v>341</v>
      </c>
      <c r="Q20" t="s">
        <v>342</v>
      </c>
      <c r="R20" t="s">
        <v>87</v>
      </c>
      <c r="S20" t="s">
        <v>343</v>
      </c>
      <c r="T20" t="s">
        <v>344</v>
      </c>
      <c r="U20" t="s">
        <v>345</v>
      </c>
      <c r="V20" t="s">
        <v>346</v>
      </c>
      <c r="W20" t="s">
        <v>347</v>
      </c>
      <c r="X20" t="s">
        <v>348</v>
      </c>
      <c r="Y20" t="s">
        <v>109</v>
      </c>
      <c r="Z20">
        <v>5.7</v>
      </c>
      <c r="AA20">
        <v>141080</v>
      </c>
      <c r="AB20" t="s">
        <v>349</v>
      </c>
      <c r="AC20">
        <v>5</v>
      </c>
      <c r="AD20">
        <v>2023</v>
      </c>
      <c r="AE20">
        <v>20</v>
      </c>
      <c r="AF20" t="s">
        <v>350</v>
      </c>
      <c r="AG20">
        <v>14</v>
      </c>
      <c r="AH20">
        <v>20.373296447583101</v>
      </c>
      <c r="AI20">
        <v>1.3582197631722099</v>
      </c>
      <c r="AJ20" t="s">
        <v>61</v>
      </c>
      <c r="AK20" t="s">
        <v>351</v>
      </c>
      <c r="AL20">
        <v>52</v>
      </c>
      <c r="AM20">
        <v>1</v>
      </c>
      <c r="AN20">
        <v>61</v>
      </c>
      <c r="AO20">
        <v>0.02</v>
      </c>
      <c r="AP20" t="s">
        <v>63</v>
      </c>
      <c r="AQ20" t="s">
        <v>63</v>
      </c>
    </row>
    <row r="21" spans="1:43" x14ac:dyDescent="0.2">
      <c r="A21">
        <v>447277</v>
      </c>
      <c r="B21" t="s">
        <v>352</v>
      </c>
      <c r="C21">
        <v>6.3</v>
      </c>
      <c r="D21">
        <v>3171</v>
      </c>
      <c r="E21" t="s">
        <v>44</v>
      </c>
      <c r="F21" s="1">
        <v>45064</v>
      </c>
      <c r="G21">
        <v>569626289</v>
      </c>
      <c r="H21">
        <v>135</v>
      </c>
      <c r="I21">
        <v>297000000</v>
      </c>
      <c r="J21" t="s">
        <v>353</v>
      </c>
      <c r="K21" t="s">
        <v>46</v>
      </c>
      <c r="L21" t="s">
        <v>352</v>
      </c>
      <c r="M21" t="s">
        <v>354</v>
      </c>
      <c r="N21">
        <v>11.3939</v>
      </c>
      <c r="O21" t="s">
        <v>355</v>
      </c>
      <c r="P21" t="s">
        <v>356</v>
      </c>
      <c r="Q21" t="s">
        <v>357</v>
      </c>
      <c r="R21" t="s">
        <v>87</v>
      </c>
      <c r="S21" t="s">
        <v>71</v>
      </c>
      <c r="T21" t="s">
        <v>358</v>
      </c>
      <c r="U21" t="s">
        <v>359</v>
      </c>
      <c r="V21" t="s">
        <v>360</v>
      </c>
      <c r="W21" t="s">
        <v>361</v>
      </c>
      <c r="X21" t="s">
        <v>362</v>
      </c>
      <c r="Y21" t="s">
        <v>363</v>
      </c>
      <c r="Z21">
        <v>7.2</v>
      </c>
      <c r="AA21">
        <v>175643</v>
      </c>
      <c r="AB21" t="s">
        <v>364</v>
      </c>
      <c r="AC21">
        <v>5</v>
      </c>
      <c r="AD21">
        <v>2023</v>
      </c>
      <c r="AE21">
        <v>20</v>
      </c>
      <c r="AF21" t="s">
        <v>365</v>
      </c>
      <c r="AG21">
        <v>15</v>
      </c>
      <c r="AH21">
        <v>20.160491072193501</v>
      </c>
      <c r="AI21">
        <v>1.2600306920120901</v>
      </c>
      <c r="AJ21" t="s">
        <v>61</v>
      </c>
      <c r="AK21" t="s">
        <v>366</v>
      </c>
      <c r="AL21">
        <v>71</v>
      </c>
      <c r="AM21">
        <v>1</v>
      </c>
      <c r="AN21">
        <v>77</v>
      </c>
      <c r="AO21">
        <v>0.01</v>
      </c>
      <c r="AP21" t="s">
        <v>63</v>
      </c>
      <c r="AQ21" t="s">
        <v>63</v>
      </c>
    </row>
    <row r="22" spans="1:43" x14ac:dyDescent="0.2">
      <c r="A22">
        <v>869612</v>
      </c>
      <c r="B22" t="s">
        <v>367</v>
      </c>
      <c r="C22">
        <v>6.1</v>
      </c>
      <c r="D22">
        <v>300</v>
      </c>
      <c r="E22" t="s">
        <v>44</v>
      </c>
      <c r="F22" s="1">
        <v>45065</v>
      </c>
      <c r="G22">
        <v>1506008</v>
      </c>
      <c r="H22">
        <v>111</v>
      </c>
      <c r="I22">
        <v>4100000</v>
      </c>
      <c r="J22" t="s">
        <v>368</v>
      </c>
      <c r="K22" t="s">
        <v>46</v>
      </c>
      <c r="L22" t="s">
        <v>367</v>
      </c>
      <c r="M22" t="s">
        <v>369</v>
      </c>
      <c r="N22">
        <v>4.0468000000000002</v>
      </c>
      <c r="O22" t="s">
        <v>370</v>
      </c>
      <c r="P22" t="s">
        <v>371</v>
      </c>
      <c r="Q22" t="s">
        <v>372</v>
      </c>
      <c r="R22" t="s">
        <v>373</v>
      </c>
      <c r="S22" t="s">
        <v>71</v>
      </c>
      <c r="T22" t="s">
        <v>374</v>
      </c>
      <c r="U22" t="s">
        <v>375</v>
      </c>
      <c r="V22" t="s">
        <v>376</v>
      </c>
      <c r="W22" t="s">
        <v>375</v>
      </c>
      <c r="X22" t="s">
        <v>377</v>
      </c>
      <c r="Y22" t="s">
        <v>378</v>
      </c>
      <c r="Z22">
        <v>6.1</v>
      </c>
      <c r="AA22">
        <v>12896</v>
      </c>
      <c r="AB22" t="s">
        <v>379</v>
      </c>
      <c r="AC22">
        <v>5</v>
      </c>
      <c r="AD22">
        <v>2023</v>
      </c>
      <c r="AE22">
        <v>20</v>
      </c>
      <c r="AF22" t="s">
        <v>380</v>
      </c>
      <c r="AG22">
        <v>16</v>
      </c>
      <c r="AH22">
        <v>14.2249736634197</v>
      </c>
      <c r="AI22">
        <v>0.83676315667174905</v>
      </c>
      <c r="AJ22" t="s">
        <v>61</v>
      </c>
      <c r="AK22" t="s">
        <v>381</v>
      </c>
      <c r="AL22">
        <v>11</v>
      </c>
      <c r="AM22">
        <v>2</v>
      </c>
      <c r="AN22">
        <v>41</v>
      </c>
      <c r="AO22">
        <v>0.05</v>
      </c>
      <c r="AP22" t="s">
        <v>63</v>
      </c>
      <c r="AQ22" t="s">
        <v>63</v>
      </c>
    </row>
    <row r="23" spans="1:43" x14ac:dyDescent="0.2">
      <c r="A23">
        <v>829051</v>
      </c>
      <c r="B23" t="s">
        <v>382</v>
      </c>
      <c r="C23">
        <v>6</v>
      </c>
      <c r="D23">
        <v>377</v>
      </c>
      <c r="E23" t="s">
        <v>44</v>
      </c>
      <c r="F23" s="1">
        <v>45071</v>
      </c>
      <c r="G23">
        <v>18167819</v>
      </c>
      <c r="H23">
        <v>90</v>
      </c>
      <c r="I23">
        <v>29100000</v>
      </c>
      <c r="J23" t="s">
        <v>383</v>
      </c>
      <c r="K23" t="s">
        <v>46</v>
      </c>
      <c r="L23" t="s">
        <v>382</v>
      </c>
      <c r="M23" t="s">
        <v>384</v>
      </c>
      <c r="N23">
        <v>3.5918999999999999</v>
      </c>
      <c r="O23" t="s">
        <v>385</v>
      </c>
      <c r="P23" t="s">
        <v>386</v>
      </c>
      <c r="Q23" t="s">
        <v>387</v>
      </c>
      <c r="R23" t="s">
        <v>87</v>
      </c>
      <c r="S23" t="s">
        <v>71</v>
      </c>
      <c r="T23" t="s">
        <v>388</v>
      </c>
      <c r="U23" t="s">
        <v>389</v>
      </c>
      <c r="V23" t="s">
        <v>390</v>
      </c>
      <c r="W23" t="s">
        <v>391</v>
      </c>
      <c r="X23" t="s">
        <v>392</v>
      </c>
      <c r="Y23" t="s">
        <v>393</v>
      </c>
      <c r="Z23">
        <v>5.8</v>
      </c>
      <c r="AA23">
        <v>18020</v>
      </c>
      <c r="AB23" t="s">
        <v>394</v>
      </c>
      <c r="AC23">
        <v>5</v>
      </c>
      <c r="AD23">
        <v>2023</v>
      </c>
      <c r="AE23">
        <v>21</v>
      </c>
      <c r="AF23" t="s">
        <v>395</v>
      </c>
      <c r="AG23">
        <v>22</v>
      </c>
      <c r="AH23">
        <v>16.7151624551887</v>
      </c>
      <c r="AI23">
        <v>0.72674619370385696</v>
      </c>
      <c r="AJ23" t="s">
        <v>61</v>
      </c>
      <c r="AK23" t="s">
        <v>396</v>
      </c>
      <c r="AL23">
        <v>29</v>
      </c>
      <c r="AM23">
        <v>3</v>
      </c>
      <c r="AN23">
        <v>36</v>
      </c>
      <c r="AO23">
        <v>0.08</v>
      </c>
      <c r="AP23" t="s">
        <v>63</v>
      </c>
      <c r="AQ23" t="s">
        <v>63</v>
      </c>
    </row>
    <row r="24" spans="1:43" hidden="1" x14ac:dyDescent="0.2">
      <c r="A24">
        <v>986070</v>
      </c>
      <c r="B24" t="s">
        <v>397</v>
      </c>
      <c r="C24">
        <v>6.3</v>
      </c>
      <c r="D24">
        <v>412</v>
      </c>
      <c r="E24" t="s">
        <v>44</v>
      </c>
      <c r="F24" s="1">
        <v>45072</v>
      </c>
      <c r="G24">
        <v>207118</v>
      </c>
      <c r="H24">
        <v>83</v>
      </c>
      <c r="I24">
        <v>199507</v>
      </c>
      <c r="J24" t="s">
        <v>398</v>
      </c>
      <c r="K24" t="s">
        <v>46</v>
      </c>
      <c r="L24" t="s">
        <v>397</v>
      </c>
      <c r="M24" t="s">
        <v>399</v>
      </c>
      <c r="N24">
        <v>3.2858000000000001</v>
      </c>
      <c r="O24" t="s">
        <v>400</v>
      </c>
      <c r="P24" t="s">
        <v>401</v>
      </c>
      <c r="Q24" t="s">
        <v>402</v>
      </c>
      <c r="R24" t="s">
        <v>87</v>
      </c>
      <c r="S24" t="s">
        <v>71</v>
      </c>
      <c r="T24" t="s">
        <v>403</v>
      </c>
      <c r="U24" t="s">
        <v>404</v>
      </c>
      <c r="V24" t="s">
        <v>405</v>
      </c>
      <c r="W24" t="s">
        <v>406</v>
      </c>
      <c r="X24" t="s">
        <v>407</v>
      </c>
      <c r="Y24" t="s">
        <v>408</v>
      </c>
      <c r="Z24">
        <v>6.1</v>
      </c>
      <c r="AA24">
        <v>18764</v>
      </c>
      <c r="AB24" t="s">
        <v>409</v>
      </c>
      <c r="AC24">
        <v>5</v>
      </c>
      <c r="AD24">
        <v>2023</v>
      </c>
      <c r="AE24">
        <v>21</v>
      </c>
      <c r="AF24" t="s">
        <v>410</v>
      </c>
      <c r="AG24">
        <v>23</v>
      </c>
      <c r="AH24">
        <v>12.241048786294799</v>
      </c>
      <c r="AI24">
        <v>0.51004369942895</v>
      </c>
      <c r="AJ24" t="s">
        <v>61</v>
      </c>
      <c r="AK24" t="s">
        <v>411</v>
      </c>
      <c r="AL24">
        <v>6</v>
      </c>
      <c r="AM24">
        <v>7</v>
      </c>
      <c r="AN24">
        <v>18</v>
      </c>
      <c r="AO24">
        <v>0.39</v>
      </c>
      <c r="AP24" t="s">
        <v>240</v>
      </c>
      <c r="AQ24" t="s">
        <v>63</v>
      </c>
    </row>
    <row r="25" spans="1:43" x14ac:dyDescent="0.2">
      <c r="A25">
        <v>532408</v>
      </c>
      <c r="B25" t="s">
        <v>412</v>
      </c>
      <c r="C25">
        <v>6.4</v>
      </c>
      <c r="D25">
        <v>1005</v>
      </c>
      <c r="E25" t="s">
        <v>44</v>
      </c>
      <c r="F25" s="1">
        <v>45077</v>
      </c>
      <c r="G25">
        <v>82344833</v>
      </c>
      <c r="H25">
        <v>99</v>
      </c>
      <c r="I25">
        <v>35000000</v>
      </c>
      <c r="J25" t="s">
        <v>413</v>
      </c>
      <c r="K25" t="s">
        <v>46</v>
      </c>
      <c r="L25" t="s">
        <v>412</v>
      </c>
      <c r="M25" t="s">
        <v>414</v>
      </c>
      <c r="N25">
        <v>3.1625000000000001</v>
      </c>
      <c r="O25" t="s">
        <v>415</v>
      </c>
      <c r="P25" t="s">
        <v>416</v>
      </c>
      <c r="Q25" t="s">
        <v>417</v>
      </c>
      <c r="R25" t="s">
        <v>87</v>
      </c>
      <c r="S25" t="s">
        <v>71</v>
      </c>
      <c r="T25" t="s">
        <v>418</v>
      </c>
      <c r="U25" t="s">
        <v>419</v>
      </c>
      <c r="V25" t="s">
        <v>420</v>
      </c>
      <c r="W25" t="s">
        <v>421</v>
      </c>
      <c r="X25" t="s">
        <v>422</v>
      </c>
      <c r="Y25" t="s">
        <v>423</v>
      </c>
      <c r="Z25">
        <v>5.9</v>
      </c>
      <c r="AA25">
        <v>52449</v>
      </c>
      <c r="AB25" t="s">
        <v>424</v>
      </c>
      <c r="AC25">
        <v>5</v>
      </c>
      <c r="AD25">
        <v>2023</v>
      </c>
      <c r="AE25">
        <v>22</v>
      </c>
      <c r="AF25" t="s">
        <v>425</v>
      </c>
      <c r="AG25">
        <v>28</v>
      </c>
      <c r="AH25">
        <v>18.226426280379702</v>
      </c>
      <c r="AI25">
        <v>0.62849745794412804</v>
      </c>
      <c r="AJ25" t="s">
        <v>61</v>
      </c>
      <c r="AK25" t="s">
        <v>426</v>
      </c>
      <c r="AL25">
        <v>41</v>
      </c>
      <c r="AM25">
        <v>1</v>
      </c>
      <c r="AN25">
        <v>43</v>
      </c>
      <c r="AO25">
        <v>0.02</v>
      </c>
      <c r="AP25" t="s">
        <v>63</v>
      </c>
      <c r="AQ25" t="s">
        <v>63</v>
      </c>
    </row>
    <row r="26" spans="1:43" x14ac:dyDescent="0.2">
      <c r="A26">
        <v>569094</v>
      </c>
      <c r="B26" t="s">
        <v>427</v>
      </c>
      <c r="C26">
        <v>8.3369999999999997</v>
      </c>
      <c r="D26">
        <v>7997</v>
      </c>
      <c r="E26" t="s">
        <v>44</v>
      </c>
      <c r="F26" s="1">
        <v>45077</v>
      </c>
      <c r="G26">
        <v>690897910</v>
      </c>
      <c r="H26">
        <v>140</v>
      </c>
      <c r="I26">
        <v>100000000</v>
      </c>
      <c r="J26" t="s">
        <v>428</v>
      </c>
      <c r="K26" t="s">
        <v>46</v>
      </c>
      <c r="L26" t="s">
        <v>427</v>
      </c>
      <c r="M26" t="s">
        <v>429</v>
      </c>
      <c r="N26">
        <v>16.515799999999999</v>
      </c>
      <c r="O26" t="s">
        <v>430</v>
      </c>
      <c r="P26" t="s">
        <v>431</v>
      </c>
      <c r="Q26" t="s">
        <v>432</v>
      </c>
      <c r="R26" t="s">
        <v>87</v>
      </c>
      <c r="S26" t="s">
        <v>433</v>
      </c>
      <c r="T26" t="s">
        <v>434</v>
      </c>
      <c r="U26" t="s">
        <v>435</v>
      </c>
      <c r="W26" t="s">
        <v>436</v>
      </c>
      <c r="X26" t="s">
        <v>437</v>
      </c>
      <c r="Y26" t="s">
        <v>438</v>
      </c>
      <c r="Z26">
        <v>8.5</v>
      </c>
      <c r="AA26">
        <v>488575</v>
      </c>
      <c r="AB26" t="s">
        <v>439</v>
      </c>
      <c r="AC26">
        <v>5</v>
      </c>
      <c r="AD26">
        <v>2023</v>
      </c>
      <c r="AE26">
        <v>22</v>
      </c>
      <c r="AF26" t="s">
        <v>440</v>
      </c>
      <c r="AG26">
        <v>28</v>
      </c>
      <c r="AH26">
        <v>20.353502629862</v>
      </c>
      <c r="AI26">
        <v>0.70184491827110396</v>
      </c>
      <c r="AJ26" t="s">
        <v>61</v>
      </c>
      <c r="AK26" t="s">
        <v>441</v>
      </c>
      <c r="AL26">
        <v>133</v>
      </c>
      <c r="AM26">
        <v>2</v>
      </c>
      <c r="AN26">
        <v>146</v>
      </c>
      <c r="AO26">
        <v>0.01</v>
      </c>
      <c r="AP26" t="s">
        <v>63</v>
      </c>
      <c r="AQ26" t="s">
        <v>63</v>
      </c>
    </row>
    <row r="27" spans="1:43" x14ac:dyDescent="0.2">
      <c r="A27">
        <v>667538</v>
      </c>
      <c r="B27" t="s">
        <v>442</v>
      </c>
      <c r="C27">
        <v>7.2030000000000003</v>
      </c>
      <c r="D27">
        <v>5067</v>
      </c>
      <c r="E27" t="s">
        <v>44</v>
      </c>
      <c r="F27" s="1">
        <v>45083</v>
      </c>
      <c r="G27">
        <v>441381193</v>
      </c>
      <c r="H27">
        <v>127</v>
      </c>
      <c r="I27">
        <v>195000000</v>
      </c>
      <c r="J27" t="s">
        <v>443</v>
      </c>
      <c r="K27" t="s">
        <v>46</v>
      </c>
      <c r="L27" t="s">
        <v>442</v>
      </c>
      <c r="M27" t="s">
        <v>444</v>
      </c>
      <c r="N27">
        <v>11.1227</v>
      </c>
      <c r="O27" t="s">
        <v>445</v>
      </c>
      <c r="P27" t="s">
        <v>446</v>
      </c>
      <c r="Q27" t="s">
        <v>447</v>
      </c>
      <c r="R27" t="s">
        <v>87</v>
      </c>
      <c r="S27" t="s">
        <v>448</v>
      </c>
      <c r="T27" t="s">
        <v>449</v>
      </c>
      <c r="U27" t="s">
        <v>450</v>
      </c>
      <c r="V27" t="s">
        <v>451</v>
      </c>
      <c r="W27" t="s">
        <v>452</v>
      </c>
      <c r="X27" t="s">
        <v>453</v>
      </c>
      <c r="Y27" t="s">
        <v>454</v>
      </c>
      <c r="Z27">
        <v>6</v>
      </c>
      <c r="AA27">
        <v>127445</v>
      </c>
      <c r="AB27" t="s">
        <v>455</v>
      </c>
      <c r="AC27">
        <v>6</v>
      </c>
      <c r="AD27">
        <v>2023</v>
      </c>
      <c r="AE27">
        <v>23</v>
      </c>
      <c r="AF27" t="s">
        <v>456</v>
      </c>
      <c r="AG27">
        <v>34</v>
      </c>
      <c r="AH27">
        <v>19.905419445532601</v>
      </c>
      <c r="AI27">
        <v>0.56872626987236097</v>
      </c>
      <c r="AJ27" t="s">
        <v>61</v>
      </c>
      <c r="AK27" t="s">
        <v>457</v>
      </c>
      <c r="AL27">
        <v>53</v>
      </c>
      <c r="AM27">
        <v>2</v>
      </c>
      <c r="AN27">
        <v>66</v>
      </c>
      <c r="AO27">
        <v>0.03</v>
      </c>
      <c r="AP27" t="s">
        <v>63</v>
      </c>
      <c r="AQ27" t="s">
        <v>63</v>
      </c>
    </row>
    <row r="28" spans="1:43" x14ac:dyDescent="0.2">
      <c r="A28">
        <v>298618</v>
      </c>
      <c r="B28" t="s">
        <v>458</v>
      </c>
      <c r="C28">
        <v>6.6</v>
      </c>
      <c r="D28">
        <v>4751</v>
      </c>
      <c r="E28" t="s">
        <v>44</v>
      </c>
      <c r="F28" s="1">
        <v>45090</v>
      </c>
      <c r="G28">
        <v>271333313</v>
      </c>
      <c r="H28">
        <v>144</v>
      </c>
      <c r="I28">
        <v>220000000</v>
      </c>
      <c r="J28" t="s">
        <v>459</v>
      </c>
      <c r="K28" t="s">
        <v>46</v>
      </c>
      <c r="L28" t="s">
        <v>458</v>
      </c>
      <c r="M28" t="s">
        <v>460</v>
      </c>
      <c r="N28">
        <v>10.864000000000001</v>
      </c>
      <c r="O28" t="s">
        <v>461</v>
      </c>
      <c r="P28" t="s">
        <v>462</v>
      </c>
      <c r="Q28" t="s">
        <v>463</v>
      </c>
      <c r="R28" t="s">
        <v>87</v>
      </c>
      <c r="S28" t="s">
        <v>464</v>
      </c>
      <c r="T28" t="s">
        <v>465</v>
      </c>
      <c r="U28" t="s">
        <v>466</v>
      </c>
      <c r="V28" t="s">
        <v>467</v>
      </c>
      <c r="W28" t="s">
        <v>468</v>
      </c>
      <c r="X28" t="s">
        <v>469</v>
      </c>
      <c r="Y28" t="s">
        <v>470</v>
      </c>
      <c r="Z28">
        <v>6.6</v>
      </c>
      <c r="AA28">
        <v>242121</v>
      </c>
      <c r="AB28" t="s">
        <v>471</v>
      </c>
      <c r="AC28">
        <v>6</v>
      </c>
      <c r="AD28">
        <v>2023</v>
      </c>
      <c r="AE28">
        <v>24</v>
      </c>
      <c r="AF28" t="s">
        <v>472</v>
      </c>
      <c r="AG28">
        <v>41</v>
      </c>
      <c r="AH28">
        <v>19.4188585640456</v>
      </c>
      <c r="AI28">
        <v>0.46235377533441901</v>
      </c>
      <c r="AJ28" t="s">
        <v>61</v>
      </c>
      <c r="AK28" t="s">
        <v>473</v>
      </c>
      <c r="AL28">
        <v>49</v>
      </c>
      <c r="AM28">
        <v>2</v>
      </c>
      <c r="AN28">
        <v>51</v>
      </c>
      <c r="AO28">
        <v>0.04</v>
      </c>
      <c r="AP28" t="s">
        <v>63</v>
      </c>
      <c r="AQ28" t="s">
        <v>63</v>
      </c>
    </row>
    <row r="29" spans="1:43" x14ac:dyDescent="0.2">
      <c r="A29">
        <v>976573</v>
      </c>
      <c r="B29" t="s">
        <v>474</v>
      </c>
      <c r="C29">
        <v>7.6</v>
      </c>
      <c r="D29">
        <v>5020</v>
      </c>
      <c r="E29" t="s">
        <v>44</v>
      </c>
      <c r="F29" s="1">
        <v>45091</v>
      </c>
      <c r="G29">
        <v>496444308</v>
      </c>
      <c r="H29">
        <v>102</v>
      </c>
      <c r="I29">
        <v>200000000</v>
      </c>
      <c r="J29" t="s">
        <v>475</v>
      </c>
      <c r="K29" t="s">
        <v>46</v>
      </c>
      <c r="L29" t="s">
        <v>474</v>
      </c>
      <c r="M29" t="s">
        <v>476</v>
      </c>
      <c r="N29">
        <v>20.926100000000002</v>
      </c>
      <c r="O29" t="s">
        <v>477</v>
      </c>
      <c r="P29" t="s">
        <v>478</v>
      </c>
      <c r="Q29" t="s">
        <v>479</v>
      </c>
      <c r="R29" t="s">
        <v>87</v>
      </c>
      <c r="S29" t="s">
        <v>71</v>
      </c>
      <c r="T29" t="s">
        <v>480</v>
      </c>
      <c r="U29" t="s">
        <v>481</v>
      </c>
      <c r="V29" t="s">
        <v>482</v>
      </c>
      <c r="W29" t="s">
        <v>483</v>
      </c>
      <c r="X29" t="s">
        <v>484</v>
      </c>
      <c r="Y29" t="s">
        <v>485</v>
      </c>
      <c r="Z29">
        <v>7</v>
      </c>
      <c r="AA29">
        <v>157322</v>
      </c>
      <c r="AB29" t="s">
        <v>486</v>
      </c>
      <c r="AC29">
        <v>6</v>
      </c>
      <c r="AD29">
        <v>2023</v>
      </c>
      <c r="AE29">
        <v>24</v>
      </c>
      <c r="AF29" t="s">
        <v>487</v>
      </c>
      <c r="AG29">
        <v>42</v>
      </c>
      <c r="AH29">
        <v>20.022981867988101</v>
      </c>
      <c r="AI29">
        <v>0.46565074111600202</v>
      </c>
      <c r="AJ29" t="s">
        <v>61</v>
      </c>
      <c r="AK29" t="s">
        <v>488</v>
      </c>
      <c r="AL29">
        <v>90</v>
      </c>
      <c r="AM29">
        <v>0</v>
      </c>
      <c r="AN29">
        <v>95</v>
      </c>
      <c r="AO29">
        <v>0</v>
      </c>
      <c r="AP29" t="s">
        <v>63</v>
      </c>
      <c r="AQ29" t="s">
        <v>63</v>
      </c>
    </row>
    <row r="30" spans="1:43" x14ac:dyDescent="0.2">
      <c r="A30">
        <v>884605</v>
      </c>
      <c r="B30" t="s">
        <v>489</v>
      </c>
      <c r="C30">
        <v>6.7</v>
      </c>
      <c r="D30">
        <v>3561</v>
      </c>
      <c r="E30" t="s">
        <v>44</v>
      </c>
      <c r="F30" s="1">
        <v>45092</v>
      </c>
      <c r="G30">
        <v>83000000</v>
      </c>
      <c r="H30">
        <v>104</v>
      </c>
      <c r="I30">
        <v>45000000</v>
      </c>
      <c r="J30" t="s">
        <v>490</v>
      </c>
      <c r="K30" t="s">
        <v>46</v>
      </c>
      <c r="L30" t="s">
        <v>489</v>
      </c>
      <c r="M30" t="s">
        <v>491</v>
      </c>
      <c r="N30">
        <v>10.189500000000001</v>
      </c>
      <c r="O30" t="s">
        <v>492</v>
      </c>
      <c r="P30" t="s">
        <v>327</v>
      </c>
      <c r="Q30" t="s">
        <v>493</v>
      </c>
      <c r="R30" t="s">
        <v>87</v>
      </c>
      <c r="S30" t="s">
        <v>494</v>
      </c>
      <c r="T30" t="s">
        <v>495</v>
      </c>
      <c r="U30" t="s">
        <v>496</v>
      </c>
      <c r="V30" t="s">
        <v>497</v>
      </c>
      <c r="W30" t="s">
        <v>498</v>
      </c>
      <c r="X30" t="s">
        <v>499</v>
      </c>
      <c r="Y30" t="s">
        <v>500</v>
      </c>
      <c r="Z30">
        <v>6.3</v>
      </c>
      <c r="AA30">
        <v>207775</v>
      </c>
      <c r="AB30" t="s">
        <v>501</v>
      </c>
      <c r="AC30">
        <v>6</v>
      </c>
      <c r="AD30">
        <v>2023</v>
      </c>
      <c r="AE30">
        <v>24</v>
      </c>
      <c r="AF30" t="s">
        <v>502</v>
      </c>
      <c r="AG30">
        <v>43</v>
      </c>
      <c r="AH30">
        <v>18.234351177809</v>
      </c>
      <c r="AI30">
        <v>0.414417072222933</v>
      </c>
      <c r="AJ30" t="s">
        <v>61</v>
      </c>
      <c r="AK30" t="s">
        <v>503</v>
      </c>
      <c r="AL30">
        <v>48</v>
      </c>
      <c r="AM30">
        <v>6</v>
      </c>
      <c r="AN30">
        <v>54</v>
      </c>
      <c r="AO30">
        <v>0.11</v>
      </c>
      <c r="AP30" t="s">
        <v>63</v>
      </c>
      <c r="AQ30" t="s">
        <v>63</v>
      </c>
    </row>
    <row r="31" spans="1:43" x14ac:dyDescent="0.2">
      <c r="A31">
        <v>1008392</v>
      </c>
      <c r="B31" t="s">
        <v>504</v>
      </c>
      <c r="C31">
        <v>6</v>
      </c>
      <c r="D31">
        <v>358</v>
      </c>
      <c r="E31" t="s">
        <v>44</v>
      </c>
      <c r="F31" s="1">
        <v>45092</v>
      </c>
      <c r="G31">
        <v>16000000</v>
      </c>
      <c r="H31">
        <v>97</v>
      </c>
      <c r="I31">
        <v>5000000</v>
      </c>
      <c r="J31" t="s">
        <v>505</v>
      </c>
      <c r="K31" t="s">
        <v>46</v>
      </c>
      <c r="L31" t="s">
        <v>504</v>
      </c>
      <c r="M31" t="s">
        <v>506</v>
      </c>
      <c r="N31">
        <v>2.6015000000000001</v>
      </c>
      <c r="O31" t="s">
        <v>507</v>
      </c>
      <c r="P31" t="s">
        <v>508</v>
      </c>
      <c r="Q31" t="s">
        <v>509</v>
      </c>
      <c r="R31" t="s">
        <v>87</v>
      </c>
      <c r="S31" t="s">
        <v>71</v>
      </c>
      <c r="T31" t="s">
        <v>510</v>
      </c>
      <c r="U31" t="s">
        <v>511</v>
      </c>
      <c r="V31" t="s">
        <v>512</v>
      </c>
      <c r="W31" t="s">
        <v>513</v>
      </c>
      <c r="X31" t="s">
        <v>514</v>
      </c>
      <c r="Y31" t="s">
        <v>515</v>
      </c>
      <c r="Z31">
        <v>6</v>
      </c>
      <c r="AA31">
        <v>25904</v>
      </c>
      <c r="AB31" t="s">
        <v>516</v>
      </c>
      <c r="AC31">
        <v>6</v>
      </c>
      <c r="AD31">
        <v>2023</v>
      </c>
      <c r="AE31">
        <v>24</v>
      </c>
      <c r="AF31" t="s">
        <v>517</v>
      </c>
      <c r="AG31">
        <v>43</v>
      </c>
      <c r="AH31">
        <v>16.588099342704002</v>
      </c>
      <c r="AI31">
        <v>0.37700225778872798</v>
      </c>
      <c r="AJ31" t="s">
        <v>61</v>
      </c>
      <c r="AK31" t="s">
        <v>518</v>
      </c>
      <c r="AL31">
        <v>5</v>
      </c>
      <c r="AM31">
        <v>5</v>
      </c>
      <c r="AN31">
        <v>16</v>
      </c>
      <c r="AO31">
        <v>0.31</v>
      </c>
      <c r="AP31" t="s">
        <v>63</v>
      </c>
      <c r="AQ31" t="s">
        <v>63</v>
      </c>
    </row>
    <row r="32" spans="1:43" x14ac:dyDescent="0.2">
      <c r="A32">
        <v>734253</v>
      </c>
      <c r="B32" t="s">
        <v>519</v>
      </c>
      <c r="C32">
        <v>4.8</v>
      </c>
      <c r="D32">
        <v>100</v>
      </c>
      <c r="E32" t="s">
        <v>44</v>
      </c>
      <c r="F32" s="1">
        <v>45093</v>
      </c>
      <c r="G32">
        <v>54300000</v>
      </c>
      <c r="H32">
        <v>179</v>
      </c>
      <c r="I32">
        <v>63000000</v>
      </c>
      <c r="J32" t="s">
        <v>520</v>
      </c>
      <c r="K32" t="s">
        <v>521</v>
      </c>
      <c r="L32" t="s">
        <v>522</v>
      </c>
      <c r="M32" t="s">
        <v>523</v>
      </c>
      <c r="N32">
        <v>5.4135</v>
      </c>
      <c r="O32" t="s">
        <v>524</v>
      </c>
      <c r="P32" t="s">
        <v>525</v>
      </c>
      <c r="Q32" t="s">
        <v>526</v>
      </c>
      <c r="R32" t="s">
        <v>281</v>
      </c>
      <c r="S32" t="s">
        <v>527</v>
      </c>
      <c r="T32" t="s">
        <v>528</v>
      </c>
      <c r="U32" t="s">
        <v>529</v>
      </c>
      <c r="V32" t="s">
        <v>530</v>
      </c>
      <c r="W32" t="s">
        <v>531</v>
      </c>
      <c r="X32" t="s">
        <v>532</v>
      </c>
      <c r="Y32" t="s">
        <v>533</v>
      </c>
      <c r="Z32">
        <v>2.6</v>
      </c>
      <c r="AA32">
        <v>136550</v>
      </c>
      <c r="AB32" t="s">
        <v>534</v>
      </c>
      <c r="AC32">
        <v>6</v>
      </c>
      <c r="AD32">
        <v>2023</v>
      </c>
      <c r="AE32">
        <v>24</v>
      </c>
      <c r="AF32" t="s">
        <v>535</v>
      </c>
      <c r="AG32">
        <v>44</v>
      </c>
      <c r="AH32">
        <v>17.810034803320299</v>
      </c>
      <c r="AI32">
        <v>0.39577855118489702</v>
      </c>
      <c r="AJ32" t="s">
        <v>61</v>
      </c>
      <c r="AK32" t="s">
        <v>536</v>
      </c>
      <c r="AL32">
        <v>10</v>
      </c>
      <c r="AM32">
        <v>6</v>
      </c>
      <c r="AN32">
        <v>20</v>
      </c>
      <c r="AO32">
        <v>0.3</v>
      </c>
      <c r="AP32" t="s">
        <v>63</v>
      </c>
      <c r="AQ32" t="s">
        <v>63</v>
      </c>
    </row>
    <row r="33" spans="1:43" x14ac:dyDescent="0.2">
      <c r="A33" t="s">
        <v>537</v>
      </c>
      <c r="AI33">
        <f>SUBTOTAL(109,Table1[score])</f>
        <v>35.005673349471763</v>
      </c>
      <c r="AQ33">
        <f>SUBTOTAL(103,Table1[error])</f>
        <v>29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Guardians_of_the_Galaxy_Vol._3_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2026-02-17T17:14:09Z</dcterms:created>
  <dcterms:modified xsi:type="dcterms:W3CDTF">2026-02-17T18:01:25Z</dcterms:modified>
</cp:coreProperties>
</file>