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4A12BB31-866F-7146-8074-9078DAD5BAC6}" xr6:coauthVersionLast="47" xr6:coauthVersionMax="47" xr10:uidLastSave="{00000000-0000-0000-0000-000000000000}"/>
  <bookViews>
    <workbookView xWindow="380" yWindow="80" windowWidth="28040" windowHeight="17180" xr2:uid="{1EF5A482-922D-E94C-9858-88743AA0C21E}"/>
  </bookViews>
  <sheets>
    <sheet name="Iron_Man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 i="1" l="1"/>
  <c r="AQ45" i="1"/>
</calcChain>
</file>

<file path=xl/sharedStrings.xml><?xml version="1.0" encoding="utf-8"?>
<sst xmlns="http://schemas.openxmlformats.org/spreadsheetml/2006/main" count="1027" uniqueCount="727">
  <si>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</si>
  <si>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</si>
  <si>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</si>
  <si>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</si>
  <si>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</si>
  <si>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</si>
  <si>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</si>
  <si>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</si>
  <si>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</si>
  <si>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</si>
  <si>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</si>
  <si>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</si>
  <si>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</si>
  <si>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</si>
  <si>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</si>
  <si>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</si>
  <si>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</si>
  <si>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</si>
  <si>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</si>
  <si>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</si>
  <si>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</si>
  <si>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</si>
  <si>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</si>
  <si>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</si>
  <si>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</si>
  <si>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</si>
  <si>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</si>
  <si>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</si>
  <si>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</si>
  <si>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</si>
  <si>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</si>
  <si>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</si>
  <si>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</si>
  <si>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</si>
  <si>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</si>
  <si>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</si>
  <si>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</si>
  <si>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</si>
  <si>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</si>
  <si>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</si>
  <si>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</si>
  <si>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</si>
  <si>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</si>
  <si>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Dragon Hunters</t>
  </si>
  <si>
    <t>Released</t>
  </si>
  <si>
    <t>tt0944834</t>
  </si>
  <si>
    <t>fr</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</si>
  <si>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</si>
  <si>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</si>
  <si>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</si>
  <si>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Animation, Family</t>
  </si>
  <si>
    <t>futurikon, trixter film, luxanimation, mac guff ligne, france 3 cin‚àö¬©ma, rtl-tvi, belgacom</t>
  </si>
  <si>
    <t>France, Belgium, Luxembourg</t>
  </si>
  <si>
    <t>Fran‚àö√üais</t>
  </si>
  <si>
    <t>Philippe Nahon, Patrick Timsit, Marie Drion, Amanda Lear, Jean-Marc Lentretien, Elias Eliot, J‚àö¬©r‚àö¬©my Pr‚àö¬©vost, Vincent Lindon</t>
  </si>
  <si>
    <t>Guillaume Ivernel, Arthur Qwak</t>
  </si>
  <si>
    <t>Fr‚àö¬©d‚àö¬©ric Lenoir, Arthur Qwak</t>
  </si>
  <si>
    <t>Philippe Delarue</t>
  </si>
  <si>
    <t>Klaus Badelt</t>
  </si>
  <si>
    <t>/bhHhTCh43aT3kAeknSd5T5BcZcJ.jpg</t>
  </si>
  <si>
    <t>dragon hunters</t>
  </si>
  <si>
    <t>iron man</t>
  </si>
  <si>
    <t>blank (24), sci-fi-london (1), shanghai international film festival (1), german speaking region (1), french speaking region (1), buster copenhagen international film festival for children and youth (1), newport beach international film festival (1), dvd premiere (2)</t>
  </si>
  <si>
    <t>no</t>
  </si>
  <si>
    <t>Meet the Browns</t>
  </si>
  <si>
    <t>tt1047494</t>
  </si>
  <si>
    <t>en</t>
  </si>
  <si>
    <t>A single mother living in inner city Chicago, Brenda has been struggling for years to make ends meet and keep her three kids off the street. When she's laid off with no warning, she starts losing hope for the first time - until a letter arrives announcing the death of a father she's never met. 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 and finds a brand new romance that just might change her life.</t>
  </si>
  <si>
    <t>Check your baggage at the door.</t>
  </si>
  <si>
    <t>Drama, Comedy, Romance</t>
  </si>
  <si>
    <t>tyler perry studios</t>
  </si>
  <si>
    <t>United States of America</t>
  </si>
  <si>
    <t>English</t>
  </si>
  <si>
    <t>Olumiji Olawumi, Jacqueline Williams, Tasia Grant, Roy McCrerey, Frankie Faison, Penny Slusher, Kris D. Lofton, Shawn Shepard, Robert C. Goodwin, Irma P. Hall, Mia Butler, Angela Bassett, Gene Bryant, Tamela Mann, Rick Fox, Allen D. Edge, Adrienne Reynolds, Jenifer Lewis, Michael H. Cole, Phillip Edward Van Lear, Kenny Cook, Sof‚àö‚â†a Vergara, Chloe Bailey, Tory O. Davis, David Kronawitter, Tim Blanchard, David Mann, Michael J. King, Jonathan Slocumb, Lamman Rucker, Mark Russell Gray, Tom Clark, Lance Gross, Brandon Richardson, Margaret Avery, Tyler Perry, Wes Kennemore, Phil Ridarelli, LaNisa Renee Frederick, Gerard 'Gus' Williams, Keith Kupferer, James Pusztay, LaVan Davis, Mariana Tolbert, Tyler Parks, Anthony K. Hyatt</t>
  </si>
  <si>
    <t>Tyler Perry</t>
  </si>
  <si>
    <t>Sandi Sissel</t>
  </si>
  <si>
    <t>Tyler Perry, Michael Paseornek, Reuben Cannon</t>
  </si>
  <si>
    <t>Aaron Zigman</t>
  </si>
  <si>
    <t>/61qE0TunNdJiPELBdywMlpvZXDB.jpg</t>
  </si>
  <si>
    <t>meet the browns</t>
  </si>
  <si>
    <t>blank (1)</t>
  </si>
  <si>
    <t>Leatherheads</t>
  </si>
  <si>
    <t>tt0379865</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</si>
  <si>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</si>
  <si>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</si>
  <si>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Comedy, Romance, Drama</t>
  </si>
  <si>
    <t>universal pictures, casey silver productions, smokehouse pictures, outlaw productions</t>
  </si>
  <si>
    <t>Germany, United States of America</t>
  </si>
  <si>
    <t>English, Deutsch</t>
  </si>
  <si>
    <t>Jason Drago, Dylan Kussman, David de Vries, Nicholas Bourdages, Wayne Duvall, Nick Paonessa, Mike O'Malley, Malcolm Goodwin, Mark Teich, Marian Seldes, Windy Wenderlich, Ryan Shively, Keith Loneker, George Clooney, Danny Vinson, Robert Baker, Lance Barber, Dave Hager, Kyle Nudo, Rick Forrester, Bill Roberson, Ren‚àö¬©e Zellweger, Hi Bedford-Roberson, Bobby Jordan, Tim Griffin, Grant Heslov, JD Cullum, Thomas Francis Murphy, Tommy Hinkley, Jonathan Pryce, Matt Bushell, John Krasinski, Christian Stolte, Heather Goldenhersh, Stephen Root, Max Casella, Jack Thompson</t>
  </si>
  <si>
    <t>George Clooney</t>
  </si>
  <si>
    <t>Newton Thomas Sigel</t>
  </si>
  <si>
    <t>Duncan Brantley, Rick Reilly</t>
  </si>
  <si>
    <t>Robert Newmyer, Jeffrey Silver, Casey Silver, Grant Heslov, George Clooney, Barbara A. Hall, Sydney Pollack</t>
  </si>
  <si>
    <t>Randy Newman</t>
  </si>
  <si>
    <t>/dl2yu8iuwG3dqbpjalm2odadRaH.jpg</t>
  </si>
  <si>
    <t>leatherheads</t>
  </si>
  <si>
    <t>maysville, kentucky (1), premiere (1), blank (21), dvd premiere (5), internet (1), tv release (1)</t>
  </si>
  <si>
    <t>Garfield Gets Real</t>
  </si>
  <si>
    <t>tt1059793</t>
  </si>
  <si>
    <t>Everyone's favorite lazy, lasagna loving, Monday hating orange tabby leaves his exciting star of a popular comic strip world for the real one. But as the novelty wears thin, Garfield begins looking for a way back before his strip is permanently cancelled.</t>
  </si>
  <si>
    <t>See Garfield as Never Before in His All-New CGI Feature-Length Movie!</t>
  </si>
  <si>
    <t>Family, Comedy, Adventure, Animation</t>
  </si>
  <si>
    <t>wonderworld studios, 20th century fox home entertainment, paws, animation picture company, davis entertainment, digiart productions</t>
  </si>
  <si>
    <t>United States of America, South Korea</t>
  </si>
  <si>
    <t>Frank Welker, Pat Fraley, Audrey Wasilewski, Rajia Baroudi, David Michie, Fred Tatasciore, Wally Wingert, Jennifer Darling, Jason Marsden, Neil Ross, Harold Perrineau, Stephen Stanton, Greg Eagles, Gregg Berger</t>
  </si>
  <si>
    <t>Mark A.Z. Dipp‚àö¬©</t>
  </si>
  <si>
    <t>Jim Davis</t>
  </si>
  <si>
    <t>Jim Davis, Ash R. Shah, Dan Chuba, John Davis, Mark A.Z. Dipp‚àö¬©, Joshua S.H. Sohn, Alex J. Yoo, Brian Manis, Youngki Lee</t>
  </si>
  <si>
    <t>Kenneth Burgomaster</t>
  </si>
  <si>
    <t>/cRlJEevXbt183BYBhUw3cvldp7C.jpg</t>
  </si>
  <si>
    <t>garfield gets real</t>
  </si>
  <si>
    <t>limited (1), blank (9), unknown (1), tv premiere (2), re-release (1)</t>
  </si>
  <si>
    <t>Flame &amp; Citron</t>
  </si>
  <si>
    <t>tt0920458</t>
  </si>
  <si>
    <t>da</t>
  </si>
  <si>
    <t>Flammen &amp; Citronen</t>
  </si>
  <si>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</si>
  <si>
    <t>Heroes will rise, Enemies will fall</t>
  </si>
  <si>
    <t>Drama, History, War</t>
  </si>
  <si>
    <t>w‚àö¬∫ste filmproduktion, studio babelsberg, mainstream, 4¬¨œâ, nimbus film, w‚àö¬∫ste film ost, oc film, sirena film, duckling, kameraudlejningen</t>
  </si>
  <si>
    <t>Czech Republic, Denmark, Germany, Norway, Sweden</t>
  </si>
  <si>
    <t>Dansk, Deutsch</t>
  </si>
  <si>
    <t>Nikola Navr‚àö¬∞til, Peter Mygind, Mads Mikkelsen, Stine Stengade, Ren‚àö¬© Benjamin Hansen, Jeppe Vig Find, Klaus Tange, Thure Lindhardt, Henrik Jandorf, Christian Berkel, Roman Horn, Benjamin Boe Rasmussen, Mads M. Nielsen, Tina Robinsson Simonsen, Jan Zuska, Oliver Hvidtfeldt, Thomas Voss, Hanns Zischler, Mille Lehfeldt, Robert Reinhold, Claus Riis ‚àö√≤stergaard, Flemming Enevold, Marie Dalsgaard, Martin Greis-Rosenthal, Malene Schwartz, Mai Holm Laureng, Jesper Kaplan, Lars Mikkelsen, Karel Dobr‚àöŒ©, Jaques Lauritsen, Rasmus Botoft, Per L‚àö‚àÇwberg, Martin Vasquez, Simona V∆í√ßalov‚àö¬∞, Charlotte Rathnov, Rasmus Bjerg, Jesper Christensen, Martin Hestb‚àö¬∂k, Caspar Phillipson, L‚àö¬∂rke Winther, Thomas Bendixen, Peter Plaugborg, Tinus L‚àö‚àèvento, Hans Henrik Clemensen, Martin Hall</t>
  </si>
  <si>
    <t>Ole Christian Madsen</t>
  </si>
  <si>
    <t>J‚àö‚àèrgen Johansson</t>
  </si>
  <si>
    <t>Lars K. Andersen, Ole Christian Madsen</t>
  </si>
  <si>
    <t>Lars Bredo Rahbek, Christoph Fisser, Bj‚àö‚àÇrn Vosgerau, Stefan Schubert, Kristina Hejdukov‚àö¬∞, J‚àö‚àèrgen Ramskov, Sonja B. Zimmer, Birgitte Hald, Ralph Schwingel, Morten Kaufmann, Bo Ehrhardt, Carl Woebcken</t>
  </si>
  <si>
    <t>Karsten Fundal, Darko Krezic</t>
  </si>
  <si>
    <t>/32CKp29QyqimkjtdJRBzSRHPx4j.jpg</t>
  </si>
  <si>
    <t>flame &amp; citron</t>
  </si>
  <si>
    <t>blank (12), telluride film festival (1), toronto international film festival (1), edmonton international film festival (1), seville european film festival (1), jakarta international film festival (1), g√∂teborg international film festival (1), dvd and blu-ray premiere (1), dvd premiere (4), rouen nordic film festival (1), febio film festival (1), istanbul film festival (1), tv premiere (1), seattle international film festival (1), limited (1), toronto (1), espoo film festival (1), scanorama (1), les arcs international film festival (1), thessaloniki international film festival (1), festival: cine n√≥rdico en cine uc (1)</t>
  </si>
  <si>
    <t>Frozen River</t>
  </si>
  <si>
    <t>tt0978759</t>
  </si>
  <si>
    <t>After her husband deserts her, working-class mother Ray Eddy is in great need of money to find a home. Lured by the possibility of easy cash, she joins Lila, a widowed Mohawk who earns a living by smuggling immigrants from Canada to the U.S. across the St. Lawrence.</t>
  </si>
  <si>
    <t>Desperation Knows No Borders</t>
  </si>
  <si>
    <t>Drama, Crime</t>
  </si>
  <si>
    <t>harwood hunt productions, cohen media group</t>
  </si>
  <si>
    <t>English, Fran‚àö√üais, √ø√ü√ø¬±√ø√ò≈∏√†, √ä√¥√Ü√à√Ñ√∂√ã√ò√π</t>
  </si>
  <si>
    <t>John Canoe, Jay Klaitz, Betty Ouyang, Melissa Leo, Michael O'Keefe, Mark Boone Junior, Dylan Carusona, Misty Upham, Charlie McDermott, James Reilly</t>
  </si>
  <si>
    <t>Courtney Hunt</t>
  </si>
  <si>
    <t>Reed Morano</t>
  </si>
  <si>
    <t>Donald Harwood, Charles S. Cohen, Chip Hourihan, Heather Rae</t>
  </si>
  <si>
    <t>Shahzad Ismaily, Peter Golub</t>
  </si>
  <si>
    <t>/qZRcN4JLwYQWTxKlycZPLQb37mO.jpg</t>
  </si>
  <si>
    <t>frozen river</t>
  </si>
  <si>
    <t>sundance film festival (1), moma film exhibitions (1), seattle international film festival (1), provincetown film festival (1), nantucket film festival (1), melbourne international film festival (1), traverse city film festival (1), limited (1), atlantic film festival (1), blank (20), donostia-san sebastian international film festival (1), rio de janeiro international film festival (1), hamburg film festival (1), s√£o paulo international film festival (1), bfi london film festival (1), stockholm international film festival (1), thessaloniki international film festival (1), noir in festival (1), green light film festival (1), cph:pix (1), tarragona international film festival (1), dvd premiere (2), galway film fleadh (1), london (1), premiere (1), film and art festival two riversides (1), aichi international women's film festival (1), dvd and blu-ray premiere (1), hong kong international film festival (1)</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</si>
  <si>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</si>
  <si>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</si>
  <si>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They proved the Vegas Blackjack System was beatable...by beating the hell out of it.</t>
  </si>
  <si>
    <t>columbia pictures, relativity media, michael de luca productions, trigger street productions</t>
  </si>
  <si>
    <t>United States of America, United Kingdom</t>
  </si>
  <si>
    <t>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t>
  </si>
  <si>
    <t>Robert Luketic</t>
  </si>
  <si>
    <t>Russell Carpenter</t>
  </si>
  <si>
    <t>Peter Steinfeld, Ben Mezrich, Allan Loeb</t>
  </si>
  <si>
    <t>Dana Brunetti, Ryan Kavanaugh, William S. Beasley, Brett Ratner, Michael De Luca</t>
  </si>
  <si>
    <t>David Sardy</t>
  </si>
  <si>
    <t>/efG8Po57alqSlhqHU1lXJ3duG6t.jpg</t>
  </si>
  <si>
    <t>south by southwest film festival (1), showest (1), blank (73), curacao (1), french speaking region (1), german speaking region (1), italian speaking region (1)</t>
  </si>
  <si>
    <t>Married Life</t>
  </si>
  <si>
    <t>tt0804505</t>
  </si>
  <si>
    <t>A very gentle middle-aged man is married, but when he falls in love with another woman, he decides that to divorce his wife would humiliate her too much ‚Äö√Ñ√¨ so instead he decides to kill her.</t>
  </si>
  <si>
    <t>Do you know what really goes on in the mind of the person with whom you sleep?</t>
  </si>
  <si>
    <t>Crime, Drama, Romance</t>
  </si>
  <si>
    <t>sidney kimmel entertainment, anonymous content, firm films</t>
  </si>
  <si>
    <t>Sean Tyson, Alex Stevens, Suzanne Ristic, David Richmond-Peck, Dolores Drake, Timothy Webber, Carrie Anne Fleming, David Wenham, Fred Keating, Maria Marlow, Terence Kelly, Kathleen Duborg, Ty Olsson, Sheila Paterson, Dale Floyd, Pauline Crawford, Pierce Brosnan, Rachel McAdams, Chris Cooper, Elijah St. Germain, Patricia Clarkson, Malcolm Boddington, Rebecca Codling, Erin Boyes, Anna Williams, Annabel Kershaw, Mike Cook</t>
  </si>
  <si>
    <t>Ira Sachs</t>
  </si>
  <si>
    <t>Peter Deming</t>
  </si>
  <si>
    <t>Oren Moverman, Ira Sachs, John Bingham</t>
  </si>
  <si>
    <t>Steve Golin, Jawal Nga, Ira Sachs, Sidney Kimmel</t>
  </si>
  <si>
    <t>Dickon Hinchliffe</t>
  </si>
  <si>
    <t>/AdJKmRh3AKX5CVCdwdw1dNTqEJ8.jpg</t>
  </si>
  <si>
    <t>married life</t>
  </si>
  <si>
    <t>toronto international film festival (1), festival do rio br (1), new york film festival (1), woodstock film festival (1), dubai international film festival (1), miami international film festival (1), limited (1), blank (22), sydney film festival (1), edinburgh international film festival (1), german speaking region (1), dvd premiere (11)</t>
  </si>
  <si>
    <t>Stop-Loss</t>
  </si>
  <si>
    <t>tt0489281</t>
  </si>
  <si>
    <t>A veteran soldier returns from his completed tour of duty in Iraq, only to find his life turned upside down when he is arbitrarily ordered to return to field duty by the Army.</t>
  </si>
  <si>
    <t>The bravest place to stand is by each other's side.</t>
  </si>
  <si>
    <t>Drama, War</t>
  </si>
  <si>
    <t>mtv films, peirce pictures, paramount pictures, scott rudin productions</t>
  </si>
  <si>
    <t>Clifton 'Troy' Robinson, Ric Maddox, Linda Emond, Mike Murehead, Channing Tatum, Roger Edwards, Elizabeth Ingalls, Josef Sommer, Connett Brewer, Cora Cardona, Weston Scott Higgins, Steven Strait, Alex Frost, Victor Rasuk, Mamie Gummer, Carlos Pina, David Precopia, Laurie Metcalf, Jeff Gibbs, Ayla Judson, Erik Anderson, Timothy Olyphant, Isreal Saldivar, Gary Teague, Joseph Gordon-Levitt, Spencer Greenwood, Michele Williams, Victor Garc‚àö‚â†a Jr., Rob Brown, Christian Stokes, Tory Kittles, Marie Mizener, Richard Dillard, Ben Taylor, Ryan Phillippe, Tom Minder, Quay Terry, D.S. Moss, James D. Dever, Chandra Washington, Matthew Scott Wilcox, Ciar‚àö¬∞n Hinds, Ken Edwards, Peter Gerety, David Kroll, LaToya Ward, Kasey Stevens, Cory Hart, Margo Martindale, Mohammad Ahmed, Kathryn Tait, Cameron Clapp, Mark Richard, Estella Perez, Robert Farrior, J.D. Evermore, Beau Harris, Abbie Cornish, Lee Stringer</t>
  </si>
  <si>
    <t>Kimberly Peirce</t>
  </si>
  <si>
    <t>Chris Menges</t>
  </si>
  <si>
    <t>Kimberly Peirce, Mark Richard</t>
  </si>
  <si>
    <t>Mark Roybal, Scott Rudin, Kimberly Peirce, Gregory Goodman</t>
  </si>
  <si>
    <t>John Powell</t>
  </si>
  <si>
    <t>/hsmZcNzPGnZwRgCKAfIr1JngYu5.jpg</t>
  </si>
  <si>
    <t>stop-loss</t>
  </si>
  <si>
    <t>south by southwest film festival (1), blank (10), munich film festival (1), dvd (1), dvd premiere (12)</t>
  </si>
  <si>
    <t>Superhero Movie</t>
  </si>
  <si>
    <t>tt0426592</t>
  </si>
  <si>
    <t>Rick Riker is a nerdy teen imbued with superpowers by a radioactive dragonfly. And because every hero needs a nemesis, enter Lou Landers, aka the villainously goofy Hourglass.</t>
  </si>
  <si>
    <t>The greatest Superhero movie of all time! (not counting all the others)</t>
  </si>
  <si>
    <t>Comedy, Action, Science Fiction</t>
  </si>
  <si>
    <t>dimension films, craig mazin company</t>
  </si>
  <si>
    <t>Richard Tillman, Craig Mazin, Jeffrey Tambor, Sam Cohen, Dan Castellaneta, James J. Burke, Manu Toigo, Vic Polizos, Kevin Hart, Sara Paxton, Byrne Offutt, Charlene Tilton, Kurt Fuller, Aubrie Lemon, Marion Ross, Tracy Morgan, Leslie Nielsen, Anna Osceola, Robert Joy, Howard Mungo, Craig Bierko, Kristen Endow, Matt Champagne, Simon Rex, Rod McLachlan, Jordan Rubin, Regina Hall, Drake Bell, Jenica Bergere, Alison Woods, Christopher McDonald, Whitney Ann Jenkins, Ian Patrick Williams, Steve Monroe, Karlton Johnson, Shanna Beauchamp, Gene Richards, Pamela Anderson, Charles W. Gray, Robert Hays, Marisa Lauren, Miles Fisher, Kourtney Kaas, Kent Shocknek, Susan Breslau, Jeremiah Hu, Lil' Kim, Vincent Larusso, Ryan Hansen, Freddie Pierce, Wendy L. Walsh, Brian Carpenter, Ajay Mehta, Amanda Carlin, Sean Simms, Julie Van, Robert Bezanilla, Daryl J. Johnson, Alan Mueting, Jerry Haleva, John Getz, Thomas Rosales Jr., Marque Richardson, James Lew, David McKnight, Cameron Ali Sims, Seth McCook, Aki Aleong, Jeffry Tamara, Nick Kiriazis, Michael Papajohn, Eric Artell, Brent Spiner, Keith David, Atom Gorelick, Jonathan Chase, Nicole Sullivan, Timothy Farmer, Clay Greenbush, Elisabeth Noone</t>
  </si>
  <si>
    <t>Craig Mazin</t>
  </si>
  <si>
    <t>Thomas E. Ackerman</t>
  </si>
  <si>
    <t>Craig Mazin, Matthew Stein, David Zucker, Robert K. Weiss, Greg Norberg, Bob Weinstein, Harvey Weinstein</t>
  </si>
  <si>
    <t>James L. Venable</t>
  </si>
  <si>
    <t>/4MtvQdh5VP7jMSydhggp1P80FMj.jpg</t>
  </si>
  <si>
    <t>superhero movie</t>
  </si>
  <si>
    <t>blank (36), dvd premiere (4), internet (2), french speaking region (1), german speaking region (1), buenos aires (1), premiere (1), limited (1), re-release (1)</t>
  </si>
  <si>
    <t>The Red Baron</t>
  </si>
  <si>
    <t>tt0365675</t>
  </si>
  <si>
    <t>de</t>
  </si>
  <si>
    <t>Der rote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</si>
  <si>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</si>
  <si>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Heroes rise. Empires fall. Legends endure.</t>
  </si>
  <si>
    <t>Action, Adventure, Drama, History, War</t>
  </si>
  <si>
    <t>niama film, arclight films</t>
  </si>
  <si>
    <t>Germany, United Kingdom, United States of America</t>
  </si>
  <si>
    <t>Deutsch, Fran‚àö√üais, English</t>
  </si>
  <si>
    <t>Tom‚àö¬∞s Ibl, Vit Sky, Steffen Schroeder, Lena Headey, Albert Franc, Joseph Fiennes, Ond‚âà√¥ej Volejn‚àö‚â†k, Axel Prahl, Julie Engelbrecht, Tom‚àö¬∞s Koutn‚àö‚â†k, Ji‚âà√¥‚àö‚â† Wohanka, Jacob Erftemeijer, Bra‚âà√†o Holi∆í√ßek, Hanno Koffler, Ji‚âà√¥‚àö‚â† Kout, Denny Ratajsk‚àöŒ©, Gitta Schweigh‚àö‚àÇfer, V‚àö¬∞clav J‚àö‚â†lek, Irena M‚àö¬∞chov‚àö¬∞, Luk‚àö¬∞‚âà¬∞ P‚âà√¥‚àö‚â†kazk‚àöŒ©, Pavel Mysl‚àö‚â†k, Adam Mi‚âà¬∞‚àö‚â†k, Karsten Kaie, Patrik Ple‚âà¬∞inger, Vladislav Rousek, Jan Vlas‚àö¬∞k, Ji‚âà√¥‚àö‚â† La‚âà¬∞tovka, Maxim Mehmet, Matthias Schweigh‚àö‚àÇfer, Til Schweiger, Jan Unger, Igor Chmela, Rostislav Nov‚àö¬∞k, Volker Bruch, Zden∆í√µk Pecha, Luise B‚àö¬ßhr, Vlastina Sv‚àö¬∞tkov‚àö¬∞, Josef Vinkl‚àö¬∞‚âà√¥, Tino Mewes, Robert Neb‚âà√¥ensk‚àöŒ©, Richard Kraj∆í√ßo, Barbora Ujfalusi, Brian Caspe, Ladislav Frej, Ralph Misske, Iveta Ji‚âà√¥i∆í√ßkov‚àö¬∞</t>
  </si>
  <si>
    <t>Nikolai M‚àö¬∫llersch‚àö‚àÇn</t>
  </si>
  <si>
    <t>Klaus Merkel</t>
  </si>
  <si>
    <t>Roland Pellegrino, Nikolai M‚àö¬∫llersch‚àö‚àÇn, Dan Maag, Thomas Reisser</t>
  </si>
  <si>
    <t>Dirk Reichardt, Stefan Hansen</t>
  </si>
  <si>
    <t>/lUuryram6Aoa11dCgoXohR8avjU.jpg</t>
  </si>
  <si>
    <t>the red baron</t>
  </si>
  <si>
    <t>berlin (1), premiere (1), blank (7), dvd premiere (10), fort lauderdale, florida (1), limited (1), nashville film festival (1), tv release (1), internet (1)</t>
  </si>
  <si>
    <t>The Ruins</t>
  </si>
  <si>
    <t>tt0963794</t>
  </si>
  <si>
    <t>Americans Amy, Stacy, Jeff and Eric look for fun during a sunny holiday in Mexico, but they get much more than that after visiting an archaeological dig in the jungle.</t>
  </si>
  <si>
    <t>Terror has evolved.</t>
  </si>
  <si>
    <t>Horror</t>
  </si>
  <si>
    <t>spyglass entertainment, internationale filmproduktion prometheus, red hour, dreamworks pictures</t>
  </si>
  <si>
    <t>Deutsch, ≈í¬µ≈í¬™≈í¬™≈í‚àë≈íŒ©≈íœÄ≈í‚à´≈í¬®, English, Espa‚àö¬±ol</t>
  </si>
  <si>
    <t>Dimitri Baveas, Joe Anderson, Laura Ramsey, Jonathan Tucker, Jesse Ramirez, Balder Moreno, Shawn Ashmore, Jena Malone, Mario Jurado, Jordan Patrick Smith, Sergio Calder‚àö‚â•n, Robert Munns, Bar Paly, Patricio Almeida Rodriguez, Luis Antonio Ramos, Karen Strassman</t>
  </si>
  <si>
    <t>Carter Smith</t>
  </si>
  <si>
    <t>Darius Khondji</t>
  </si>
  <si>
    <t>Scott B. Smith</t>
  </si>
  <si>
    <t>Chris Bender, Stuart Cornfeld, Ben Stiller</t>
  </si>
  <si>
    <t>Graeme Revell</t>
  </si>
  <si>
    <t>/6HpicbiT7xmlMjQXOSCeNoLZGpf.jpg</t>
  </si>
  <si>
    <t>the ruins</t>
  </si>
  <si>
    <t>hollywood, california (1), premiere (1), blank (27), dvd premiere (8), internet (7)</t>
  </si>
  <si>
    <t>Nim's Island</t>
  </si>
  <si>
    <t>tt0410377</t>
  </si>
  <si>
    <t>A young girl inhabits an isolated island with her scientist father and communicates with a reclusive author of the novel she's reading.</t>
  </si>
  <si>
    <t>Be the hero of your own story.</t>
  </si>
  <si>
    <t>Adventure, Comedy, Family, Fantasy</t>
  </si>
  <si>
    <t>walden media</t>
  </si>
  <si>
    <t>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</si>
  <si>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Mark Levin, Jennifer Flackett</t>
  </si>
  <si>
    <t>Stuart Dryburgh</t>
  </si>
  <si>
    <t>Paula Mazur, Wendy Orr, Jennifer Flackett, Mark Levin, Joseph Kwong</t>
  </si>
  <si>
    <t>Paula Mazur</t>
  </si>
  <si>
    <t>Patrick Doyle</t>
  </si>
  <si>
    <t>/vhNoXDpc7T5OdmAuu8DMHLB39uo.jpg</t>
  </si>
  <si>
    <t>nim's island</t>
  </si>
  <si>
    <t>hollywood, california (1), premiere (1), blank (47), french speaking region (1), german speaking region (1), tv premiere (1), dvd premiere (1), internet (1)</t>
  </si>
  <si>
    <t>The Children of Huang Shi</t>
  </si>
  <si>
    <t>tt0889588</t>
  </si>
  <si>
    <t>zh</t>
  </si>
  <si>
    <t>√à¬™√â√Å√º‚â•√Å√∂√ë√Ç‚â†¬©√Ç‚â†√™</t>
  </si>
  <si>
    <t>About young British journalist, George Hogg, who with the assistance of a courageous Australian nurse, saves a group of orphaned children during the Japanese occupation of China in 1937.</t>
  </si>
  <si>
    <t>War made them orphans, one man made them legends</t>
  </si>
  <si>
    <t>australian film finance corporation, zero fiction film, ming productions, bluewater pictures, cheerland entertainment organization, hyde park entertainment, rouge entertainment group, sony pictures classics, media programme of the european union, filmstiftung nrw, australian film commission, zero west filmproduktion, pictorion pictures</t>
  </si>
  <si>
    <t>Australia, Belgium, China, Germany, United States of America</t>
  </si>
  <si>
    <t>√ä√≥‚Ä¢√ä√∫¬®√ã‚Ñ¢√ª, √ä√¥√Ü√à√Ñ√∂√ã√ò√π, English</t>
  </si>
  <si>
    <t>Michelle Yeoh, Zhou Bo, Takashima Shinichi, David Wenham, Guang Li, Jin Shuyuan, Ji Lin, Shane Briant, Jonathan Rhys Meyers, Zhu Ruixiang, Chow Yun-Fat, Anastasia Kolpakova, Matthew Walker, Radha Mitchell, Hongbin Zhang</t>
  </si>
  <si>
    <t>Roger Spottiswoode</t>
  </si>
  <si>
    <t>Zhao Xiaoding</t>
  </si>
  <si>
    <t>Simon van der Borgh, James MacManus, Jane Hawksley</t>
  </si>
  <si>
    <t>Arthur Cohn, Peter Loehr, Wieland Schulz-Keil, Jonathan Shteinman, Martin Hagemann</t>
  </si>
  <si>
    <t>David Hirschfelder</t>
  </si>
  <si>
    <t>/qjmo26BnSimVjhCE97cH8VCtEUV.jpg</t>
  </si>
  <si>
    <t>the children of huang shi</t>
  </si>
  <si>
    <t>blank (18), shanghai international film festival (1), dvd premiere (5), tv premiere (1), nanking film festival (1)</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</si>
  <si>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</si>
  <si>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</si>
  <si>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</si>
  <si>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</si>
  <si>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Action, Crime, Drama, Thriller</t>
  </si>
  <si>
    <t>fox searchlight pictures, regency enterprises, dune entertainment iii, yari film group, emmett/furla films</t>
  </si>
  <si>
    <t>English, T‚àö¬∫rk‚àö√üe</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</si>
  <si>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</si>
  <si>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David Ayer</t>
  </si>
  <si>
    <t>Gabriel Beristain</t>
  </si>
  <si>
    <t>Kurt Wimmer, Jamie Moss, James Ellroy</t>
  </si>
  <si>
    <t>Arnon Milchan, Lucas Foster, Erwin Stoff, Alexandra Milchan, Bruce Berman</t>
  </si>
  <si>
    <t>/csXyZ1BsDBlH0PXkOFWxggEf9WF.jpg</t>
  </si>
  <si>
    <t>street kings</t>
  </si>
  <si>
    <t>hollywood, california (1), premiere (2), blank (49), german speaking region (1), buenos aires (1), taormina film festival (1), french speaking region (1), dvd premiere (2), tv premiere (1)</t>
  </si>
  <si>
    <t>Prom Night</t>
  </si>
  <si>
    <t>tt0926129</t>
  </si>
  <si>
    <t>Donna's senior prom is supposed to be the best night of her life, though a sadistic killer from her past has different plans for her and her friends.</t>
  </si>
  <si>
    <t>A Night To Die For.</t>
  </si>
  <si>
    <t>Horror, Drama, Mystery</t>
  </si>
  <si>
    <t>alliance films, original film, newmarket films, miramax, screen gems</t>
  </si>
  <si>
    <t>Canada, United States of America</t>
  </si>
  <si>
    <t>Italiano, English</t>
  </si>
  <si>
    <t>Bryan Carman, Jana Kramer, Marciano Ricky, Morgan Nagatani, Tom Tarantini, Cory Rasmussen, Nick DeMoura, James Ransone, Collins Pennie, Kelly Blatz, Brianne Davis, Kellen DeRuy, Anthony Rue II, Brian Oblak, Linden Ashby, Gina St. John, Joshua Leonard, Ming-Na Wen, Valeri Ross, Tommy Kijas, Kevin Gould, Kayla Laws, Alex 'Shorty' Welch, Charles Hirsch, Jennifer Talarico, Craig Susser, Katie Orr, Nicholas James, Krystal Katz-Page, Kellan Lutz, Mary Mara, Jay Phillips, Ken Hurst, Joe Heath, David Kaufman, Marcuis Harris, Jacqueline Herrera, Andrew Fiscella, Zena Foster, David Lowe, Shawn Driscoll, Lori Heuring, Hugh Scott, Rachel Specter, Anthony Clark, Daphne Pe'a, Johnny Erasme, Jennie Vaughn, Dana Davis, Scott Porter, Ross Partridge, Idris Elba, Jessalyn Gilsig, Brittany Snow, Allison Kyler, Jessica Stroup, Johnathon Schaech, Troy Blendell</t>
  </si>
  <si>
    <t>Nelson McCormick</t>
  </si>
  <si>
    <t>Checco Varese</t>
  </si>
  <si>
    <t>William Gray, Robert Guza Jr., J.S. Cardone</t>
  </si>
  <si>
    <t>Christopher Ball, Glenn S. Gainor, Marc Forby, William Tyrer, Neal H. Moritz, Bruce Mellon, Toby Jaffe, J.S. Cardone</t>
  </si>
  <si>
    <t>Paul Haslinger</t>
  </si>
  <si>
    <t>/pKSeyN02R5khphImEIpAdBjQgEP.jpg</t>
  </si>
  <si>
    <t>prom night</t>
  </si>
  <si>
    <t>blank (27), dvd premiere (5), blu-ray release (1), dvd and blu-ray premiere (1), internet (3)</t>
  </si>
  <si>
    <t>Smart People</t>
  </si>
  <si>
    <t>tt0858479</t>
  </si>
  <si>
    <t>Professor Lawrence Wetherhold might be imperiously brilliant, monumentally self-possessed and an intellectual giant -- but when it comes to solving the conundrums of love and family, he's as downright flummoxed as the next guy.</t>
  </si>
  <si>
    <t>Sometimes the smartest people have the most to learn</t>
  </si>
  <si>
    <t>Comedy, Drama, Romance</t>
  </si>
  <si>
    <t>gem global entertainment magyar, miramax, sherazade film development, groundswell productions, qed international, corduroy films, visitor pictures, chesterfield writer's film project</t>
  </si>
  <si>
    <t>Christine Lahti, Camille Mana, Richard John Walters, Ashton Holmes, Robert Haley, Sarah Jessica Parker, Jane Mowder, Jackson Nunn, Barret Hackney, David Denman, Don Wadsworth, Dennis Quaid, Thomas Haden Church, Patrick Sebes, Elliot Page</t>
  </si>
  <si>
    <t>Noam Murro</t>
  </si>
  <si>
    <t>Toby Irwin</t>
  </si>
  <si>
    <t>Mark Poirier</t>
  </si>
  <si>
    <t>Bruna Papandrea, Bridget Johnson, Michael London, Michael Costigan, Paul Hanson</t>
  </si>
  <si>
    <t>Nuno Bettencourt</t>
  </si>
  <si>
    <t>/igIl4RKxOEYvhQGKCvM6vCRMiVm.jpg</t>
  </si>
  <si>
    <t>smart people</t>
  </si>
  <si>
    <t>sundance film festival (1), blank (14), dvd premiere (8)</t>
  </si>
  <si>
    <t>The Forbidden Kingdom</t>
  </si>
  <si>
    <t>tt0865556</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</si>
  <si>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</si>
  <si>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</si>
  <si>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Action, Adventure, Fantasy</t>
  </si>
  <si>
    <t>casey silver productions, china film co-production corp., relativity media, lionsgate, the weinstein company, arclight films, huayi brothers pictures, j&amp;j project, salon films</t>
  </si>
  <si>
    <t>China, Hong Kong, United States of America</t>
  </si>
  <si>
    <t>√ä√¥√Ü√à√Ñ√∂√ã√ò√π, English</t>
  </si>
  <si>
    <t>Sam Wong Ming-Sing, Liu Yifei, Shen Shou He, Jack Posobiec, Bin Jiang, Morgan Benoit, Jackie Chan, Shaohua Yang, Yu Yuan Zeng, Li Bingbing, Collin Chou, Wang Deshun, Michael Angarano, Juana Collignon, Thomas McDonell, Zhi Ma Gui, Shi Xiao Ju, Jet Li, David Will No</t>
  </si>
  <si>
    <t>Rob Minkoff</t>
  </si>
  <si>
    <t>Peter Pau Tak-Hai</t>
  </si>
  <si>
    <t>John Fusco</t>
  </si>
  <si>
    <t>Philip Lee, Solon So Chi-Hung, Casey Silver, Ryan Kavanaugh, David U. Lee, Raffaella De Laurentiis, Michael Paseornek, Scott Fischer, Yuen Woo-Ping, Lynwood Spinks, Wang Zhongjun</t>
  </si>
  <si>
    <t>David Buckley</t>
  </si>
  <si>
    <t>/z8chF1Z7hyuSVqLYTgElkQZh2VB.jpg</t>
  </si>
  <si>
    <t>the forbidden kingdom</t>
  </si>
  <si>
    <t>blank (49), afi dallas film festival (1), tokyo (1), premiere (1), french speaking region (1), internet (2), dvd premiere (4), german speaking region (1), tv premiere (1)</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</si>
  <si>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</si>
  <si>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</si>
  <si>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</si>
  <si>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</si>
  <si>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universal pictures, apatow productions</t>
  </si>
  <si>
    <t>English, √ä√≥‚Ä¢√ä√∫¬®√ã‚Ñ¢√ª,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</si>
  <si>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</si>
  <si>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Nicholas Stoller</t>
  </si>
  <si>
    <t>Russ T. Alsobrook</t>
  </si>
  <si>
    <t>Jason Segel</t>
  </si>
  <si>
    <t>Rodney Rothman, Richard Vane, Judd Apatow, Shauna Robertson</t>
  </si>
  <si>
    <t>Lyle Workman</t>
  </si>
  <si>
    <t>/d4elOzyhNWVlxpG7BwigrumkFTe.jpg</t>
  </si>
  <si>
    <t>forgetting sarah marshall</t>
  </si>
  <si>
    <t>south by southwest film festival (1), blank (38), french speaking region (1), german speaking region (1), dvd premiere (4), tokyo (1), tv premiere (1), internet (3)</t>
  </si>
  <si>
    <t>Happy-Go-Lucky</t>
  </si>
  <si>
    <t>tt1045670</t>
  </si>
  <si>
    <t>A look at a few chapters in the life of Poppy, a cheery, colorful, North London schoolteacher whose optimism tends to exasperate those around her.</t>
  </si>
  <si>
    <t>The one movie this fall that will put a smile on your face.</t>
  </si>
  <si>
    <t>Comedy, Drama</t>
  </si>
  <si>
    <t>summit entertainment, ingenious film partners, film4 productions, uk film council, thin man films</t>
  </si>
  <si>
    <t>United Kingdom, United States of America</t>
  </si>
  <si>
    <t>Alexis Zegerman, Nonso Anozie, Andrea Riseborough, Charlie Duffield, Samuel Roukin, Sylvestra Le Touzel, Anna Reynolds, Philip Arditti, Karina Fernandez, Oliver Maltman, Viss Elliot Safavi, Stanley Townsend, Trevor Cooper, Sarah Niles, Caroline Martin, Sinead Matthews, Jack MacGeachin, Ayotunde Williams, Rebekah Staton, Eddie Marsan, Kate O'Flynn, Joseph Kloska, Sally Hawkins, Elliot Cowan</t>
  </si>
  <si>
    <t>Mike Leigh</t>
  </si>
  <si>
    <t>Dick Pope</t>
  </si>
  <si>
    <t>Duncan Reid, Tessa Ross, James Clayton, Simon Channing Williams, Gail Egan, David Garrett</t>
  </si>
  <si>
    <t>Gary Yershon</t>
  </si>
  <si>
    <t>/9FdD4YClMPZponkvHuQOgEOaWcF.jpg</t>
  </si>
  <si>
    <t>happy-go-lucky</t>
  </si>
  <si>
    <t>berlin international film festival (1), dublin film festival (1), london (1), premiere (1), blank (31), sydney film festival (1), pula film festival (1), norwegian international film festival (1), dvd premiere (3), espoo film festival (1), german speaking region (1), french speaking region (1), telluride film festival (1), toronto international film festival (1), rio de janeiro international film festival (1), new york film festival (1), athens film festival (1), mill valley film festival (2), limited (4), morelia film festival (1), warsaw international filmfest (1), austin film festival (1), chicago international film festival (1), tokyo international film festival (1), tallinn black nights film festival (1), jakarta international film festival (1), santa barbara international film festival (1), belgrade film festival (1), febio film festival (1), foro internacional de la cineteca (1), bfi southbank (1)</t>
  </si>
  <si>
    <t>Outlander</t>
  </si>
  <si>
    <t>tt0462465</t>
  </si>
  <si>
    <t>During the reign of the Vikings, a man from another world crash-lands on Earth, bringing with him an alien predator. The man must fuse his advanced technology with the weaponry of the vikings to fight the monster.</t>
  </si>
  <si>
    <t>It destroyed his world. He won't let it destroy ours.</t>
  </si>
  <si>
    <t>Science Fiction, Action</t>
  </si>
  <si>
    <t>ascendant pictures, rising star productions, vip medienfonds 4, virtual films, outlander productions</t>
  </si>
  <si>
    <t>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t>
  </si>
  <si>
    <t>Howard McCain</t>
  </si>
  <si>
    <t>Pierre Gill</t>
  </si>
  <si>
    <t>Dirk Blackman, Howard McCain</t>
  </si>
  <si>
    <t>Dirk Blackman, Andreas Grosch, Marcus Sch‚àö‚àÇfer, Philip Elway, Don Carmody, Kia Jam, Karen Loop, Christopher Roberts, John Schimmel, Barrie M. Osborne</t>
  </si>
  <si>
    <t>Geoff Zanelli</t>
  </si>
  <si>
    <t>/nCZzrFonDkWfYkfxzsPByBY4Lvk.jpg</t>
  </si>
  <si>
    <t>outlander</t>
  </si>
  <si>
    <t>blank (22), locarno film festival (1), fantasy filmfest (1), nuremberg fantasy filmfest (1), limited (1), dvd premiere (12), glasgow film festival (1), dvd and blu-ray premiere (2)</t>
  </si>
  <si>
    <t>Deception</t>
  </si>
  <si>
    <t>tt0800240</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</si>
  <si>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</si>
  <si>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When you're in this world, no one is who they seem, and everyone is playing the game.</t>
  </si>
  <si>
    <t>Thriller, Mystery</t>
  </si>
  <si>
    <t>dune entertainment iii, kanzaman productions, mrc, rifkin-eberts productions, seed productions, 20th century fox, summit entertainment</t>
  </si>
  <si>
    <t>Spain, United States of America</t>
  </si>
  <si>
    <t>Zoe Perry, Peter Jay Fernandez, Shannan Click, Margaret Colin, Frank Deal, Florencia Lozano, James Mazzola, Ewan McGregor, David Deblinger, Karolina Muller, Emelie Jeffries, Melissa Rae Mahon, Andrew Ginsburg, LisaGay Hamilton, Malcolm Goodwin, Maggie Q, Agnete Oernsholt, Kenneth Lee, Lisa Kron, Michelle Williams, Lynn Cohen, Hugh Jackman, Charlotte Rampling, Natasha Henstridge, Frank Girardeau, Bruce Altman, Rachael Taylor, Rachel Montez Collins, Jordan Tesfay, Daisy Bates, Stephanie Roth Haberle, Christine Kan, Deborah Yates, Paz de la Huerta, Paul Sparks, Bill Camp, Aya Cash, Dante Spinotti, Holly Cruikshank</t>
  </si>
  <si>
    <t>Marcel Langenegger</t>
  </si>
  <si>
    <t>Dante Spinotti</t>
  </si>
  <si>
    <t>Mark Bomback</t>
  </si>
  <si>
    <t>Denise O'Dell, Denis Pedregosa, John Palermo, Christopher Eberts, Mark Albela, Robbie Brenner, Arnold Rifkin, Hugh Jackman, David L. Bushell</t>
  </si>
  <si>
    <t>Ramin Djawadi</t>
  </si>
  <si>
    <t>/lfkdTvfmaqlGiHymJl6EAdIaN1J.jpg</t>
  </si>
  <si>
    <t>deception</t>
  </si>
  <si>
    <t>blank (37), dvd premiere (5), blu-ray release (1)</t>
  </si>
  <si>
    <t>Baby Mama</t>
  </si>
  <si>
    <t>tt0871426</t>
  </si>
  <si>
    <t>A successful, single businesswoman who dreams of having a baby discovers she is infertile and hires a working class woman to be her unlikely surrogate.</t>
  </si>
  <si>
    <t>Would you put your eggs in this basket?</t>
  </si>
  <si>
    <t>Comedy, Romance</t>
  </si>
  <si>
    <t>relativity media, michaels-goldwyn, universal pictures</t>
  </si>
  <si>
    <t>Greg Kinnear, Catherine Rose, Will Forte, Jon Glaser, Frank Rodriguez, Eric Zuckerman, John Hodgman, Stephen Mailer, Diane Cheng, Erica Fae, Steve Martin, Fred Armisen, James Rebhorn, Alice Kremelberg, Brian Stack, Curt Carlson, Jeffrey Mowery, Anne L. Nathan, Jason Mantzoukas, Almeria Campbell, Maura Tierney, Kevin Collins, Andrew Hillmedo Jr., Kathy Searle, Amy Poehler, Tina Fey, Sigourney Weaver, Dave Finkel, Jay Phillips, Romany Malco, Andra Eggleston, Denis O'Hare, Felicity Stiverson, Dax Shepard, Siobhan Fallon Hogan, Holland Taylor, Ian Colletti, Tom McCarthy</t>
  </si>
  <si>
    <t>Michael McCullers</t>
  </si>
  <si>
    <t>Daryn Okada</t>
  </si>
  <si>
    <t>Lorne Michaels, Louise Rosner-Meyer, Jill Messick, John Goldwyn</t>
  </si>
  <si>
    <t>Jeff Richmond</t>
  </si>
  <si>
    <t>/xZOwucsL5NInPyFcmqJzytHkaJR.jpg</t>
  </si>
  <si>
    <t>baby mama</t>
  </si>
  <si>
    <t>tribeca film festival (1), blank (21), dvd premiere (6), tv premiere (1)</t>
  </si>
  <si>
    <t>Harold &amp; Kumar Escape from Guantanamo Bay</t>
  </si>
  <si>
    <t>tt0481536</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</si>
  <si>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</si>
  <si>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</si>
  <si>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Comedy, Adventure</t>
  </si>
  <si>
    <t>new line cinema, kingsgate films, mandate pictures, mandate international</t>
  </si>
  <si>
    <t>Marisa Belinda, Patrick Michael Carney, Mark Mu‚àö¬±oz, Paula Garc‚àö¬©s,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t>
  </si>
  <si>
    <t>Hayden Schlossberg, Jon Hurwitz</t>
  </si>
  <si>
    <t>Jon Hurwitz, Toby Emmerich, Joseph Drake, Greg Shapiro, Nathan Kahane, Carsten H.W. Lorenz, Richard Brener, Hayden Schlossberg</t>
  </si>
  <si>
    <t>George S. Clinton</t>
  </si>
  <si>
    <t>/gmXKlm8c8O7JEISYP4WiWq2x3We.jpg</t>
  </si>
  <si>
    <t>harold &amp; kumar escape from guantanamo bay</t>
  </si>
  <si>
    <t>blank (14), dvd premiere (7), tv premiere (2), tv release (2), internet (1), asian film archive (1)</t>
  </si>
  <si>
    <t>Three and Out</t>
  </si>
  <si>
    <t>tt1130980</t>
  </si>
  <si>
    <t>A London tube driver considers pursuing a third fatal accident to collect a huge payout.</t>
  </si>
  <si>
    <t>1... was an accident. 2... was bad luck. 3... was his chance of a lifetime!</t>
  </si>
  <si>
    <t>Drama, Comedy</t>
  </si>
  <si>
    <t>worldwide bonus entertainment, rovinge motion picture company (rmpc)</t>
  </si>
  <si>
    <t>United Kingdom</t>
  </si>
  <si>
    <t>Steve Money, Frank Dunne, Annette Badland, Gary Lewis, Imelda Staunton, Kerry Katona, Rob Witcomb, Mackenzie Crook, Sharon Duncan-Brewster, Emma Barnett, Rhashan Stone, Antony Sher, Colm Meaney, Mark Benton, Gemma Arterton</t>
  </si>
  <si>
    <t>Jonathan Gershfield</t>
  </si>
  <si>
    <t>Richard Greatrex</t>
  </si>
  <si>
    <t>Tony Owen, Steve Lewis</t>
  </si>
  <si>
    <t>Ian Harries</t>
  </si>
  <si>
    <t>Trevor Jones</t>
  </si>
  <si>
    <t>/fXpNfBlpfKapNg9i5fgtHPabABX.jpg</t>
  </si>
  <si>
    <t>three and out</t>
  </si>
  <si>
    <t>london (1), premiere (1), blank (2), tucson film &amp; music festival (1), cleveland international film festival (1), newport beach international film festival (1), dvd premiere (1)</t>
  </si>
  <si>
    <t>My Mom's New Boyfriend</t>
  </si>
  <si>
    <t>tt0780534</t>
  </si>
  <si>
    <t>After several years away, FBI agent Henry Durand returns to find his mother, Marty, a much different person: Having long mourned for Henry's father, she is now embracing single life. One day, while Marty, Henry and his new fianc‚àö¬©e,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</si>
  <si>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</si>
  <si>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</si>
  <si>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</si>
  <si>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</si>
  <si>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</si>
  <si>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</si>
  <si>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</si>
  <si>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</si>
  <si>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</si>
  <si>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my mom's new boyfriend</t>
  </si>
  <si>
    <t>blank (18), dvd premiere (9), blu-ray premiere (1), tv premiere (1)</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</si>
  <si>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</si>
  <si>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</si>
  <si>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</si>
  <si>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</si>
  <si>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columbia pictures, original film</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</si>
  <si>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</si>
  <si>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</si>
  <si>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</si>
  <si>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</si>
  <si>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</si>
  <si>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Rupert Gregson-Williams</t>
  </si>
  <si>
    <t>/pDg8D0jNqmz7RbCBgblWvmPswHE.jpg</t>
  </si>
  <si>
    <t>made of honor</t>
  </si>
  <si>
    <t>london (1), premiere (1), blank (85), german speaking region (1), limited (1), french speaking region (1)</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</si>
  <si>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</si>
  <si>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</si>
  <si>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</si>
  <si>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</si>
  <si>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</si>
  <si>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</si>
  <si>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English, √ä√≥‚Ä¢√ä√∫¬®√ã‚Ñ¢√ª</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</si>
  <si>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F‚àö¬∫rmann, Megan Gay, Susan Sarandon, Ludmilla Ismailow, Olivier Marlo, Kenzie, Cosma Shiva Hagen, Nayo Wallace, Milka Duno, Gian Ganziano, Art LaFleur, Kad‚àöŒ© Taylor, John Benfield, Leila Rozario, Andr‚àö¬©s Cantor, Ralph Herforth, Christina Ricci, Jonathan Kinsler, Melvil Poupaud, Fang Yu, Matthias Redlhammer, Jana Pallaske, Willy, Ill-Young Kim, Oscar Ortega S‚àö¬∞nchez, Rain, Togo Igawa, L. Trey Wilson, Anatole Taubman, Max Hopp, Amira Osman, Ricky Watson, Christian Oliver, Ashley Walters, Frank Witter, Waldemar Kobus, Yu Nan, Ariel Winter</t>
  </si>
  <si>
    <t>Lilly Wachowski, Lana Wachowski</t>
  </si>
  <si>
    <t>David Tattersall</t>
  </si>
  <si>
    <t>Lilly Wachowski, Lana Wachowski, Tatsuo Yoshida</t>
  </si>
  <si>
    <t>Lilly Wachowski, Lana Wachowski, David Lane Seltzer, Bruce Berman, Joel Silver, Grant Hill, Michael Lambert</t>
  </si>
  <si>
    <t>Michael Giacchino</t>
  </si>
  <si>
    <t>/fxRIpx9Op9h71q3tvuabx4GryyP.jpg</t>
  </si>
  <si>
    <t>speed racer</t>
  </si>
  <si>
    <t>berlin (1), premiere (3), london (1), tribeca film festival (1), blank (68), german speaking region (1), french speaking region (1), tokyo (1), dvd premiere (1)</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</si>
  <si>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</si>
  <si>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</si>
  <si>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</si>
  <si>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</si>
  <si>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</si>
  <si>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 xml:space="preserve">English, </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</si>
  <si>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</si>
  <si>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</si>
  <si>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Matthew F. Leonetti</t>
  </si>
  <si>
    <t>Dana Fox</t>
  </si>
  <si>
    <t>Arnon Milchan, Joseph M. Caracciolo Jr., Shawn Levy, Michael Aguilar, Jimmy Miller, Dean Georgaris</t>
  </si>
  <si>
    <t>Christophe Beck</t>
  </si>
  <si>
    <t>/n7bQ7Lj6UhArgnx49wmkaTxM4iU.jpg</t>
  </si>
  <si>
    <t>what happens in vegas</t>
  </si>
  <si>
    <t>london (1), premiere (3), westwood, california (1), blank (49), french speaking region (1), german speaking region (1), tokyo (1), limited (1), tv premiere (1), internet (1)</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</si>
  <si>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</si>
  <si>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</si>
  <si>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</si>
  <si>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</si>
  <si>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</si>
  <si>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</si>
  <si>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Deutsch, English</t>
  </si>
  <si>
    <t>Zsuzsa Holl, David Thewlis, Zsolt S‚àö¬∞f‚àö¬∞r Kov‚àö¬∞cs, Domonkos N‚àö¬©meth, Richard Johnson, L‚àö¬∞szl‚àö‚â• ‚àö√Öron, L‚àö¬∞szl‚àö‚â• Quitt, Charlie Baker, Cara Horgan, Rupert Friend, Vera Farmiga, B‚àö¬©la Fesztbaum, Iv‚àö¬∞n Vereb‚àö¬©ly, Henry Kingsmill, Zac Mattoon O'Brien, Asa Butterfield, Sheila Hancock, Jack Scanlon, Jim Norton, Attila Egyed, G‚àö¬∞bor Harsai, Amber Beattie, Julia Papp, Mih‚àö¬∞ly Szabados, David Hayman, L‚àö¬∞szl‚àö‚â• N‚àö¬∞dasi</t>
  </si>
  <si>
    <t>Mark Herman</t>
  </si>
  <si>
    <t>Beno‚àö√Üt Delhomme</t>
  </si>
  <si>
    <t>Mark Herman, John Boyne</t>
  </si>
  <si>
    <t>Mark Herman, Christine Langan, David Heyman</t>
  </si>
  <si>
    <t>James Horner</t>
  </si>
  <si>
    <t>/sLwYSEVVV3r047cjrpRAbGgNsfL.jpg</t>
  </si>
  <si>
    <t>the boy in the striped pyjamas</t>
  </si>
  <si>
    <t>carnegie film festival (1), blank (31), san sebasti√°n film festival (1), rio de janeiro international film festival (1), heartland film festival (1), s√£o paulo international film festival (1), chicago international film festival (1), limited (2), oslo international film festival (1), german speaking region (1), dvd premiere (6), manila (1), febio film festival (1), internet (6)</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</si>
  <si>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</si>
  <si>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</si>
  <si>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</si>
  <si>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</si>
  <si>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</si>
  <si>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t‚àö¬©l‚àö¬©film canada, ag‚àö‚Ñ¢ncia nacional do cinema - ancine, potboiler productions, rhombus media, o2 filmes, bee vine pictures</t>
  </si>
  <si>
    <t>Brazil, Canada, Italy, Japan, United Kingdom</t>
  </si>
  <si>
    <t>√ä√≥‚Ä¢√ä√∫¬®√ã‚Ñ¢√ª, English</t>
  </si>
  <si>
    <t>Billy Otis, Maury Chaykin, Bathsheba Garnett, Rick Demas, Oscar Hsu, Nadia Litz, Heraldo Firmino, Eduardo Semerjian, Norman Owen, Danny Glover, Y‚âà¬¥suke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Mac‚àö¬∞rio, Michael Mahonen, Joris Jarsky, Susan Coyne, Jorge Molina, Patrick Garrow, Amanda Hiebert, Agi Gallus, Gael Garc‚àö‚â†a Bernal, Niv Fichman, Rodrigo Pessin, Pl‚àö‚â†nio Soares, Julianne Moore, Isai Rivera Blas, Jackie Brown, Tracy Wright, Adriana Guerra, Johnny Goltz, Joseph Motiki, John Fort, Matt Gordon, Don McKellar, Antonio Fragoso, Victoria Fodor, Yoshino Kimura, Alice Poon, Ot‚àö¬∞vio Martins, Jo‚àö¬£o Velho, Domingos Ant‚àö¬•nio, Carol Hubner, Sari Friedland, Eduardo Parisi, Alice Braga, Ci‚àö√üa Meirelles, Jason Bermingham, Bia Borin, Kelly Fiddick</t>
  </si>
  <si>
    <t>Fernando Meirelles</t>
  </si>
  <si>
    <t>C‚àö¬©sar Charlone</t>
  </si>
  <si>
    <t>Jos‚àö¬© Saramago, Don McKellar</t>
  </si>
  <si>
    <t>Aeschylus Poulos, Bel Berlinck, Sheena Macdonald, Tatsumi Yoda, Victor Loewy, Claudia B‚àö¬∫schel, Akira Ishii, Sonoko Sakai, Niv Fichman, Austin Wong, Andrea Barata Ribeiro, Sari Friedland, Simon Channing Williams, Gail Egan, Larry Weinstein</t>
  </si>
  <si>
    <t>Marco Ant‚àö¬•nio Guimar‚àö¬£es</t>
  </si>
  <si>
    <t>/deBsx5IxyqCC217j3VY24TkkE0Z.jpg</t>
  </si>
  <si>
    <t>blindness</t>
  </si>
  <si>
    <t>cannes film festival (1), premiere (3), sarajevo film festival (1), s√£o paulo (1), rio de janeiro (1), hamburg film festival (1), toronto international film festival (1), atlantic film festival (1), blank (36), helsinki international film festival (1), sitges international fantastic film festival (1), french speaking region (1), panorama of european cinema (1), tokyo international film festival (1), german speaking region (1), camerimage (1), dubai international film festival (1), dvd premiere (2), limited (1), reflection of disability in art international festival (1), greek film archive (1)</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</si>
  <si>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</si>
  <si>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</si>
  <si>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</si>
  <si>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</si>
  <si>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Adventure, Family, Fantasy</t>
  </si>
  <si>
    <t>walt disney pictures, walden media, silverbell films, mark johnson productions, c.s. lewis company</t>
  </si>
  <si>
    <t>Adam Valdez, Ben Barnes, Lucie Solarova, Hana Frejkov‚àö¬∞, Jan Filipensk‚àöŒ©, Ephraim Goldin, Isaac Bell, Michaela Dvorska, Ken Stott, Curtis Matthew, David Bowles, Joseph Moore, Carlos Silva Da Silva, Douglas Gresham, Ashley Jones, Kl‚àö¬∞ra Issov‚àö¬∞, Liam Neeson, Eddie Izzard, Skandar Keynes, Alina Phelan, David Walliams, Predrag Bjelac, Peter Dinklage, Juan Diego Montoya, Anna Popplewell, Vincent Grass, Gomez Sandoval, Lejla Abbasov‚àö¬∞, Jack Walley, Marcus O'Donovan, Jaymie Bell, Sergio Castellitto, Tilda Swinton, Pierfrancesco Favino, Warwick Davis, David Mottl, Winham Hammond, Kristina Beranov‚àö¬∞, Alicia Borrachero, Yemi A.D., Georgie Henley, Shane Rangi, William Moseley, Sim‚àö‚â•n Andreu, Dami‚àö¬∞n Alc‚àö¬∞zar, Cornell John, Mana Hira Davis, Karolina Matouskova, Siobhan Connors, John Bach</t>
  </si>
  <si>
    <t>Andrew Adamson</t>
  </si>
  <si>
    <t>Karl Walter Lindenlaub</t>
  </si>
  <si>
    <t>C. S. Lewis, Christopher Markus, Stephen McFeely, Andrew Adamson</t>
  </si>
  <si>
    <t>Andrew Adamson, Mark Johnson, Perry Moore, Philip Steuer</t>
  </si>
  <si>
    <t>Harry Gregson-Williams</t>
  </si>
  <si>
    <t>/qxz3WIyjZiSKUhaTIEJ3c1GcC9z.jpg</t>
  </si>
  <si>
    <t>the chronicles of narnia: prince caspian</t>
  </si>
  <si>
    <t>festival internacional de cine acapulco (1), blank (66), french speaking region (1), german speaking region (1)</t>
  </si>
  <si>
    <t>Indiana Jones and the Kingdom of the Crystal Skull</t>
  </si>
  <si>
    <t>tt0367882</t>
  </si>
  <si>
    <t>Set during the Cold War, the Soviets‚Äö√Ñ√Æled by sword-wielding Irina Spalko‚Äö√Ñ√Æare in search of a crystal skull which has supernatural powers related to a mystical Lost City of Gold. Indy is coerced to head to Peru at the behest of a young man whose friend‚Äö√Ñ√Æand Indy's colleague‚Äö√Ñ√ÆProfessor Oxley has been captured for his knowledge of the skull's whereabouts.</t>
  </si>
  <si>
    <t>The adventure continues...</t>
  </si>
  <si>
    <t>Adventure, Action</t>
  </si>
  <si>
    <t>paramount pictures, lucasfilm ltd.</t>
  </si>
  <si>
    <t>English, Deutsch, P‚Äî√â‚Äî√Ö‚Äî√Ö‚Äì‚à´‚Äì‚àè‚ÄìœÄ</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</si>
  <si>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L‚àö‚â•pez,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</si>
  <si>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</si>
  <si>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Kami‚âà√ëski</t>
  </si>
  <si>
    <t>Jeff Nathanson, David Koepp, Philip Kaufman, George Lucas</t>
  </si>
  <si>
    <t>Kathleen Kennedy, Frank Marshall, George Lucas</t>
  </si>
  <si>
    <t>John Williams</t>
  </si>
  <si>
    <t>/56As6XEM1flWvprX4LgkPl8ii4K.jpg</t>
  </si>
  <si>
    <t>indiana jones and the kingdom of the crystal skull</t>
  </si>
  <si>
    <t>cannes film festival (1), premiere (4), new york city, new york (1), sydney (1), blank (70), french speaking region (1), limited (2), german speaking region (1), festival de cinema en valenci√† inquiet (1), tokyo (1), dvd premiere (2), blu-ray (1)</t>
  </si>
  <si>
    <t>The Strangers</t>
  </si>
  <si>
    <t>tt0482606</t>
  </si>
  <si>
    <t>After a 4 a.m. knock at the door and haunting voices, Kristen McKay and James Hoyt‚Äö√Ñ√¥s remote getaway becomes a psychological night of terror as three masked strangers invade. Now they must go far beyond what they thought themselves capable of if they hope to survive.</t>
  </si>
  <si>
    <t>Lock the door. Pretend you're safe.</t>
  </si>
  <si>
    <t>Horror, Thriller</t>
  </si>
  <si>
    <t>intrepid pictures, rogue pictures, vertigo entertainment, mandate pictures</t>
  </si>
  <si>
    <t>Kip Weeks, Scott Speedman, Liv Tyler, Jordan Orr, Glenn Howerton, Shawn McClellan, Laura Margolis, Alex Fisher, Nick Barghini, Peter Clayton-Luce, Gemma Ward</t>
  </si>
  <si>
    <t>Bryan Bertino</t>
  </si>
  <si>
    <t>Peter Sova</t>
  </si>
  <si>
    <t>Nathan Kahane, Marc D. Evans, Kelli Konop, Roy Lee, Doug Davison, Joseph Drake, Sonny Mallhi, Trevor Macy</t>
  </si>
  <si>
    <t>Andy Milburn, tomandandy, Tom Hajdu</t>
  </si>
  <si>
    <t>/gwsg4qFmLOvlhwXj4OZuxfFUdP0.jpg</t>
  </si>
  <si>
    <t>the strangers</t>
  </si>
  <si>
    <t>blank (42), frightfest (1), metro manila (1), german speaking region (1), dvd premiere (4), internet (2)</t>
  </si>
  <si>
    <t>Cyborg She</t>
  </si>
  <si>
    <t>tt0929860</t>
  </si>
  <si>
    <t>ja</t>
  </si>
  <si>
    <t>√Ç√â√Ø‚Äû√Ö√Ü√ÇŒ©¬∫√Ç‚Ä¢‚â•‚Äû√Ö√ò‚Äû√á¬µ‚Äû√á¬ß‚Äû√â√∫‚Äû√â¬∫‚Äû√á‚àû</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</si>
  <si>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</si>
  <si>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</si>
  <si>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</si>
  <si>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</si>
  <si>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Japan, South Korea</t>
  </si>
  <si>
    <t>√ä√≥‚Ä¢√ä√∫¬®√ã‚Ñ¢√ª</t>
  </si>
  <si>
    <t>Horiken, Masat‚àö¬• Ibu, Sakura Mizuno, Haruka Ayase, Megumi Sato, Suzunosuke Tanaka, Ayumu Saito, Kaito Kond‚àö¬•, Ryosuke Nagata, Yuito ‚àö√Æwada,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</si>
  <si>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</si>
  <si>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</si>
  <si>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Mataichir‚àö¬• Yamamoto, Ji Young-jun, Hidemi Satani</t>
  </si>
  <si>
    <t>Naoki Ohtsubo</t>
  </si>
  <si>
    <t>/kt2wjQjJqTh15IRirPOBByFVAEe.jpg</t>
  </si>
  <si>
    <t>cyborg she</t>
  </si>
  <si>
    <t>yubari international fantastic film festival (1), premiere (1), blank (5), summer international film festival (1), sci-fi-london (1), japan cuts (1)</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</si>
  <si>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</si>
  <si>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</si>
  <si>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</si>
  <si>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</si>
  <si>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</si>
  <si>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</si>
  <si>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</si>
  <si>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</si>
  <si>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</si>
  <si>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</si>
  <si>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</si>
  <si>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</si>
  <si>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</si>
  <si>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kung fu panda</t>
  </si>
  <si>
    <t>cannes film festival (1), premiere (3), shanghai international film festival (1), los angeles, california (1), blank (71), imax version (1), limited (1), london (1), german speaking region (1), french speaking region (1), athens (1), dvd premiere (2), festival de cinema en valenci√† inquiet (1), anifest film festival (1), outfest film festival (1)</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</si>
  <si>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</si>
  <si>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</si>
  <si>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</si>
  <si>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</si>
  <si>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Comedy, Action</t>
  </si>
  <si>
    <t>relativity media, happy madison productions, columbia pictures</t>
  </si>
  <si>
    <t>English, ‚óä¬¢√∑¬•‚óä√´√∑‚àû‚óä¬Æ√∑¬•‚óä√¥‚óä‚Ñ¢</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</si>
  <si>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</si>
  <si>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</si>
  <si>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</si>
  <si>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</si>
  <si>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</si>
  <si>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</si>
  <si>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you don't mess with the zohan</t>
  </si>
  <si>
    <t>blank (48), french speaking region (1), german speaking region (1), blu-ray release (1), old town taito international comedy film festival (1), dvd premiere (2), war on screen international film festival (1), internet (1)</t>
  </si>
  <si>
    <t>Admiral</t>
  </si>
  <si>
    <t>tt1101026</t>
  </si>
  <si>
    <t>ru</t>
  </si>
  <si>
    <t>‚Äì√™‚Äì¬•‚Äì¬∫‚Äì‚àè‚Äî√Ñ‚Äì‚àû‚Äì¬™‚Äî√§</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</si>
  <si>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</si>
  <si>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</si>
  <si>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War, Drama</t>
  </si>
  <si>
    <t>dago productions, channel one, cinema directorate studio, sverdlovsk film studio</t>
  </si>
  <si>
    <t>Russia</t>
  </si>
  <si>
    <t>P‚Äî√â‚Äî√Ö‚Äî√Ö‚Äì‚à´‚Äì‚àè‚ÄìœÄ, Fran‚àö√üais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</si>
  <si>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</si>
  <si>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</si>
  <si>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</si>
  <si>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</si>
  <si>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</si>
  <si>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</si>
  <si>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</si>
  <si>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admiral</t>
  </si>
  <si>
    <t>limited (1), blank (15), seattle international film festival (1), sputnik russian film festival (1), dvd premiere (5)</t>
  </si>
  <si>
    <t>Sarkar Raj</t>
  </si>
  <si>
    <t>tt0490210</t>
  </si>
  <si>
    <t>hi</t>
  </si>
  <si>
    <t>‚Ä°¬ß‚àè‚Ä°¬ß‚àû‚Ä°‚Ä¢√ß‚Ä°¬ß√Ø‚Ä°¬ß√¶‚Ä°¬ß‚àû ‚Ä°¬ß‚àû‚Ä°¬ß√¶‚Ä°¬ß√∫</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</si>
  <si>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</si>
  <si>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</si>
  <si>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</si>
  <si>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</si>
  <si>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India</t>
  </si>
  <si>
    <t>‚Ä°¬ßœÄ‚Ä°¬ß√∏‚Ä°¬ß¬Æ‚Ä°‚Ä¢√ß‚Ä°¬ß¬∂‚Ä°‚Ä¢√Ñ</t>
  </si>
  <si>
    <t>Sayaji Shinde, Victor Banerjee, Kay Kay Menon, Abhishek Bachchan, Aishwarya Rai Bachchan, Sumeet Nijhawan, Govind Namdeo, Dilip Prabhavalkar, Shishir Sharma, Rajesh Shringarpure, Upendra Limaye, Ravi Kale, Amitabh Bachchan, Tanishaa Mukerji, Supriya Pathak</t>
  </si>
  <si>
    <t>Ram Gopal Varma</t>
  </si>
  <si>
    <t>Amit Roy</t>
  </si>
  <si>
    <t>Prashant Pandey</t>
  </si>
  <si>
    <t>Praveen Nischol, Ram Gopal Varma</t>
  </si>
  <si>
    <t>Bapi, Tutul</t>
  </si>
  <si>
    <t>/1ptl9Dq51jXpUNotg6CwHWZxoaK.jpg</t>
  </si>
  <si>
    <t>sarkar raj</t>
  </si>
  <si>
    <t>blank (7)</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</si>
  <si>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</si>
  <si>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</si>
  <si>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</si>
  <si>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</si>
  <si>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</si>
  <si>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</si>
  <si>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</si>
  <si>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English, Fran‚àö√üais</t>
  </si>
  <si>
    <t>Edward James Hyland, Mark Wahlberg, Victoria Clark, Frank Collison, Keith Bullard, Robert Bizik, Greg SmithAldridge, Kerry O'Malley, Jann Ellis, Robert Bailey Jr., Brian Anthony Wilson, Wes Heywood, Zooey Deschanel, Kirk Penberthy, M. Night Shyamalan, Lisa Furst, St‚àö¬©phane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</si>
  <si>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M. Night Shyamalan</t>
  </si>
  <si>
    <t>Tak Fujimoto</t>
  </si>
  <si>
    <t>John Rusk, Gary Barber, Ronnie Screwvala, Jose L. Rodriguez, Barry Mendel, Deven Khote, Roger Birnbaum, Sam Mercer, Zarina Screwvala, M. Night Shyamalan</t>
  </si>
  <si>
    <t>James Newton Howard</t>
  </si>
  <si>
    <t>/fP4nBrtmc0teSDDHzYmDE7TLQBT.jpg</t>
  </si>
  <si>
    <t>the happening</t>
  </si>
  <si>
    <t>new york city, new york (1), premiere (2), blank (52), french speaking region (1), german speaking region (1), tokyo (1), limited (1), blu-ray release (1), blu ray release (1)</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</si>
  <si>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</si>
  <si>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</si>
  <si>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</si>
  <si>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</si>
  <si>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</si>
  <si>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</si>
  <si>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Portugu‚àö‚Ñ¢s, Espa‚àö¬±ol,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</si>
  <si>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D‚àö¬©bora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Salv‚àö‚â†n,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Fran‚àö√üois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</si>
  <si>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</si>
  <si>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</si>
  <si>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</si>
  <si>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</si>
  <si>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</si>
  <si>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</si>
  <si>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the incredible hulk</t>
  </si>
  <si>
    <t>blank (64), universal city, california (1), premiere (1), french speaking region (1), german speaking region (1), dvd and blu-ray premiere (1), imax version (1), tv premiere (1), hbo max premiere (1), internet (1)</t>
  </si>
  <si>
    <t>Waltz with Bashir</t>
  </si>
  <si>
    <t>tt1185616</t>
  </si>
  <si>
    <t>he</t>
  </si>
  <si>
    <t>‚óä√Ø‚óä√™‚óä√∫‚óä¬∞ ‚óä¬¢‚óä√π ‚óä√´‚óä√™‚óä¬©‚óä√¥‚óä¬Æ</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</si>
  <si>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</si>
  <si>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</si>
  <si>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</si>
  <si>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</si>
  <si>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</si>
  <si>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‚óä¬¢√∑¬•‚óä√´√∑‚àû‚óä¬Æ√∑¬•‚óä√¥‚óä‚Ñ¢, √ø√ü≈∏√ë√øœÄ√ø¬±√ø¬Æ≈∏√§√ø¬©,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</si>
  <si>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</si>
  <si>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</si>
  <si>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</si>
  <si>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</si>
  <si>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</si>
  <si>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waltz with bashir</t>
  </si>
  <si>
    <t>cannes film festival (1), cinema south festival (1), blank (27), munich international film festival (1), karlovy vary international film festival (1), telluride film festival (1), toronto international film festival (1), atlantic film festival (1), rio de janeiro international film festival (1), new york film festival (1), morelia film festival (1), s√£o paulo international film festival (1), bfi london film festival (1), cph: dox (1), thessaloniki international film festival (1), anilogue (1), gij√≥n international film festival (1), tallinn black nights film festival (1), new york city, new york (1), docpoint film festival (1), g√∂teborg international film festival (1), cyprus film days (1), dvd premiere (4), downers grove, illinois (1), buenos aires international festival of independent cinema (1), anifest film festival (1), foro internacional de la cineteca (1), limited (2), animation nation (1), refugee film festival (1), cinemanila international film festival (1), glen ellyn, illinois (1), festival of solidarity for palestinian people (1), opening film (1), perspectives film festival (1), days of european film (1), athens film festival (1), israel film festival (1), subtitled version (1), event (1)</t>
  </si>
  <si>
    <t>Martyrs</t>
  </si>
  <si>
    <t>tt1029234</t>
  </si>
  <si>
    <t>A young woman‚Äö√Ñ√¥s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</si>
  <si>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</si>
  <si>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</si>
  <si>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</si>
  <si>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</si>
  <si>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Robert Toupin, Tony Robinow, Catherine B‚àö¬©gin, Patricia Tulasne, Isabelle Chasse, Patrick Dorval, Erika Scott, Michel Cormier, Louis Thevenon, Louise Boisvert, Anie Pascale, Morjana Alaoui, Juliette Gosselin, Jean-Marie Moncelet, Mathieu Samaille, Myl‚àö¬Æne Jampano‚àö√ò, Mike Chute, Jessie Pham, Emilie Miskdijan, Xavier Dolan, Jean-Fran‚àö√üois Boudreau, Ga‚àö¬¥lle Cohen</t>
  </si>
  <si>
    <t>Pascal Laugier</t>
  </si>
  <si>
    <t>St‚àö¬©phane Martin, Nathalie Moliavko-Visotzky, Bruno Philip</t>
  </si>
  <si>
    <t>Fr‚àö¬©d‚àö¬©ric Doniguian, Richard Grandpierre, Marcel Giroux</t>
  </si>
  <si>
    <t>Alex Cort‚àö¬©s, Willie Cort‚àö¬©s</t>
  </si>
  <si>
    <t>/40qDGpnpa3nGDe8w6tFfv8GXehl.jpg</t>
  </si>
  <si>
    <t>martyrs</t>
  </si>
  <si>
    <t>fantasy filmfest (1), frightfest (1), blank (11), toronto international film festival (1), helsinki international film festival (1), austin fantastic fest (1), weekend de la peur festival (1), rome film festival (1), sitges film festival (1), screamfest horror film festival (1), horrorthon festival dublin (1), french speaking region (2), stockholm international film festival (1), iik!! horror film festival (1), limited (1), festival otrleho divaka (1), afm international independent film festival (1), dvd premiere (15), festival du film fran√ßais au japon (1), imagine film festival (1), pifan international film festival (1), motelx - lisbon international horror film festival (1), festival de cine de terror de molins de rei (1), madrid - artistic metropol (2), subtitled version (3), event (2), blu-ray &amp; dvd (1), premiere (1), cine universitario (1), madrid - cineteca (1), technical event release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</si>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</sst>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F64112-871C-9644-9EED-F78431E5586B}" name="Table1" displayName="Table1" ref="A1:AQ45" totalsRowCount="1">
  <autoFilter ref="A1:AQ44" xr:uid="{5AF64112-871C-9644-9EED-F78431E5586B}"/>
  <tableColumns count="43">
    <tableColumn id="1" xr3:uid="{EFF70F22-046D-CD44-A2C1-62AAFD66B3EF}" name="id" totalsRowLabel="Total"/>
    <tableColumn id="2" xr3:uid="{0C357ED8-996E-9A4B-A018-67BCFF6B7540}" name="title"/>
    <tableColumn id="3" xr3:uid="{D4FCF569-BB30-2948-B0B7-4319EDD0464D}" name="vote_average"/>
    <tableColumn id="4" xr3:uid="{6A5065A0-F572-7F4E-96DE-90D41BCB9D1E}" name="vote_count"/>
    <tableColumn id="5" xr3:uid="{BC4E1C36-6C15-C644-8B99-05715B9640E0}" name="status"/>
    <tableColumn id="6" xr3:uid="{7F1F735C-D185-374B-B21A-3B90535EA4BD}" name="release_date" dataDxfId="0"/>
    <tableColumn id="7" xr3:uid="{84DC0D2B-899E-974A-882E-FC5D8BAFE4FD}" name="revenue"/>
    <tableColumn id="8" xr3:uid="{83AAFEB3-280F-714E-BECB-9FA3C03FF2FE}" name="runtime"/>
    <tableColumn id="9" xr3:uid="{7B2DFAFB-F3DA-3244-9208-CE9B4BE94017}" name="budget"/>
    <tableColumn id="10" xr3:uid="{910575AA-6A6C-8146-B1BB-61D62CBB242B}" name="imdb_id"/>
    <tableColumn id="11" xr3:uid="{0EE4BD14-273E-884B-BC23-870C795F87A0}" name="original_language"/>
    <tableColumn id="12" xr3:uid="{A5BDEC9D-26C4-FE49-BE71-406CFD9F8ED8}" name="original_title"/>
    <tableColumn id="13" xr3:uid="{FD567B80-A854-4047-AA82-39E4F6DD6E1F}" name="overview"/>
    <tableColumn id="14" xr3:uid="{A1F2B228-193A-E244-B048-485C3FF4F37C}" name="popularity"/>
    <tableColumn id="15" xr3:uid="{56E9BBF6-E96F-8C49-93BB-98D9B02EF6A2}" name="tagline"/>
    <tableColumn id="16" xr3:uid="{0144BDA6-7CB8-054D-AA4B-920DC31C2B1C}" name="genres"/>
    <tableColumn id="17" xr3:uid="{FB4F399D-5D7C-D643-ACF4-2B081D4B95F8}" name="production_companies"/>
    <tableColumn id="18" xr3:uid="{546A49E2-9CB8-CE40-B329-A34A7241C961}" name="production_countries"/>
    <tableColumn id="19" xr3:uid="{507FF46C-5543-FA4A-9749-302CD2377C3B}" name="spoken_languages"/>
    <tableColumn id="20" xr3:uid="{D0D4C2E5-BA72-E346-911B-89C6B040B9B3}" name="cast"/>
    <tableColumn id="21" xr3:uid="{A27E212A-EBA4-804C-8E4D-8B56D868B817}" name="director"/>
    <tableColumn id="22" xr3:uid="{7C9E1418-B07A-8E43-BEDB-94AA72502ABF}" name="director_of_photography"/>
    <tableColumn id="23" xr3:uid="{8147DA71-35F5-C14F-902B-B8BA9B02FABE}" name="writers"/>
    <tableColumn id="24" xr3:uid="{A40AA8A9-ECBC-EC4D-9225-42A94268AAEA}" name="producers"/>
    <tableColumn id="25" xr3:uid="{ED237A9C-2BB0-944C-94BB-B2762AEA4226}" name="music_composer"/>
    <tableColumn id="26" xr3:uid="{10F5FC56-0B52-D347-B902-61327748CADF}" name="imdb_rating"/>
    <tableColumn id="27" xr3:uid="{9DA0D564-3230-1445-AAE2-31A011B5A770}" name="imdb_votes"/>
    <tableColumn id="28" xr3:uid="{E93C923F-30FF-7644-B124-5E61ACB5D47A}" name="poster_path"/>
    <tableColumn id="29" xr3:uid="{E6D3F498-E01D-5945-9FEB-0C733ED67E43}" name="release_month"/>
    <tableColumn id="30" xr3:uid="{448068A7-4C32-454A-A064-57EFFA4D8A61}" name="release_year"/>
    <tableColumn id="31" xr3:uid="{7FA5C6BC-E6B8-4E42-B020-A8332C4B31B6}" name="iso_week"/>
    <tableColumn id="32" xr3:uid="{E22676D7-9096-0242-8C2B-D89A25720534}" name="title_clean"/>
    <tableColumn id="33" xr3:uid="{509A92EE-A974-194B-8CE1-0D1511A2F70C}" name="distance"/>
    <tableColumn id="34" xr3:uid="{258D87C7-1C07-EA4C-8445-55F91039DE64}" name="strength"/>
    <tableColumn id="35" xr3:uid="{1C1517CF-02B0-F949-BFD5-DECE6CFC09AC}" name="score" totalsRowFunction="sum"/>
    <tableColumn id="36" xr3:uid="{227A811F-9B36-8F43-BA50-660A4F084A1C}" name="marvel_movie"/>
    <tableColumn id="37" xr3:uid="{70415A03-F4AF-AF47-BB1C-A5E61452B215}" name="attributes"/>
    <tableColumn id="38" xr3:uid="{27F50033-1E22-D148-9B89-FAA8DA120D33}" name="blank"/>
    <tableColumn id="39" xr3:uid="{058A238E-D261-4746-92BA-4AF7DF48A645}" name="internet"/>
    <tableColumn id="40" xr3:uid="{270CA429-D1AE-DE4A-967F-F2368F9E5554}" name="total"/>
    <tableColumn id="41" xr3:uid="{27B97CE8-9111-154F-BAFF-F8887C51902A}" name="internet_ratio"/>
    <tableColumn id="42" xr3:uid="{A70997AD-2340-7B44-87AC-FDB494BA4560}" name="internet_dominance"/>
    <tableColumn id="43" xr3:uid="{1830349E-5B4B-0A44-B6BE-D0FECA799310}"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4F8F5-2093-EA48-A64C-D952F364B769}">
  <dimension ref="A1:AQ45"/>
  <sheetViews>
    <sheetView tabSelected="1" topLeftCell="Z16" workbookViewId="0">
      <selection activeCell="AI45" sqref="AI45"/>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10800</v>
      </c>
      <c r="B2" t="s">
        <v>43</v>
      </c>
      <c r="C2">
        <v>6.5</v>
      </c>
      <c r="D2">
        <v>462</v>
      </c>
      <c r="E2" t="s">
        <v>44</v>
      </c>
      <c r="F2" s="1">
        <v>39526</v>
      </c>
      <c r="G2">
        <v>12235843</v>
      </c>
      <c r="H2">
        <v>82</v>
      </c>
      <c r="I2">
        <v>12000000</v>
      </c>
      <c r="J2" t="s">
        <v>45</v>
      </c>
      <c r="K2" t="s">
        <v>46</v>
      </c>
      <c r="L2" t="s">
        <v>47</v>
      </c>
      <c r="M2" t="s">
        <v>48</v>
      </c>
      <c r="N2">
        <v>1.3896999999999999</v>
      </c>
      <c r="O2" t="s">
        <v>49</v>
      </c>
      <c r="P2" t="s">
        <v>50</v>
      </c>
      <c r="Q2" t="s">
        <v>51</v>
      </c>
      <c r="R2" t="s">
        <v>52</v>
      </c>
      <c r="S2" t="s">
        <v>53</v>
      </c>
      <c r="T2" t="s">
        <v>54</v>
      </c>
      <c r="U2" t="s">
        <v>55</v>
      </c>
      <c r="W2" t="s">
        <v>56</v>
      </c>
      <c r="X2" t="s">
        <v>57</v>
      </c>
      <c r="Y2" t="s">
        <v>58</v>
      </c>
      <c r="Z2">
        <v>6.5</v>
      </c>
      <c r="AA2">
        <v>13866</v>
      </c>
      <c r="AB2" t="s">
        <v>59</v>
      </c>
      <c r="AC2">
        <v>3</v>
      </c>
      <c r="AD2">
        <v>2008</v>
      </c>
      <c r="AE2">
        <v>12</v>
      </c>
      <c r="AF2" t="s">
        <v>60</v>
      </c>
      <c r="AG2">
        <v>-42</v>
      </c>
      <c r="AH2">
        <v>16.319880234907099</v>
      </c>
      <c r="AI2">
        <v>0.379532098486213</v>
      </c>
      <c r="AJ2" t="s">
        <v>61</v>
      </c>
      <c r="AK2" t="s">
        <v>62</v>
      </c>
      <c r="AL2">
        <v>24</v>
      </c>
      <c r="AM2">
        <v>0</v>
      </c>
      <c r="AN2">
        <v>32</v>
      </c>
      <c r="AO2">
        <v>0</v>
      </c>
      <c r="AP2" t="s">
        <v>63</v>
      </c>
      <c r="AQ2" t="s">
        <v>63</v>
      </c>
    </row>
    <row r="3" spans="1:43" x14ac:dyDescent="0.2">
      <c r="A3">
        <v>16710</v>
      </c>
      <c r="B3" t="s">
        <v>64</v>
      </c>
      <c r="C3">
        <v>6.6</v>
      </c>
      <c r="D3">
        <v>107</v>
      </c>
      <c r="E3" t="s">
        <v>44</v>
      </c>
      <c r="F3" s="1">
        <v>39528</v>
      </c>
      <c r="G3">
        <v>41975388</v>
      </c>
      <c r="H3">
        <v>101</v>
      </c>
      <c r="I3">
        <v>20000000</v>
      </c>
      <c r="J3" t="s">
        <v>65</v>
      </c>
      <c r="K3" t="s">
        <v>66</v>
      </c>
      <c r="L3" t="s">
        <v>64</v>
      </c>
      <c r="M3" t="s">
        <v>67</v>
      </c>
      <c r="N3">
        <v>5.0918999999999999</v>
      </c>
      <c r="O3" t="s">
        <v>68</v>
      </c>
      <c r="P3" t="s">
        <v>69</v>
      </c>
      <c r="Q3" t="s">
        <v>70</v>
      </c>
      <c r="R3" t="s">
        <v>71</v>
      </c>
      <c r="S3" t="s">
        <v>72</v>
      </c>
      <c r="T3" t="s">
        <v>73</v>
      </c>
      <c r="U3" t="s">
        <v>74</v>
      </c>
      <c r="V3" t="s">
        <v>75</v>
      </c>
      <c r="W3" t="s">
        <v>74</v>
      </c>
      <c r="X3" t="s">
        <v>76</v>
      </c>
      <c r="Y3" t="s">
        <v>77</v>
      </c>
      <c r="Z3">
        <v>4.5999999999999996</v>
      </c>
      <c r="AA3">
        <v>7553</v>
      </c>
      <c r="AB3" t="s">
        <v>78</v>
      </c>
      <c r="AC3">
        <v>3</v>
      </c>
      <c r="AD3">
        <v>2008</v>
      </c>
      <c r="AE3">
        <v>12</v>
      </c>
      <c r="AF3" t="s">
        <v>79</v>
      </c>
      <c r="AG3">
        <v>-40</v>
      </c>
      <c r="AH3">
        <v>17.552594028306</v>
      </c>
      <c r="AI3">
        <v>0.428112049470878</v>
      </c>
      <c r="AJ3" t="s">
        <v>61</v>
      </c>
      <c r="AK3" t="s">
        <v>80</v>
      </c>
      <c r="AL3">
        <v>1</v>
      </c>
      <c r="AM3">
        <v>0</v>
      </c>
      <c r="AN3">
        <v>1</v>
      </c>
      <c r="AO3">
        <v>0</v>
      </c>
      <c r="AP3" t="s">
        <v>63</v>
      </c>
      <c r="AQ3" t="s">
        <v>63</v>
      </c>
    </row>
    <row r="4" spans="1:43" x14ac:dyDescent="0.2">
      <c r="A4">
        <v>4942</v>
      </c>
      <c r="B4" t="s">
        <v>81</v>
      </c>
      <c r="C4">
        <v>5.9</v>
      </c>
      <c r="D4">
        <v>478</v>
      </c>
      <c r="E4" t="s">
        <v>44</v>
      </c>
      <c r="F4" s="1">
        <v>39531</v>
      </c>
      <c r="G4">
        <v>41299492</v>
      </c>
      <c r="H4">
        <v>114</v>
      </c>
      <c r="I4">
        <v>58000000</v>
      </c>
      <c r="J4" t="s">
        <v>82</v>
      </c>
      <c r="K4" t="s">
        <v>66</v>
      </c>
      <c r="L4" t="s">
        <v>81</v>
      </c>
      <c r="M4" t="s">
        <v>83</v>
      </c>
      <c r="N4">
        <v>2.2705000000000002</v>
      </c>
      <c r="O4" t="s">
        <v>84</v>
      </c>
      <c r="P4" t="s">
        <v>85</v>
      </c>
      <c r="Q4" t="s">
        <v>86</v>
      </c>
      <c r="R4" t="s">
        <v>87</v>
      </c>
      <c r="S4" t="s">
        <v>88</v>
      </c>
      <c r="T4" t="s">
        <v>89</v>
      </c>
      <c r="U4" t="s">
        <v>90</v>
      </c>
      <c r="V4" t="s">
        <v>91</v>
      </c>
      <c r="W4" t="s">
        <v>92</v>
      </c>
      <c r="X4" t="s">
        <v>93</v>
      </c>
      <c r="Y4" t="s">
        <v>94</v>
      </c>
      <c r="Z4">
        <v>6</v>
      </c>
      <c r="AA4">
        <v>34217</v>
      </c>
      <c r="AB4" t="s">
        <v>95</v>
      </c>
      <c r="AC4">
        <v>3</v>
      </c>
      <c r="AD4">
        <v>2008</v>
      </c>
      <c r="AE4">
        <v>13</v>
      </c>
      <c r="AF4" t="s">
        <v>96</v>
      </c>
      <c r="AG4">
        <v>-37</v>
      </c>
      <c r="AH4">
        <v>17.536360781826801</v>
      </c>
      <c r="AI4">
        <v>0.46148317846912701</v>
      </c>
      <c r="AJ4" t="s">
        <v>61</v>
      </c>
      <c r="AK4" t="s">
        <v>97</v>
      </c>
      <c r="AL4">
        <v>21</v>
      </c>
      <c r="AM4">
        <v>1</v>
      </c>
      <c r="AN4">
        <v>30</v>
      </c>
      <c r="AO4">
        <v>0.03</v>
      </c>
      <c r="AP4" t="s">
        <v>63</v>
      </c>
      <c r="AQ4" t="s">
        <v>63</v>
      </c>
    </row>
    <row r="5" spans="1:43" x14ac:dyDescent="0.2">
      <c r="A5">
        <v>16460</v>
      </c>
      <c r="B5" t="s">
        <v>98</v>
      </c>
      <c r="C5">
        <v>4.9000000000000004</v>
      </c>
      <c r="D5">
        <v>138</v>
      </c>
      <c r="E5" t="s">
        <v>44</v>
      </c>
      <c r="F5" s="1">
        <v>39531</v>
      </c>
      <c r="G5">
        <v>1726453</v>
      </c>
      <c r="H5">
        <v>77</v>
      </c>
      <c r="I5">
        <v>10000000</v>
      </c>
      <c r="J5" t="s">
        <v>99</v>
      </c>
      <c r="K5" t="s">
        <v>66</v>
      </c>
      <c r="L5" t="s">
        <v>98</v>
      </c>
      <c r="M5" t="s">
        <v>100</v>
      </c>
      <c r="N5">
        <v>2.2496</v>
      </c>
      <c r="O5" t="s">
        <v>101</v>
      </c>
      <c r="P5" t="s">
        <v>102</v>
      </c>
      <c r="Q5" t="s">
        <v>103</v>
      </c>
      <c r="R5" t="s">
        <v>104</v>
      </c>
      <c r="S5" t="s">
        <v>72</v>
      </c>
      <c r="T5" t="s">
        <v>105</v>
      </c>
      <c r="U5" t="s">
        <v>106</v>
      </c>
      <c r="W5" t="s">
        <v>107</v>
      </c>
      <c r="X5" t="s">
        <v>108</v>
      </c>
      <c r="Y5" t="s">
        <v>109</v>
      </c>
      <c r="Z5">
        <v>4.3</v>
      </c>
      <c r="AA5">
        <v>2945</v>
      </c>
      <c r="AB5" t="s">
        <v>110</v>
      </c>
      <c r="AC5">
        <v>3</v>
      </c>
      <c r="AD5">
        <v>2008</v>
      </c>
      <c r="AE5">
        <v>13</v>
      </c>
      <c r="AF5" t="s">
        <v>111</v>
      </c>
      <c r="AG5">
        <v>-37</v>
      </c>
      <c r="AH5">
        <v>14.361580151958799</v>
      </c>
      <c r="AI5">
        <v>0.37793631978838998</v>
      </c>
      <c r="AJ5" t="s">
        <v>61</v>
      </c>
      <c r="AK5" t="s">
        <v>112</v>
      </c>
      <c r="AL5">
        <v>9</v>
      </c>
      <c r="AM5">
        <v>0</v>
      </c>
      <c r="AN5">
        <v>14</v>
      </c>
      <c r="AO5">
        <v>0</v>
      </c>
      <c r="AP5" t="s">
        <v>63</v>
      </c>
      <c r="AQ5" t="s">
        <v>63</v>
      </c>
    </row>
    <row r="6" spans="1:43" x14ac:dyDescent="0.2">
      <c r="A6">
        <v>8883</v>
      </c>
      <c r="B6" t="s">
        <v>113</v>
      </c>
      <c r="C6">
        <v>6.9</v>
      </c>
      <c r="D6">
        <v>234</v>
      </c>
      <c r="E6" t="s">
        <v>44</v>
      </c>
      <c r="F6" s="1">
        <v>39532</v>
      </c>
      <c r="G6">
        <v>10040589</v>
      </c>
      <c r="H6">
        <v>130</v>
      </c>
      <c r="I6">
        <v>6500000</v>
      </c>
      <c r="J6" t="s">
        <v>114</v>
      </c>
      <c r="K6" t="s">
        <v>115</v>
      </c>
      <c r="L6" t="s">
        <v>116</v>
      </c>
      <c r="M6" t="s">
        <v>117</v>
      </c>
      <c r="N6">
        <v>2.5960000000000001</v>
      </c>
      <c r="O6" t="s">
        <v>118</v>
      </c>
      <c r="P6" t="s">
        <v>119</v>
      </c>
      <c r="Q6" t="s">
        <v>120</v>
      </c>
      <c r="R6" t="s">
        <v>121</v>
      </c>
      <c r="S6" t="s">
        <v>122</v>
      </c>
      <c r="T6" t="s">
        <v>123</v>
      </c>
      <c r="U6" t="s">
        <v>124</v>
      </c>
      <c r="V6" t="s">
        <v>125</v>
      </c>
      <c r="W6" t="s">
        <v>126</v>
      </c>
      <c r="X6" t="s">
        <v>127</v>
      </c>
      <c r="Y6" t="s">
        <v>128</v>
      </c>
      <c r="Z6">
        <v>7.2</v>
      </c>
      <c r="AA6">
        <v>20700</v>
      </c>
      <c r="AB6" t="s">
        <v>129</v>
      </c>
      <c r="AC6">
        <v>3</v>
      </c>
      <c r="AD6">
        <v>2008</v>
      </c>
      <c r="AE6">
        <v>13</v>
      </c>
      <c r="AF6" t="s">
        <v>130</v>
      </c>
      <c r="AG6">
        <v>-36</v>
      </c>
      <c r="AH6">
        <v>16.122146435441501</v>
      </c>
      <c r="AI6">
        <v>0.43573368744436403</v>
      </c>
      <c r="AJ6" t="s">
        <v>61</v>
      </c>
      <c r="AK6" t="s">
        <v>131</v>
      </c>
      <c r="AL6">
        <v>12</v>
      </c>
      <c r="AM6">
        <v>0</v>
      </c>
      <c r="AN6">
        <v>35</v>
      </c>
      <c r="AO6">
        <v>0</v>
      </c>
      <c r="AP6" t="s">
        <v>63</v>
      </c>
      <c r="AQ6" t="s">
        <v>63</v>
      </c>
    </row>
    <row r="7" spans="1:43" x14ac:dyDescent="0.2">
      <c r="A7">
        <v>10183</v>
      </c>
      <c r="B7" t="s">
        <v>132</v>
      </c>
      <c r="C7">
        <v>6.6</v>
      </c>
      <c r="D7">
        <v>339</v>
      </c>
      <c r="E7" t="s">
        <v>44</v>
      </c>
      <c r="F7" s="1">
        <v>39533</v>
      </c>
      <c r="G7">
        <v>5457664</v>
      </c>
      <c r="H7">
        <v>97</v>
      </c>
      <c r="I7">
        <v>1000000</v>
      </c>
      <c r="J7" t="s">
        <v>133</v>
      </c>
      <c r="K7" t="s">
        <v>66</v>
      </c>
      <c r="L7" t="s">
        <v>132</v>
      </c>
      <c r="M7" t="s">
        <v>134</v>
      </c>
      <c r="N7">
        <v>3.4344999999999999</v>
      </c>
      <c r="O7" t="s">
        <v>135</v>
      </c>
      <c r="P7" t="s">
        <v>136</v>
      </c>
      <c r="Q7" t="s">
        <v>137</v>
      </c>
      <c r="R7" t="s">
        <v>71</v>
      </c>
      <c r="S7" t="s">
        <v>138</v>
      </c>
      <c r="T7" t="s">
        <v>139</v>
      </c>
      <c r="U7" t="s">
        <v>140</v>
      </c>
      <c r="V7" t="s">
        <v>141</v>
      </c>
      <c r="W7" t="s">
        <v>140</v>
      </c>
      <c r="X7" t="s">
        <v>142</v>
      </c>
      <c r="Y7" t="s">
        <v>143</v>
      </c>
      <c r="Z7">
        <v>7.1</v>
      </c>
      <c r="AA7">
        <v>27025</v>
      </c>
      <c r="AB7" t="s">
        <v>144</v>
      </c>
      <c r="AC7">
        <v>3</v>
      </c>
      <c r="AD7">
        <v>2008</v>
      </c>
      <c r="AE7">
        <v>13</v>
      </c>
      <c r="AF7" t="s">
        <v>145</v>
      </c>
      <c r="AG7">
        <v>-35</v>
      </c>
      <c r="AH7">
        <v>15.512531600572601</v>
      </c>
      <c r="AI7">
        <v>0.43090365557146199</v>
      </c>
      <c r="AJ7" t="s">
        <v>61</v>
      </c>
      <c r="AK7" t="s">
        <v>146</v>
      </c>
      <c r="AL7">
        <v>20</v>
      </c>
      <c r="AM7">
        <v>0</v>
      </c>
      <c r="AN7">
        <v>49</v>
      </c>
      <c r="AO7">
        <v>0</v>
      </c>
      <c r="AP7" t="s">
        <v>63</v>
      </c>
      <c r="AQ7" t="s">
        <v>63</v>
      </c>
    </row>
    <row r="8" spans="1:43" x14ac:dyDescent="0.2">
      <c r="A8">
        <v>8065</v>
      </c>
      <c r="B8">
        <v>21</v>
      </c>
      <c r="C8">
        <v>6.694</v>
      </c>
      <c r="D8">
        <v>4875</v>
      </c>
      <c r="E8" t="s">
        <v>44</v>
      </c>
      <c r="F8" s="1">
        <v>39534</v>
      </c>
      <c r="G8">
        <v>159808370</v>
      </c>
      <c r="H8">
        <v>123</v>
      </c>
      <c r="I8">
        <v>35000000</v>
      </c>
      <c r="J8" t="s">
        <v>147</v>
      </c>
      <c r="K8" t="s">
        <v>66</v>
      </c>
      <c r="L8">
        <v>21</v>
      </c>
      <c r="M8" t="s">
        <v>148</v>
      </c>
      <c r="N8">
        <v>8.4745000000000008</v>
      </c>
      <c r="O8" t="s">
        <v>149</v>
      </c>
      <c r="P8" t="s">
        <v>136</v>
      </c>
      <c r="Q8" t="s">
        <v>150</v>
      </c>
      <c r="R8" t="s">
        <v>151</v>
      </c>
      <c r="S8" t="s">
        <v>72</v>
      </c>
      <c r="T8" t="s">
        <v>152</v>
      </c>
      <c r="U8" t="s">
        <v>153</v>
      </c>
      <c r="V8" t="s">
        <v>154</v>
      </c>
      <c r="W8" t="s">
        <v>155</v>
      </c>
      <c r="X8" t="s">
        <v>156</v>
      </c>
      <c r="Y8" t="s">
        <v>157</v>
      </c>
      <c r="Z8">
        <v>6.8</v>
      </c>
      <c r="AA8">
        <v>277635</v>
      </c>
      <c r="AB8" t="s">
        <v>158</v>
      </c>
      <c r="AC8">
        <v>3</v>
      </c>
      <c r="AD8">
        <v>2008</v>
      </c>
      <c r="AE8">
        <v>13</v>
      </c>
      <c r="AF8">
        <v>21</v>
      </c>
      <c r="AG8">
        <v>-34</v>
      </c>
      <c r="AH8">
        <v>18.889485974154699</v>
      </c>
      <c r="AI8">
        <v>0.53969959926156297</v>
      </c>
      <c r="AJ8" t="s">
        <v>61</v>
      </c>
      <c r="AK8" t="s">
        <v>159</v>
      </c>
      <c r="AL8">
        <v>73</v>
      </c>
      <c r="AM8">
        <v>0</v>
      </c>
      <c r="AN8">
        <v>79</v>
      </c>
      <c r="AO8">
        <v>0</v>
      </c>
      <c r="AP8" t="s">
        <v>63</v>
      </c>
      <c r="AQ8" t="s">
        <v>63</v>
      </c>
    </row>
    <row r="9" spans="1:43" x14ac:dyDescent="0.2">
      <c r="A9">
        <v>8060</v>
      </c>
      <c r="B9" t="s">
        <v>160</v>
      </c>
      <c r="C9">
        <v>5.8</v>
      </c>
      <c r="D9">
        <v>166</v>
      </c>
      <c r="E9" t="s">
        <v>44</v>
      </c>
      <c r="F9" s="1">
        <v>39535</v>
      </c>
      <c r="G9">
        <v>2888315</v>
      </c>
      <c r="H9">
        <v>90</v>
      </c>
      <c r="I9">
        <v>12000000</v>
      </c>
      <c r="J9" t="s">
        <v>161</v>
      </c>
      <c r="K9" t="s">
        <v>66</v>
      </c>
      <c r="L9" t="s">
        <v>160</v>
      </c>
      <c r="M9" t="s">
        <v>162</v>
      </c>
      <c r="N9">
        <v>4.5332999999999997</v>
      </c>
      <c r="O9" t="s">
        <v>163</v>
      </c>
      <c r="P9" t="s">
        <v>164</v>
      </c>
      <c r="Q9" t="s">
        <v>165</v>
      </c>
      <c r="R9" t="s">
        <v>71</v>
      </c>
      <c r="S9" t="s">
        <v>72</v>
      </c>
      <c r="T9" t="s">
        <v>166</v>
      </c>
      <c r="U9" t="s">
        <v>167</v>
      </c>
      <c r="V9" t="s">
        <v>168</v>
      </c>
      <c r="W9" t="s">
        <v>169</v>
      </c>
      <c r="X9" t="s">
        <v>170</v>
      </c>
      <c r="Y9" t="s">
        <v>171</v>
      </c>
      <c r="Z9">
        <v>6.2</v>
      </c>
      <c r="AA9">
        <v>10020</v>
      </c>
      <c r="AB9" t="s">
        <v>172</v>
      </c>
      <c r="AC9">
        <v>3</v>
      </c>
      <c r="AD9">
        <v>2008</v>
      </c>
      <c r="AE9">
        <v>13</v>
      </c>
      <c r="AF9" t="s">
        <v>173</v>
      </c>
      <c r="AG9">
        <v>-33</v>
      </c>
      <c r="AH9">
        <v>14.8761841912916</v>
      </c>
      <c r="AI9">
        <v>0.43753482915563702</v>
      </c>
      <c r="AJ9" t="s">
        <v>61</v>
      </c>
      <c r="AK9" t="s">
        <v>174</v>
      </c>
      <c r="AL9">
        <v>22</v>
      </c>
      <c r="AM9">
        <v>0</v>
      </c>
      <c r="AN9">
        <v>43</v>
      </c>
      <c r="AO9">
        <v>0</v>
      </c>
      <c r="AP9" t="s">
        <v>63</v>
      </c>
      <c r="AQ9" t="s">
        <v>63</v>
      </c>
    </row>
    <row r="10" spans="1:43" x14ac:dyDescent="0.2">
      <c r="A10">
        <v>8988</v>
      </c>
      <c r="B10" t="s">
        <v>175</v>
      </c>
      <c r="C10">
        <v>6.1319999999999997</v>
      </c>
      <c r="D10">
        <v>261</v>
      </c>
      <c r="E10" t="s">
        <v>44</v>
      </c>
      <c r="F10" s="1">
        <v>39535</v>
      </c>
      <c r="G10">
        <v>11207130</v>
      </c>
      <c r="H10">
        <v>113</v>
      </c>
      <c r="I10">
        <v>25000000</v>
      </c>
      <c r="J10" t="s">
        <v>176</v>
      </c>
      <c r="K10" t="s">
        <v>66</v>
      </c>
      <c r="L10" t="s">
        <v>175</v>
      </c>
      <c r="M10" t="s">
        <v>177</v>
      </c>
      <c r="N10">
        <v>2.6979000000000002</v>
      </c>
      <c r="O10" t="s">
        <v>178</v>
      </c>
      <c r="P10" t="s">
        <v>179</v>
      </c>
      <c r="Q10" t="s">
        <v>180</v>
      </c>
      <c r="R10" t="s">
        <v>71</v>
      </c>
      <c r="S10" t="s">
        <v>72</v>
      </c>
      <c r="T10" t="s">
        <v>181</v>
      </c>
      <c r="U10" t="s">
        <v>182</v>
      </c>
      <c r="V10" t="s">
        <v>183</v>
      </c>
      <c r="W10" t="s">
        <v>184</v>
      </c>
      <c r="X10" t="s">
        <v>185</v>
      </c>
      <c r="Y10" t="s">
        <v>186</v>
      </c>
      <c r="Z10">
        <v>6.4</v>
      </c>
      <c r="AA10">
        <v>21358</v>
      </c>
      <c r="AB10" t="s">
        <v>187</v>
      </c>
      <c r="AC10">
        <v>3</v>
      </c>
      <c r="AD10">
        <v>2008</v>
      </c>
      <c r="AE10">
        <v>13</v>
      </c>
      <c r="AF10" t="s">
        <v>188</v>
      </c>
      <c r="AG10">
        <v>-33</v>
      </c>
      <c r="AH10">
        <v>16.232060830088699</v>
      </c>
      <c r="AI10">
        <v>0.47741355382613798</v>
      </c>
      <c r="AJ10" t="s">
        <v>61</v>
      </c>
      <c r="AK10" t="s">
        <v>189</v>
      </c>
      <c r="AL10">
        <v>10</v>
      </c>
      <c r="AM10">
        <v>0</v>
      </c>
      <c r="AN10">
        <v>25</v>
      </c>
      <c r="AO10">
        <v>0</v>
      </c>
      <c r="AP10" t="s">
        <v>63</v>
      </c>
      <c r="AQ10" t="s">
        <v>63</v>
      </c>
    </row>
    <row r="11" spans="1:43" x14ac:dyDescent="0.2">
      <c r="A11">
        <v>11918</v>
      </c>
      <c r="B11" t="s">
        <v>190</v>
      </c>
      <c r="C11">
        <v>5.2770000000000001</v>
      </c>
      <c r="D11">
        <v>1932</v>
      </c>
      <c r="E11" t="s">
        <v>44</v>
      </c>
      <c r="F11" s="1">
        <v>39535</v>
      </c>
      <c r="G11">
        <v>71571300</v>
      </c>
      <c r="H11">
        <v>82</v>
      </c>
      <c r="I11">
        <v>35000000</v>
      </c>
      <c r="J11" t="s">
        <v>191</v>
      </c>
      <c r="K11" t="s">
        <v>66</v>
      </c>
      <c r="L11" t="s">
        <v>190</v>
      </c>
      <c r="M11" t="s">
        <v>192</v>
      </c>
      <c r="N11">
        <v>4.1275000000000004</v>
      </c>
      <c r="O11" t="s">
        <v>193</v>
      </c>
      <c r="P11" t="s">
        <v>194</v>
      </c>
      <c r="Q11" t="s">
        <v>195</v>
      </c>
      <c r="R11" t="s">
        <v>71</v>
      </c>
      <c r="S11" t="s">
        <v>72</v>
      </c>
      <c r="T11" t="s">
        <v>196</v>
      </c>
      <c r="U11" t="s">
        <v>197</v>
      </c>
      <c r="V11" t="s">
        <v>198</v>
      </c>
      <c r="W11" t="s">
        <v>197</v>
      </c>
      <c r="X11" t="s">
        <v>199</v>
      </c>
      <c r="Y11" t="s">
        <v>200</v>
      </c>
      <c r="Z11">
        <v>4.7</v>
      </c>
      <c r="AA11">
        <v>82240</v>
      </c>
      <c r="AB11" t="s">
        <v>201</v>
      </c>
      <c r="AC11">
        <v>3</v>
      </c>
      <c r="AD11">
        <v>2008</v>
      </c>
      <c r="AE11">
        <v>13</v>
      </c>
      <c r="AF11" t="s">
        <v>202</v>
      </c>
      <c r="AG11">
        <v>-33</v>
      </c>
      <c r="AH11">
        <v>18.086204727557099</v>
      </c>
      <c r="AI11">
        <v>0.53194719786932598</v>
      </c>
      <c r="AJ11" t="s">
        <v>61</v>
      </c>
      <c r="AK11" t="s">
        <v>203</v>
      </c>
      <c r="AL11">
        <v>36</v>
      </c>
      <c r="AM11">
        <v>2</v>
      </c>
      <c r="AN11">
        <v>48</v>
      </c>
      <c r="AO11">
        <v>0.04</v>
      </c>
      <c r="AP11" t="s">
        <v>63</v>
      </c>
      <c r="AQ11" t="s">
        <v>63</v>
      </c>
    </row>
    <row r="12" spans="1:43" x14ac:dyDescent="0.2">
      <c r="A12">
        <v>8349</v>
      </c>
      <c r="B12" t="s">
        <v>204</v>
      </c>
      <c r="C12">
        <v>6.6</v>
      </c>
      <c r="D12">
        <v>270</v>
      </c>
      <c r="E12" t="s">
        <v>44</v>
      </c>
      <c r="F12" s="1">
        <v>39536</v>
      </c>
      <c r="G12">
        <v>2783332</v>
      </c>
      <c r="H12">
        <v>106</v>
      </c>
      <c r="I12">
        <v>18000000</v>
      </c>
      <c r="J12" t="s">
        <v>205</v>
      </c>
      <c r="K12" t="s">
        <v>206</v>
      </c>
      <c r="L12" t="s">
        <v>207</v>
      </c>
      <c r="M12" t="s">
        <v>208</v>
      </c>
      <c r="N12">
        <v>2.6516000000000002</v>
      </c>
      <c r="O12" t="s">
        <v>209</v>
      </c>
      <c r="P12" t="s">
        <v>210</v>
      </c>
      <c r="Q12" t="s">
        <v>211</v>
      </c>
      <c r="R12" t="s">
        <v>212</v>
      </c>
      <c r="S12" t="s">
        <v>213</v>
      </c>
      <c r="T12" t="s">
        <v>214</v>
      </c>
      <c r="U12" t="s">
        <v>215</v>
      </c>
      <c r="V12" t="s">
        <v>216</v>
      </c>
      <c r="W12" t="s">
        <v>215</v>
      </c>
      <c r="X12" t="s">
        <v>217</v>
      </c>
      <c r="Y12" t="s">
        <v>218</v>
      </c>
      <c r="Z12">
        <v>6.3</v>
      </c>
      <c r="AA12">
        <v>13567</v>
      </c>
      <c r="AB12" t="s">
        <v>219</v>
      </c>
      <c r="AC12">
        <v>3</v>
      </c>
      <c r="AD12">
        <v>2008</v>
      </c>
      <c r="AE12">
        <v>13</v>
      </c>
      <c r="AF12" t="s">
        <v>220</v>
      </c>
      <c r="AG12">
        <v>-32</v>
      </c>
      <c r="AH12">
        <v>14.8391596883984</v>
      </c>
      <c r="AI12">
        <v>0.44967150570904302</v>
      </c>
      <c r="AJ12" t="s">
        <v>61</v>
      </c>
      <c r="AK12" t="s">
        <v>221</v>
      </c>
      <c r="AL12">
        <v>7</v>
      </c>
      <c r="AM12">
        <v>1</v>
      </c>
      <c r="AN12">
        <v>24</v>
      </c>
      <c r="AO12">
        <v>0.04</v>
      </c>
      <c r="AP12" t="s">
        <v>63</v>
      </c>
      <c r="AQ12" t="s">
        <v>63</v>
      </c>
    </row>
    <row r="13" spans="1:43" x14ac:dyDescent="0.2">
      <c r="A13">
        <v>11152</v>
      </c>
      <c r="B13" t="s">
        <v>222</v>
      </c>
      <c r="C13">
        <v>5.9</v>
      </c>
      <c r="D13">
        <v>1379</v>
      </c>
      <c r="E13" t="s">
        <v>44</v>
      </c>
      <c r="F13" s="1">
        <v>39540</v>
      </c>
      <c r="G13">
        <v>22818256</v>
      </c>
      <c r="H13">
        <v>91</v>
      </c>
      <c r="I13">
        <v>8000000</v>
      </c>
      <c r="J13" t="s">
        <v>223</v>
      </c>
      <c r="K13" t="s">
        <v>66</v>
      </c>
      <c r="L13" t="s">
        <v>222</v>
      </c>
      <c r="M13" t="s">
        <v>224</v>
      </c>
      <c r="N13">
        <v>2.3828999999999998</v>
      </c>
      <c r="O13" t="s">
        <v>225</v>
      </c>
      <c r="P13" t="s">
        <v>226</v>
      </c>
      <c r="Q13" t="s">
        <v>227</v>
      </c>
      <c r="R13" t="s">
        <v>87</v>
      </c>
      <c r="S13" t="s">
        <v>228</v>
      </c>
      <c r="T13" t="s">
        <v>229</v>
      </c>
      <c r="U13" t="s">
        <v>230</v>
      </c>
      <c r="V13" t="s">
        <v>231</v>
      </c>
      <c r="W13" t="s">
        <v>232</v>
      </c>
      <c r="X13" t="s">
        <v>233</v>
      </c>
      <c r="Y13" t="s">
        <v>234</v>
      </c>
      <c r="Z13">
        <v>5.9</v>
      </c>
      <c r="AA13">
        <v>89841</v>
      </c>
      <c r="AB13" t="s">
        <v>235</v>
      </c>
      <c r="AC13">
        <v>4</v>
      </c>
      <c r="AD13">
        <v>2008</v>
      </c>
      <c r="AE13">
        <v>14</v>
      </c>
      <c r="AF13" t="s">
        <v>236</v>
      </c>
      <c r="AG13">
        <v>-28</v>
      </c>
      <c r="AH13">
        <v>16.943071519112902</v>
      </c>
      <c r="AI13">
        <v>0.58424384548665398</v>
      </c>
      <c r="AJ13" t="s">
        <v>61</v>
      </c>
      <c r="AK13" t="s">
        <v>237</v>
      </c>
      <c r="AL13">
        <v>27</v>
      </c>
      <c r="AM13">
        <v>7</v>
      </c>
      <c r="AN13">
        <v>44</v>
      </c>
      <c r="AO13">
        <v>0.16</v>
      </c>
      <c r="AP13" t="s">
        <v>63</v>
      </c>
      <c r="AQ13" t="s">
        <v>63</v>
      </c>
    </row>
    <row r="14" spans="1:43" x14ac:dyDescent="0.2">
      <c r="A14">
        <v>10488</v>
      </c>
      <c r="B14" t="s">
        <v>238</v>
      </c>
      <c r="C14">
        <v>5.9</v>
      </c>
      <c r="D14">
        <v>1155</v>
      </c>
      <c r="E14" t="s">
        <v>44</v>
      </c>
      <c r="F14" s="1">
        <v>39541</v>
      </c>
      <c r="G14">
        <v>100104565</v>
      </c>
      <c r="H14">
        <v>96</v>
      </c>
      <c r="I14">
        <v>37000000</v>
      </c>
      <c r="J14" t="s">
        <v>239</v>
      </c>
      <c r="K14" t="s">
        <v>66</v>
      </c>
      <c r="L14" t="s">
        <v>238</v>
      </c>
      <c r="M14" t="s">
        <v>240</v>
      </c>
      <c r="N14">
        <v>2.2711000000000001</v>
      </c>
      <c r="O14" t="s">
        <v>241</v>
      </c>
      <c r="P14" t="s">
        <v>242</v>
      </c>
      <c r="Q14" t="s">
        <v>243</v>
      </c>
      <c r="R14" t="s">
        <v>71</v>
      </c>
      <c r="S14" t="s">
        <v>72</v>
      </c>
      <c r="T14" t="s">
        <v>244</v>
      </c>
      <c r="U14" t="s">
        <v>245</v>
      </c>
      <c r="V14" t="s">
        <v>246</v>
      </c>
      <c r="W14" t="s">
        <v>247</v>
      </c>
      <c r="X14" t="s">
        <v>248</v>
      </c>
      <c r="Y14" t="s">
        <v>249</v>
      </c>
      <c r="Z14">
        <v>6</v>
      </c>
      <c r="AA14">
        <v>37975</v>
      </c>
      <c r="AB14" t="s">
        <v>250</v>
      </c>
      <c r="AC14">
        <v>4</v>
      </c>
      <c r="AD14">
        <v>2008</v>
      </c>
      <c r="AE14">
        <v>14</v>
      </c>
      <c r="AF14" t="s">
        <v>251</v>
      </c>
      <c r="AG14">
        <v>-27</v>
      </c>
      <c r="AH14">
        <v>18.421725857630701</v>
      </c>
      <c r="AI14">
        <v>0.65791878062966902</v>
      </c>
      <c r="AJ14" t="s">
        <v>61</v>
      </c>
      <c r="AK14" t="s">
        <v>252</v>
      </c>
      <c r="AL14">
        <v>47</v>
      </c>
      <c r="AM14">
        <v>1</v>
      </c>
      <c r="AN14">
        <v>54</v>
      </c>
      <c r="AO14">
        <v>0.02</v>
      </c>
      <c r="AP14" t="s">
        <v>63</v>
      </c>
      <c r="AQ14" t="s">
        <v>63</v>
      </c>
    </row>
    <row r="15" spans="1:43" x14ac:dyDescent="0.2">
      <c r="A15">
        <v>13405</v>
      </c>
      <c r="B15" t="s">
        <v>253</v>
      </c>
      <c r="C15">
        <v>6.7</v>
      </c>
      <c r="D15">
        <v>160</v>
      </c>
      <c r="E15" t="s">
        <v>44</v>
      </c>
      <c r="F15" s="1">
        <v>39541</v>
      </c>
      <c r="G15">
        <v>7785317</v>
      </c>
      <c r="H15">
        <v>125</v>
      </c>
      <c r="I15">
        <v>40000000</v>
      </c>
      <c r="J15" t="s">
        <v>254</v>
      </c>
      <c r="K15" t="s">
        <v>255</v>
      </c>
      <c r="L15" t="s">
        <v>256</v>
      </c>
      <c r="M15" t="s">
        <v>257</v>
      </c>
      <c r="N15">
        <v>3.2736999999999998</v>
      </c>
      <c r="O15" t="s">
        <v>258</v>
      </c>
      <c r="P15" t="s">
        <v>179</v>
      </c>
      <c r="Q15" t="s">
        <v>259</v>
      </c>
      <c r="R15" t="s">
        <v>260</v>
      </c>
      <c r="S15" t="s">
        <v>261</v>
      </c>
      <c r="T15" t="s">
        <v>262</v>
      </c>
      <c r="U15" t="s">
        <v>263</v>
      </c>
      <c r="V15" t="s">
        <v>264</v>
      </c>
      <c r="W15" t="s">
        <v>265</v>
      </c>
      <c r="X15" t="s">
        <v>266</v>
      </c>
      <c r="Y15" t="s">
        <v>267</v>
      </c>
      <c r="Z15">
        <v>7</v>
      </c>
      <c r="AA15">
        <v>10167</v>
      </c>
      <c r="AB15" t="s">
        <v>268</v>
      </c>
      <c r="AC15">
        <v>4</v>
      </c>
      <c r="AD15">
        <v>2008</v>
      </c>
      <c r="AE15">
        <v>14</v>
      </c>
      <c r="AF15" t="s">
        <v>269</v>
      </c>
      <c r="AG15">
        <v>-27</v>
      </c>
      <c r="AH15">
        <v>15.8677502102001</v>
      </c>
      <c r="AI15">
        <v>0.56670536465000598</v>
      </c>
      <c r="AJ15" t="s">
        <v>61</v>
      </c>
      <c r="AK15" t="s">
        <v>270</v>
      </c>
      <c r="AL15">
        <v>18</v>
      </c>
      <c r="AM15">
        <v>0</v>
      </c>
      <c r="AN15">
        <v>26</v>
      </c>
      <c r="AO15">
        <v>0</v>
      </c>
      <c r="AP15" t="s">
        <v>63</v>
      </c>
      <c r="AQ15" t="s">
        <v>63</v>
      </c>
    </row>
    <row r="16" spans="1:43" x14ac:dyDescent="0.2">
      <c r="A16">
        <v>1266</v>
      </c>
      <c r="B16" t="s">
        <v>271</v>
      </c>
      <c r="C16">
        <v>6.6</v>
      </c>
      <c r="D16">
        <v>1594</v>
      </c>
      <c r="E16" t="s">
        <v>44</v>
      </c>
      <c r="F16" s="1">
        <v>39548</v>
      </c>
      <c r="G16">
        <v>66476363</v>
      </c>
      <c r="H16">
        <v>109</v>
      </c>
      <c r="I16">
        <v>20000000</v>
      </c>
      <c r="J16" t="s">
        <v>272</v>
      </c>
      <c r="K16" t="s">
        <v>66</v>
      </c>
      <c r="L16" t="s">
        <v>271</v>
      </c>
      <c r="M16" t="s">
        <v>273</v>
      </c>
      <c r="N16">
        <v>5.0476999999999999</v>
      </c>
      <c r="O16" t="s">
        <v>274</v>
      </c>
      <c r="P16" t="s">
        <v>275</v>
      </c>
      <c r="Q16" t="s">
        <v>276</v>
      </c>
      <c r="R16" t="s">
        <v>71</v>
      </c>
      <c r="S16" t="s">
        <v>277</v>
      </c>
      <c r="T16" t="s">
        <v>278</v>
      </c>
      <c r="U16" t="s">
        <v>279</v>
      </c>
      <c r="V16" t="s">
        <v>280</v>
      </c>
      <c r="W16" t="s">
        <v>281</v>
      </c>
      <c r="X16" t="s">
        <v>282</v>
      </c>
      <c r="Y16" t="s">
        <v>234</v>
      </c>
      <c r="Z16">
        <v>6.8</v>
      </c>
      <c r="AA16">
        <v>125535</v>
      </c>
      <c r="AB16" t="s">
        <v>283</v>
      </c>
      <c r="AC16">
        <v>4</v>
      </c>
      <c r="AD16">
        <v>2008</v>
      </c>
      <c r="AE16">
        <v>15</v>
      </c>
      <c r="AF16" t="s">
        <v>284</v>
      </c>
      <c r="AG16">
        <v>-20</v>
      </c>
      <c r="AH16">
        <v>18.012357013874901</v>
      </c>
      <c r="AI16">
        <v>0.85773128637499696</v>
      </c>
      <c r="AJ16" t="s">
        <v>61</v>
      </c>
      <c r="AK16" t="s">
        <v>285</v>
      </c>
      <c r="AL16">
        <v>49</v>
      </c>
      <c r="AM16">
        <v>0</v>
      </c>
      <c r="AN16">
        <v>59</v>
      </c>
      <c r="AO16">
        <v>0</v>
      </c>
      <c r="AP16" t="s">
        <v>63</v>
      </c>
      <c r="AQ16" t="s">
        <v>63</v>
      </c>
    </row>
    <row r="17" spans="1:43" x14ac:dyDescent="0.2">
      <c r="A17">
        <v>8617</v>
      </c>
      <c r="B17" t="s">
        <v>286</v>
      </c>
      <c r="C17">
        <v>5.0999999999999996</v>
      </c>
      <c r="D17">
        <v>754</v>
      </c>
      <c r="E17" t="s">
        <v>44</v>
      </c>
      <c r="F17" s="1">
        <v>39548</v>
      </c>
      <c r="G17">
        <v>14800000</v>
      </c>
      <c r="H17">
        <v>88</v>
      </c>
      <c r="I17">
        <v>20000000</v>
      </c>
      <c r="J17" t="s">
        <v>287</v>
      </c>
      <c r="K17" t="s">
        <v>66</v>
      </c>
      <c r="L17" t="s">
        <v>286</v>
      </c>
      <c r="M17" t="s">
        <v>288</v>
      </c>
      <c r="N17">
        <v>2.0333000000000001</v>
      </c>
      <c r="O17" t="s">
        <v>289</v>
      </c>
      <c r="P17" t="s">
        <v>290</v>
      </c>
      <c r="Q17" t="s">
        <v>291</v>
      </c>
      <c r="R17" t="s">
        <v>292</v>
      </c>
      <c r="S17" t="s">
        <v>293</v>
      </c>
      <c r="T17" t="s">
        <v>294</v>
      </c>
      <c r="U17" t="s">
        <v>295</v>
      </c>
      <c r="V17" t="s">
        <v>296</v>
      </c>
      <c r="W17" t="s">
        <v>297</v>
      </c>
      <c r="X17" t="s">
        <v>298</v>
      </c>
      <c r="Y17" t="s">
        <v>299</v>
      </c>
      <c r="Z17">
        <v>4</v>
      </c>
      <c r="AA17">
        <v>39470</v>
      </c>
      <c r="AB17" t="s">
        <v>300</v>
      </c>
      <c r="AC17">
        <v>4</v>
      </c>
      <c r="AD17">
        <v>2008</v>
      </c>
      <c r="AE17">
        <v>15</v>
      </c>
      <c r="AF17" t="s">
        <v>301</v>
      </c>
      <c r="AG17">
        <v>-20</v>
      </c>
      <c r="AH17">
        <v>16.510137806301898</v>
      </c>
      <c r="AI17">
        <v>0.78619703839532895</v>
      </c>
      <c r="AJ17" t="s">
        <v>61</v>
      </c>
      <c r="AK17" t="s">
        <v>302</v>
      </c>
      <c r="AL17">
        <v>27</v>
      </c>
      <c r="AM17">
        <v>3</v>
      </c>
      <c r="AN17">
        <v>37</v>
      </c>
      <c r="AO17">
        <v>0.08</v>
      </c>
      <c r="AP17" t="s">
        <v>63</v>
      </c>
      <c r="AQ17" t="s">
        <v>63</v>
      </c>
    </row>
    <row r="18" spans="1:43" x14ac:dyDescent="0.2">
      <c r="A18">
        <v>12890</v>
      </c>
      <c r="B18" t="s">
        <v>303</v>
      </c>
      <c r="C18">
        <v>5.8</v>
      </c>
      <c r="D18">
        <v>268</v>
      </c>
      <c r="E18" t="s">
        <v>44</v>
      </c>
      <c r="F18" s="1">
        <v>39549</v>
      </c>
      <c r="G18">
        <v>10569964</v>
      </c>
      <c r="H18">
        <v>95</v>
      </c>
      <c r="I18">
        <v>7000000</v>
      </c>
      <c r="J18" t="s">
        <v>304</v>
      </c>
      <c r="K18" t="s">
        <v>66</v>
      </c>
      <c r="L18" t="s">
        <v>303</v>
      </c>
      <c r="M18" t="s">
        <v>305</v>
      </c>
      <c r="N18">
        <v>1.7334000000000001</v>
      </c>
      <c r="O18" t="s">
        <v>306</v>
      </c>
      <c r="P18" t="s">
        <v>307</v>
      </c>
      <c r="Q18" t="s">
        <v>308</v>
      </c>
      <c r="R18" t="s">
        <v>71</v>
      </c>
      <c r="S18" t="s">
        <v>72</v>
      </c>
      <c r="T18" t="s">
        <v>309</v>
      </c>
      <c r="U18" t="s">
        <v>310</v>
      </c>
      <c r="V18" t="s">
        <v>311</v>
      </c>
      <c r="W18" t="s">
        <v>312</v>
      </c>
      <c r="X18" t="s">
        <v>313</v>
      </c>
      <c r="Y18" t="s">
        <v>314</v>
      </c>
      <c r="Z18">
        <v>6.1</v>
      </c>
      <c r="AA18">
        <v>23679</v>
      </c>
      <c r="AB18" t="s">
        <v>315</v>
      </c>
      <c r="AC18">
        <v>4</v>
      </c>
      <c r="AD18">
        <v>2008</v>
      </c>
      <c r="AE18">
        <v>15</v>
      </c>
      <c r="AF18" t="s">
        <v>316</v>
      </c>
      <c r="AG18">
        <v>-19</v>
      </c>
      <c r="AH18">
        <v>16.173527046582599</v>
      </c>
      <c r="AI18">
        <v>0.80867635232913204</v>
      </c>
      <c r="AJ18" t="s">
        <v>61</v>
      </c>
      <c r="AK18" t="s">
        <v>317</v>
      </c>
      <c r="AL18">
        <v>14</v>
      </c>
      <c r="AM18">
        <v>0</v>
      </c>
      <c r="AN18">
        <v>23</v>
      </c>
      <c r="AO18">
        <v>0</v>
      </c>
      <c r="AP18" t="s">
        <v>63</v>
      </c>
      <c r="AQ18" t="s">
        <v>63</v>
      </c>
    </row>
    <row r="19" spans="1:43" x14ac:dyDescent="0.2">
      <c r="A19">
        <v>1729</v>
      </c>
      <c r="B19" t="s">
        <v>318</v>
      </c>
      <c r="C19">
        <v>6.6</v>
      </c>
      <c r="D19">
        <v>1804</v>
      </c>
      <c r="E19" t="s">
        <v>44</v>
      </c>
      <c r="F19" s="1">
        <v>39555</v>
      </c>
      <c r="G19">
        <v>127906624</v>
      </c>
      <c r="H19">
        <v>104</v>
      </c>
      <c r="I19">
        <v>55000000</v>
      </c>
      <c r="J19" t="s">
        <v>319</v>
      </c>
      <c r="K19" t="s">
        <v>66</v>
      </c>
      <c r="L19" t="s">
        <v>318</v>
      </c>
      <c r="M19" t="s">
        <v>320</v>
      </c>
      <c r="N19">
        <v>5.5921000000000003</v>
      </c>
      <c r="O19" t="s">
        <v>321</v>
      </c>
      <c r="P19" t="s">
        <v>322</v>
      </c>
      <c r="Q19" t="s">
        <v>323</v>
      </c>
      <c r="R19" t="s">
        <v>324</v>
      </c>
      <c r="S19" t="s">
        <v>325</v>
      </c>
      <c r="T19" t="s">
        <v>326</v>
      </c>
      <c r="U19" t="s">
        <v>327</v>
      </c>
      <c r="V19" t="s">
        <v>328</v>
      </c>
      <c r="W19" t="s">
        <v>329</v>
      </c>
      <c r="X19" t="s">
        <v>330</v>
      </c>
      <c r="Y19" t="s">
        <v>331</v>
      </c>
      <c r="Z19">
        <v>6.5</v>
      </c>
      <c r="AA19">
        <v>112622</v>
      </c>
      <c r="AB19" t="s">
        <v>332</v>
      </c>
      <c r="AC19">
        <v>4</v>
      </c>
      <c r="AD19">
        <v>2008</v>
      </c>
      <c r="AE19">
        <v>16</v>
      </c>
      <c r="AF19" t="s">
        <v>333</v>
      </c>
      <c r="AG19">
        <v>-13</v>
      </c>
      <c r="AH19">
        <v>18.666811063487401</v>
      </c>
      <c r="AI19">
        <v>1.33334364739196</v>
      </c>
      <c r="AJ19" t="s">
        <v>61</v>
      </c>
      <c r="AK19" t="s">
        <v>334</v>
      </c>
      <c r="AL19">
        <v>49</v>
      </c>
      <c r="AM19">
        <v>2</v>
      </c>
      <c r="AN19">
        <v>61</v>
      </c>
      <c r="AO19">
        <v>0.03</v>
      </c>
      <c r="AP19" t="s">
        <v>63</v>
      </c>
      <c r="AQ19" t="s">
        <v>63</v>
      </c>
    </row>
    <row r="20" spans="1:43" x14ac:dyDescent="0.2">
      <c r="A20">
        <v>9870</v>
      </c>
      <c r="B20" t="s">
        <v>335</v>
      </c>
      <c r="C20">
        <v>6.5030000000000001</v>
      </c>
      <c r="D20">
        <v>3560</v>
      </c>
      <c r="E20" t="s">
        <v>44</v>
      </c>
      <c r="F20" s="1">
        <v>39555</v>
      </c>
      <c r="G20">
        <v>105173115</v>
      </c>
      <c r="H20">
        <v>111</v>
      </c>
      <c r="I20">
        <v>30000000</v>
      </c>
      <c r="J20" t="s">
        <v>336</v>
      </c>
      <c r="K20" t="s">
        <v>66</v>
      </c>
      <c r="L20" t="s">
        <v>335</v>
      </c>
      <c r="M20" t="s">
        <v>337</v>
      </c>
      <c r="N20">
        <v>17.57</v>
      </c>
      <c r="O20" t="s">
        <v>338</v>
      </c>
      <c r="P20" t="s">
        <v>85</v>
      </c>
      <c r="Q20" t="s">
        <v>339</v>
      </c>
      <c r="R20" t="s">
        <v>71</v>
      </c>
      <c r="S20" t="s">
        <v>340</v>
      </c>
      <c r="T20" t="s">
        <v>341</v>
      </c>
      <c r="U20" t="s">
        <v>342</v>
      </c>
      <c r="V20" t="s">
        <v>343</v>
      </c>
      <c r="W20" t="s">
        <v>344</v>
      </c>
      <c r="X20" t="s">
        <v>345</v>
      </c>
      <c r="Y20" t="s">
        <v>346</v>
      </c>
      <c r="Z20">
        <v>7.1</v>
      </c>
      <c r="AA20">
        <v>316166</v>
      </c>
      <c r="AB20" t="s">
        <v>347</v>
      </c>
      <c r="AC20">
        <v>4</v>
      </c>
      <c r="AD20">
        <v>2008</v>
      </c>
      <c r="AE20">
        <v>16</v>
      </c>
      <c r="AF20" t="s">
        <v>348</v>
      </c>
      <c r="AG20">
        <v>-13</v>
      </c>
      <c r="AH20">
        <v>18.471118274278201</v>
      </c>
      <c r="AI20">
        <v>1.3193655910198701</v>
      </c>
      <c r="AJ20" t="s">
        <v>61</v>
      </c>
      <c r="AK20" t="s">
        <v>349</v>
      </c>
      <c r="AL20">
        <v>38</v>
      </c>
      <c r="AM20">
        <v>3</v>
      </c>
      <c r="AN20">
        <v>50</v>
      </c>
      <c r="AO20">
        <v>0.06</v>
      </c>
      <c r="AP20" t="s">
        <v>63</v>
      </c>
      <c r="AQ20" t="s">
        <v>63</v>
      </c>
    </row>
    <row r="21" spans="1:43" x14ac:dyDescent="0.2">
      <c r="A21">
        <v>10503</v>
      </c>
      <c r="B21" t="s">
        <v>350</v>
      </c>
      <c r="C21">
        <v>6.6</v>
      </c>
      <c r="D21">
        <v>476</v>
      </c>
      <c r="E21" t="s">
        <v>44</v>
      </c>
      <c r="F21" s="1">
        <v>39556</v>
      </c>
      <c r="G21">
        <v>18696602</v>
      </c>
      <c r="H21">
        <v>118</v>
      </c>
      <c r="I21">
        <v>4100000</v>
      </c>
      <c r="J21" t="s">
        <v>351</v>
      </c>
      <c r="K21" t="s">
        <v>66</v>
      </c>
      <c r="L21" t="s">
        <v>350</v>
      </c>
      <c r="M21" t="s">
        <v>352</v>
      </c>
      <c r="N21">
        <v>1.1908000000000001</v>
      </c>
      <c r="O21" t="s">
        <v>353</v>
      </c>
      <c r="P21" t="s">
        <v>354</v>
      </c>
      <c r="Q21" t="s">
        <v>355</v>
      </c>
      <c r="R21" t="s">
        <v>356</v>
      </c>
      <c r="S21" t="s">
        <v>72</v>
      </c>
      <c r="T21" t="s">
        <v>357</v>
      </c>
      <c r="U21" t="s">
        <v>358</v>
      </c>
      <c r="V21" t="s">
        <v>359</v>
      </c>
      <c r="W21" t="s">
        <v>358</v>
      </c>
      <c r="X21" t="s">
        <v>360</v>
      </c>
      <c r="Y21" t="s">
        <v>361</v>
      </c>
      <c r="Z21">
        <v>7</v>
      </c>
      <c r="AA21">
        <v>42243</v>
      </c>
      <c r="AB21" t="s">
        <v>362</v>
      </c>
      <c r="AC21">
        <v>4</v>
      </c>
      <c r="AD21">
        <v>2008</v>
      </c>
      <c r="AE21">
        <v>16</v>
      </c>
      <c r="AF21" t="s">
        <v>363</v>
      </c>
      <c r="AG21">
        <v>-12</v>
      </c>
      <c r="AH21">
        <v>16.743852407569001</v>
      </c>
      <c r="AI21">
        <v>1.2879886467360699</v>
      </c>
      <c r="AJ21" t="s">
        <v>61</v>
      </c>
      <c r="AK21" t="s">
        <v>364</v>
      </c>
      <c r="AL21">
        <v>31</v>
      </c>
      <c r="AM21">
        <v>0</v>
      </c>
      <c r="AN21">
        <v>67</v>
      </c>
      <c r="AO21">
        <v>0</v>
      </c>
      <c r="AP21" t="s">
        <v>63</v>
      </c>
      <c r="AQ21" t="s">
        <v>63</v>
      </c>
    </row>
    <row r="22" spans="1:43" x14ac:dyDescent="0.2">
      <c r="A22">
        <v>10529</v>
      </c>
      <c r="B22" t="s">
        <v>365</v>
      </c>
      <c r="C22">
        <v>6.4</v>
      </c>
      <c r="D22">
        <v>1335</v>
      </c>
      <c r="E22" t="s">
        <v>44</v>
      </c>
      <c r="F22" s="1">
        <v>39562</v>
      </c>
      <c r="G22">
        <v>7033683</v>
      </c>
      <c r="H22">
        <v>115</v>
      </c>
      <c r="I22">
        <v>50000000</v>
      </c>
      <c r="J22" t="s">
        <v>366</v>
      </c>
      <c r="K22" t="s">
        <v>66</v>
      </c>
      <c r="L22" t="s">
        <v>365</v>
      </c>
      <c r="M22" t="s">
        <v>367</v>
      </c>
      <c r="N22">
        <v>2.9771999999999998</v>
      </c>
      <c r="O22" t="s">
        <v>368</v>
      </c>
      <c r="P22" t="s">
        <v>369</v>
      </c>
      <c r="Q22" t="s">
        <v>370</v>
      </c>
      <c r="R22" t="s">
        <v>87</v>
      </c>
      <c r="S22" t="s">
        <v>72</v>
      </c>
      <c r="T22" t="s">
        <v>371</v>
      </c>
      <c r="U22" t="s">
        <v>372</v>
      </c>
      <c r="V22" t="s">
        <v>373</v>
      </c>
      <c r="W22" t="s">
        <v>374</v>
      </c>
      <c r="X22" t="s">
        <v>375</v>
      </c>
      <c r="Y22" t="s">
        <v>376</v>
      </c>
      <c r="Z22">
        <v>6.2</v>
      </c>
      <c r="AA22">
        <v>80861</v>
      </c>
      <c r="AB22" t="s">
        <v>377</v>
      </c>
      <c r="AC22">
        <v>4</v>
      </c>
      <c r="AD22">
        <v>2008</v>
      </c>
      <c r="AE22">
        <v>17</v>
      </c>
      <c r="AF22" t="s">
        <v>378</v>
      </c>
      <c r="AG22">
        <v>-6</v>
      </c>
      <c r="AH22">
        <v>15.7662211663552</v>
      </c>
      <c r="AI22">
        <v>2.2523173094793099</v>
      </c>
      <c r="AJ22" t="s">
        <v>61</v>
      </c>
      <c r="AK22" t="s">
        <v>379</v>
      </c>
      <c r="AL22">
        <v>22</v>
      </c>
      <c r="AM22">
        <v>0</v>
      </c>
      <c r="AN22">
        <v>41</v>
      </c>
      <c r="AO22">
        <v>0</v>
      </c>
      <c r="AP22" t="s">
        <v>63</v>
      </c>
      <c r="AQ22" t="s">
        <v>63</v>
      </c>
    </row>
    <row r="23" spans="1:43" x14ac:dyDescent="0.2">
      <c r="A23">
        <v>13018</v>
      </c>
      <c r="B23" t="s">
        <v>380</v>
      </c>
      <c r="C23">
        <v>5.9</v>
      </c>
      <c r="D23">
        <v>686</v>
      </c>
      <c r="E23" t="s">
        <v>44</v>
      </c>
      <c r="F23" s="1">
        <v>39562</v>
      </c>
      <c r="G23">
        <v>18024545</v>
      </c>
      <c r="H23">
        <v>107</v>
      </c>
      <c r="I23">
        <v>25000000</v>
      </c>
      <c r="J23" t="s">
        <v>381</v>
      </c>
      <c r="K23" t="s">
        <v>66</v>
      </c>
      <c r="L23" t="s">
        <v>380</v>
      </c>
      <c r="M23" t="s">
        <v>382</v>
      </c>
      <c r="N23">
        <v>2.2482000000000002</v>
      </c>
      <c r="O23" t="s">
        <v>383</v>
      </c>
      <c r="P23" t="s">
        <v>384</v>
      </c>
      <c r="Q23" t="s">
        <v>385</v>
      </c>
      <c r="R23" t="s">
        <v>386</v>
      </c>
      <c r="S23" t="s">
        <v>72</v>
      </c>
      <c r="T23" t="s">
        <v>387</v>
      </c>
      <c r="U23" t="s">
        <v>388</v>
      </c>
      <c r="V23" t="s">
        <v>389</v>
      </c>
      <c r="W23" t="s">
        <v>390</v>
      </c>
      <c r="X23" t="s">
        <v>391</v>
      </c>
      <c r="Y23" t="s">
        <v>392</v>
      </c>
      <c r="Z23">
        <v>6</v>
      </c>
      <c r="AA23">
        <v>41985</v>
      </c>
      <c r="AB23" t="s">
        <v>393</v>
      </c>
      <c r="AC23">
        <v>4</v>
      </c>
      <c r="AD23">
        <v>2008</v>
      </c>
      <c r="AE23">
        <v>17</v>
      </c>
      <c r="AF23" t="s">
        <v>394</v>
      </c>
      <c r="AG23">
        <v>-6</v>
      </c>
      <c r="AH23">
        <v>16.707245053578099</v>
      </c>
      <c r="AI23">
        <v>2.3867492933682999</v>
      </c>
      <c r="AJ23" t="s">
        <v>61</v>
      </c>
      <c r="AK23" t="s">
        <v>395</v>
      </c>
      <c r="AL23">
        <v>37</v>
      </c>
      <c r="AM23">
        <v>0</v>
      </c>
      <c r="AN23">
        <v>43</v>
      </c>
      <c r="AO23">
        <v>0</v>
      </c>
      <c r="AP23" t="s">
        <v>63</v>
      </c>
      <c r="AQ23" t="s">
        <v>63</v>
      </c>
    </row>
    <row r="24" spans="1:43" x14ac:dyDescent="0.2">
      <c r="A24">
        <v>8780</v>
      </c>
      <c r="B24" t="s">
        <v>396</v>
      </c>
      <c r="C24">
        <v>5.9720000000000004</v>
      </c>
      <c r="D24">
        <v>667</v>
      </c>
      <c r="E24" t="s">
        <v>44</v>
      </c>
      <c r="F24" s="1">
        <v>39563</v>
      </c>
      <c r="G24">
        <v>64400000</v>
      </c>
      <c r="H24">
        <v>99</v>
      </c>
      <c r="I24">
        <v>30000000</v>
      </c>
      <c r="J24" t="s">
        <v>397</v>
      </c>
      <c r="K24" t="s">
        <v>66</v>
      </c>
      <c r="L24" t="s">
        <v>396</v>
      </c>
      <c r="M24" t="s">
        <v>398</v>
      </c>
      <c r="N24">
        <v>1.3171999999999999</v>
      </c>
      <c r="O24" t="s">
        <v>399</v>
      </c>
      <c r="P24" t="s">
        <v>400</v>
      </c>
      <c r="Q24" t="s">
        <v>401</v>
      </c>
      <c r="R24" t="s">
        <v>71</v>
      </c>
      <c r="S24" t="s">
        <v>72</v>
      </c>
      <c r="T24" t="s">
        <v>402</v>
      </c>
      <c r="U24" t="s">
        <v>403</v>
      </c>
      <c r="V24" t="s">
        <v>404</v>
      </c>
      <c r="W24" t="s">
        <v>403</v>
      </c>
      <c r="X24" t="s">
        <v>405</v>
      </c>
      <c r="Y24" t="s">
        <v>406</v>
      </c>
      <c r="Z24">
        <v>6</v>
      </c>
      <c r="AA24">
        <v>48964</v>
      </c>
      <c r="AB24" t="s">
        <v>407</v>
      </c>
      <c r="AC24">
        <v>4</v>
      </c>
      <c r="AD24">
        <v>2008</v>
      </c>
      <c r="AE24">
        <v>17</v>
      </c>
      <c r="AF24" t="s">
        <v>408</v>
      </c>
      <c r="AG24">
        <v>-5</v>
      </c>
      <c r="AH24">
        <v>17.980624206602499</v>
      </c>
      <c r="AI24">
        <v>2.9967707011004201</v>
      </c>
      <c r="AJ24" t="s">
        <v>61</v>
      </c>
      <c r="AK24" t="s">
        <v>409</v>
      </c>
      <c r="AL24">
        <v>21</v>
      </c>
      <c r="AM24">
        <v>0</v>
      </c>
      <c r="AN24">
        <v>29</v>
      </c>
      <c r="AO24">
        <v>0</v>
      </c>
      <c r="AP24" t="s">
        <v>63</v>
      </c>
      <c r="AQ24" t="s">
        <v>63</v>
      </c>
    </row>
    <row r="25" spans="1:43" x14ac:dyDescent="0.2">
      <c r="A25">
        <v>13335</v>
      </c>
      <c r="B25" t="s">
        <v>410</v>
      </c>
      <c r="C25">
        <v>6.3</v>
      </c>
      <c r="D25">
        <v>1550</v>
      </c>
      <c r="E25" t="s">
        <v>44</v>
      </c>
      <c r="F25" s="1">
        <v>39563</v>
      </c>
      <c r="G25">
        <v>43493123</v>
      </c>
      <c r="H25">
        <v>101</v>
      </c>
      <c r="I25">
        <v>12000000</v>
      </c>
      <c r="J25" t="s">
        <v>411</v>
      </c>
      <c r="K25" t="s">
        <v>66</v>
      </c>
      <c r="L25" t="s">
        <v>410</v>
      </c>
      <c r="M25" t="s">
        <v>412</v>
      </c>
      <c r="N25">
        <v>1.9490000000000001</v>
      </c>
      <c r="O25" t="s">
        <v>413</v>
      </c>
      <c r="P25" t="s">
        <v>414</v>
      </c>
      <c r="Q25" t="s">
        <v>415</v>
      </c>
      <c r="R25" t="s">
        <v>71</v>
      </c>
      <c r="S25" t="s">
        <v>72</v>
      </c>
      <c r="T25" t="s">
        <v>416</v>
      </c>
      <c r="U25" t="s">
        <v>417</v>
      </c>
      <c r="V25" t="s">
        <v>404</v>
      </c>
      <c r="W25" t="s">
        <v>417</v>
      </c>
      <c r="X25" t="s">
        <v>418</v>
      </c>
      <c r="Y25" t="s">
        <v>419</v>
      </c>
      <c r="Z25">
        <v>6.5</v>
      </c>
      <c r="AA25">
        <v>145072</v>
      </c>
      <c r="AB25" t="s">
        <v>420</v>
      </c>
      <c r="AC25">
        <v>4</v>
      </c>
      <c r="AD25">
        <v>2008</v>
      </c>
      <c r="AE25">
        <v>17</v>
      </c>
      <c r="AF25" t="s">
        <v>421</v>
      </c>
      <c r="AG25">
        <v>-5</v>
      </c>
      <c r="AH25">
        <v>17.5881134145991</v>
      </c>
      <c r="AI25">
        <v>2.9313522357665298</v>
      </c>
      <c r="AJ25" t="s">
        <v>61</v>
      </c>
      <c r="AK25" t="s">
        <v>422</v>
      </c>
      <c r="AL25">
        <v>14</v>
      </c>
      <c r="AM25">
        <v>1</v>
      </c>
      <c r="AN25">
        <v>27</v>
      </c>
      <c r="AO25">
        <v>0.04</v>
      </c>
      <c r="AP25" t="s">
        <v>63</v>
      </c>
      <c r="AQ25" t="s">
        <v>63</v>
      </c>
    </row>
    <row r="26" spans="1:43" x14ac:dyDescent="0.2">
      <c r="A26">
        <v>14921</v>
      </c>
      <c r="B26" t="s">
        <v>423</v>
      </c>
      <c r="C26">
        <v>5.6</v>
      </c>
      <c r="D26">
        <v>38</v>
      </c>
      <c r="E26" t="s">
        <v>44</v>
      </c>
      <c r="F26" s="1">
        <v>39563</v>
      </c>
      <c r="G26">
        <v>607324</v>
      </c>
      <c r="H26">
        <v>110</v>
      </c>
      <c r="I26">
        <v>5750000</v>
      </c>
      <c r="J26" t="s">
        <v>424</v>
      </c>
      <c r="K26" t="s">
        <v>66</v>
      </c>
      <c r="L26" t="s">
        <v>423</v>
      </c>
      <c r="M26" t="s">
        <v>425</v>
      </c>
      <c r="N26">
        <v>2.6930999999999998</v>
      </c>
      <c r="O26" t="s">
        <v>426</v>
      </c>
      <c r="P26" t="s">
        <v>427</v>
      </c>
      <c r="Q26" t="s">
        <v>428</v>
      </c>
      <c r="R26" t="s">
        <v>429</v>
      </c>
      <c r="S26" t="s">
        <v>72</v>
      </c>
      <c r="T26" t="s">
        <v>430</v>
      </c>
      <c r="U26" t="s">
        <v>431</v>
      </c>
      <c r="V26" t="s">
        <v>432</v>
      </c>
      <c r="W26" t="s">
        <v>433</v>
      </c>
      <c r="X26" t="s">
        <v>434</v>
      </c>
      <c r="Y26" t="s">
        <v>435</v>
      </c>
      <c r="Z26">
        <v>6.2</v>
      </c>
      <c r="AA26">
        <v>2540</v>
      </c>
      <c r="AB26" t="s">
        <v>436</v>
      </c>
      <c r="AC26">
        <v>4</v>
      </c>
      <c r="AD26">
        <v>2008</v>
      </c>
      <c r="AE26">
        <v>17</v>
      </c>
      <c r="AF26" t="s">
        <v>437</v>
      </c>
      <c r="AG26">
        <v>-5</v>
      </c>
      <c r="AH26">
        <v>13.316819346854199</v>
      </c>
      <c r="AI26">
        <v>2.21946989114238</v>
      </c>
      <c r="AJ26" t="s">
        <v>61</v>
      </c>
      <c r="AK26" t="s">
        <v>438</v>
      </c>
      <c r="AL26">
        <v>2</v>
      </c>
      <c r="AM26">
        <v>0</v>
      </c>
      <c r="AN26">
        <v>8</v>
      </c>
      <c r="AO26">
        <v>0</v>
      </c>
      <c r="AP26" t="s">
        <v>63</v>
      </c>
      <c r="AQ26" t="s">
        <v>63</v>
      </c>
    </row>
    <row r="27" spans="1:43" x14ac:dyDescent="0.2">
      <c r="A27">
        <v>9262</v>
      </c>
      <c r="B27" t="s">
        <v>439</v>
      </c>
      <c r="C27">
        <v>5.4</v>
      </c>
      <c r="D27">
        <v>250</v>
      </c>
      <c r="E27" t="s">
        <v>44</v>
      </c>
      <c r="F27" s="1">
        <v>39568</v>
      </c>
      <c r="G27">
        <v>7926601</v>
      </c>
      <c r="H27">
        <v>97</v>
      </c>
      <c r="I27">
        <v>25000000</v>
      </c>
      <c r="J27" t="s">
        <v>440</v>
      </c>
      <c r="K27" t="s">
        <v>66</v>
      </c>
      <c r="L27" t="s">
        <v>439</v>
      </c>
      <c r="M27" t="s">
        <v>441</v>
      </c>
      <c r="N27">
        <v>1.2793000000000001</v>
      </c>
      <c r="O27" t="s">
        <v>442</v>
      </c>
      <c r="P27" t="s">
        <v>443</v>
      </c>
      <c r="Q27" t="s">
        <v>444</v>
      </c>
      <c r="R27" t="s">
        <v>71</v>
      </c>
      <c r="S27" t="s">
        <v>72</v>
      </c>
      <c r="T27" t="s">
        <v>445</v>
      </c>
      <c r="U27" t="s">
        <v>446</v>
      </c>
      <c r="V27" t="s">
        <v>447</v>
      </c>
      <c r="W27" t="s">
        <v>446</v>
      </c>
      <c r="X27" t="s">
        <v>448</v>
      </c>
      <c r="Y27" t="s">
        <v>449</v>
      </c>
      <c r="Z27">
        <v>5.3</v>
      </c>
      <c r="AA27">
        <v>12866</v>
      </c>
      <c r="AB27" t="s">
        <v>450</v>
      </c>
      <c r="AC27">
        <v>4</v>
      </c>
      <c r="AD27">
        <v>2008</v>
      </c>
      <c r="AE27">
        <v>18</v>
      </c>
      <c r="AF27" t="s">
        <v>451</v>
      </c>
      <c r="AG27">
        <v>0</v>
      </c>
      <c r="AH27">
        <v>15.885735002409399</v>
      </c>
      <c r="AI27">
        <v>15.885735002409399</v>
      </c>
      <c r="AJ27" t="s">
        <v>61</v>
      </c>
      <c r="AK27" t="s">
        <v>452</v>
      </c>
      <c r="AL27">
        <v>18</v>
      </c>
      <c r="AM27">
        <v>0</v>
      </c>
      <c r="AN27">
        <v>29</v>
      </c>
      <c r="AO27">
        <v>0</v>
      </c>
      <c r="AP27" t="s">
        <v>63</v>
      </c>
      <c r="AQ27" t="s">
        <v>63</v>
      </c>
    </row>
    <row r="28" spans="1:43" x14ac:dyDescent="0.2">
      <c r="A28">
        <v>10761</v>
      </c>
      <c r="B28" t="s">
        <v>453</v>
      </c>
      <c r="C28">
        <v>6.444</v>
      </c>
      <c r="D28">
        <v>1738</v>
      </c>
      <c r="E28" t="s">
        <v>44</v>
      </c>
      <c r="F28" s="1">
        <v>39568</v>
      </c>
      <c r="G28">
        <v>106407672</v>
      </c>
      <c r="H28">
        <v>101</v>
      </c>
      <c r="I28">
        <v>40000000</v>
      </c>
      <c r="J28" t="s">
        <v>454</v>
      </c>
      <c r="K28" t="s">
        <v>66</v>
      </c>
      <c r="L28" t="s">
        <v>453</v>
      </c>
      <c r="M28" t="s">
        <v>455</v>
      </c>
      <c r="N28">
        <v>4.1786000000000003</v>
      </c>
      <c r="O28" t="s">
        <v>456</v>
      </c>
      <c r="P28" t="s">
        <v>400</v>
      </c>
      <c r="Q28" t="s">
        <v>457</v>
      </c>
      <c r="R28" t="s">
        <v>356</v>
      </c>
      <c r="S28" t="s">
        <v>72</v>
      </c>
      <c r="T28" t="s">
        <v>458</v>
      </c>
      <c r="U28" t="s">
        <v>459</v>
      </c>
      <c r="V28" t="s">
        <v>460</v>
      </c>
      <c r="W28" t="s">
        <v>461</v>
      </c>
      <c r="X28" t="s">
        <v>462</v>
      </c>
      <c r="Y28" t="s">
        <v>463</v>
      </c>
      <c r="Z28">
        <v>5.8</v>
      </c>
      <c r="AA28">
        <v>79195</v>
      </c>
      <c r="AB28" t="s">
        <v>464</v>
      </c>
      <c r="AC28">
        <v>4</v>
      </c>
      <c r="AD28">
        <v>2008</v>
      </c>
      <c r="AE28">
        <v>18</v>
      </c>
      <c r="AF28" t="s">
        <v>465</v>
      </c>
      <c r="AG28">
        <v>0</v>
      </c>
      <c r="AH28">
        <v>18.4827882469333</v>
      </c>
      <c r="AI28">
        <v>18.4827882469333</v>
      </c>
      <c r="AJ28" t="s">
        <v>61</v>
      </c>
      <c r="AK28" t="s">
        <v>466</v>
      </c>
      <c r="AL28">
        <v>85</v>
      </c>
      <c r="AM28">
        <v>0</v>
      </c>
      <c r="AN28">
        <v>90</v>
      </c>
      <c r="AO28">
        <v>0</v>
      </c>
      <c r="AP28" t="s">
        <v>63</v>
      </c>
      <c r="AQ28" t="s">
        <v>63</v>
      </c>
    </row>
    <row r="29" spans="1:43" x14ac:dyDescent="0.2">
      <c r="A29">
        <v>7459</v>
      </c>
      <c r="B29" t="s">
        <v>467</v>
      </c>
      <c r="C29">
        <v>6.3230000000000004</v>
      </c>
      <c r="D29">
        <v>1686</v>
      </c>
      <c r="E29" t="s">
        <v>44</v>
      </c>
      <c r="F29" s="1">
        <v>39575</v>
      </c>
      <c r="G29">
        <v>93900000</v>
      </c>
      <c r="H29">
        <v>135</v>
      </c>
      <c r="I29">
        <v>120000000</v>
      </c>
      <c r="J29" t="s">
        <v>468</v>
      </c>
      <c r="K29" t="s">
        <v>66</v>
      </c>
      <c r="L29" t="s">
        <v>467</v>
      </c>
      <c r="M29" t="s">
        <v>469</v>
      </c>
      <c r="N29">
        <v>5.7001999999999997</v>
      </c>
      <c r="O29" t="s">
        <v>470</v>
      </c>
      <c r="P29" t="s">
        <v>471</v>
      </c>
      <c r="Q29" t="s">
        <v>472</v>
      </c>
      <c r="R29" t="s">
        <v>71</v>
      </c>
      <c r="S29" t="s">
        <v>473</v>
      </c>
      <c r="T29" t="s">
        <v>474</v>
      </c>
      <c r="U29" t="s">
        <v>475</v>
      </c>
      <c r="V29" t="s">
        <v>476</v>
      </c>
      <c r="W29" t="s">
        <v>477</v>
      </c>
      <c r="X29" t="s">
        <v>478</v>
      </c>
      <c r="Y29" t="s">
        <v>479</v>
      </c>
      <c r="Z29">
        <v>6.1</v>
      </c>
      <c r="AA29">
        <v>82210</v>
      </c>
      <c r="AB29" t="s">
        <v>480</v>
      </c>
      <c r="AC29">
        <v>5</v>
      </c>
      <c r="AD29">
        <v>2008</v>
      </c>
      <c r="AE29">
        <v>19</v>
      </c>
      <c r="AF29" t="s">
        <v>481</v>
      </c>
      <c r="AG29">
        <v>7</v>
      </c>
      <c r="AH29">
        <v>18.357740954828099</v>
      </c>
      <c r="AI29">
        <v>2.2947176193535102</v>
      </c>
      <c r="AJ29" t="s">
        <v>61</v>
      </c>
      <c r="AK29" t="s">
        <v>482</v>
      </c>
      <c r="AL29">
        <v>68</v>
      </c>
      <c r="AM29">
        <v>0</v>
      </c>
      <c r="AN29">
        <v>78</v>
      </c>
      <c r="AO29">
        <v>0</v>
      </c>
      <c r="AP29" t="s">
        <v>63</v>
      </c>
      <c r="AQ29" t="s">
        <v>63</v>
      </c>
    </row>
    <row r="30" spans="1:43" x14ac:dyDescent="0.2">
      <c r="A30">
        <v>9029</v>
      </c>
      <c r="B30" t="s">
        <v>483</v>
      </c>
      <c r="C30">
        <v>6.1</v>
      </c>
      <c r="D30">
        <v>3177</v>
      </c>
      <c r="E30" t="s">
        <v>44</v>
      </c>
      <c r="F30" s="1">
        <v>39575</v>
      </c>
      <c r="G30">
        <v>219400000</v>
      </c>
      <c r="H30">
        <v>99</v>
      </c>
      <c r="I30">
        <v>35000000</v>
      </c>
      <c r="J30" t="s">
        <v>484</v>
      </c>
      <c r="K30" t="s">
        <v>66</v>
      </c>
      <c r="L30" t="s">
        <v>483</v>
      </c>
      <c r="M30" t="s">
        <v>485</v>
      </c>
      <c r="N30">
        <v>3.5261999999999998</v>
      </c>
      <c r="O30" t="s">
        <v>486</v>
      </c>
      <c r="P30" t="s">
        <v>400</v>
      </c>
      <c r="Q30" t="s">
        <v>487</v>
      </c>
      <c r="R30" t="s">
        <v>71</v>
      </c>
      <c r="S30" t="s">
        <v>488</v>
      </c>
      <c r="T30" t="s">
        <v>489</v>
      </c>
      <c r="U30" t="s">
        <v>490</v>
      </c>
      <c r="V30" t="s">
        <v>491</v>
      </c>
      <c r="W30" t="s">
        <v>492</v>
      </c>
      <c r="X30" t="s">
        <v>493</v>
      </c>
      <c r="Y30" t="s">
        <v>494</v>
      </c>
      <c r="Z30">
        <v>6.1</v>
      </c>
      <c r="AA30">
        <v>193665</v>
      </c>
      <c r="AB30" t="s">
        <v>495</v>
      </c>
      <c r="AC30">
        <v>5</v>
      </c>
      <c r="AD30">
        <v>2008</v>
      </c>
      <c r="AE30">
        <v>19</v>
      </c>
      <c r="AF30" t="s">
        <v>496</v>
      </c>
      <c r="AG30">
        <v>7</v>
      </c>
      <c r="AH30">
        <v>19.206407110363202</v>
      </c>
      <c r="AI30">
        <v>2.40080088879541</v>
      </c>
      <c r="AJ30" t="s">
        <v>61</v>
      </c>
      <c r="AK30" t="s">
        <v>497</v>
      </c>
      <c r="AL30">
        <v>49</v>
      </c>
      <c r="AM30">
        <v>1</v>
      </c>
      <c r="AN30">
        <v>60</v>
      </c>
      <c r="AO30">
        <v>0.02</v>
      </c>
      <c r="AP30" t="s">
        <v>63</v>
      </c>
      <c r="AQ30" t="s">
        <v>63</v>
      </c>
    </row>
    <row r="31" spans="1:43" x14ac:dyDescent="0.2">
      <c r="A31">
        <v>14574</v>
      </c>
      <c r="B31" t="s">
        <v>498</v>
      </c>
      <c r="C31">
        <v>7.8220000000000001</v>
      </c>
      <c r="D31">
        <v>7423</v>
      </c>
      <c r="E31" t="s">
        <v>44</v>
      </c>
      <c r="F31" s="1">
        <v>39575</v>
      </c>
      <c r="G31">
        <v>20416563</v>
      </c>
      <c r="H31">
        <v>94</v>
      </c>
      <c r="I31">
        <v>12500000</v>
      </c>
      <c r="J31" t="s">
        <v>499</v>
      </c>
      <c r="K31" t="s">
        <v>66</v>
      </c>
      <c r="L31" t="s">
        <v>498</v>
      </c>
      <c r="M31" t="s">
        <v>500</v>
      </c>
      <c r="N31">
        <v>8.4727999999999994</v>
      </c>
      <c r="O31" t="s">
        <v>501</v>
      </c>
      <c r="P31" t="s">
        <v>502</v>
      </c>
      <c r="Q31" t="s">
        <v>503</v>
      </c>
      <c r="R31" t="s">
        <v>356</v>
      </c>
      <c r="S31" t="s">
        <v>504</v>
      </c>
      <c r="T31" t="s">
        <v>505</v>
      </c>
      <c r="U31" t="s">
        <v>506</v>
      </c>
      <c r="V31" t="s">
        <v>507</v>
      </c>
      <c r="W31" t="s">
        <v>508</v>
      </c>
      <c r="X31" t="s">
        <v>509</v>
      </c>
      <c r="Y31" t="s">
        <v>510</v>
      </c>
      <c r="Z31">
        <v>7.7</v>
      </c>
      <c r="AA31">
        <v>267516</v>
      </c>
      <c r="AB31" t="s">
        <v>511</v>
      </c>
      <c r="AC31">
        <v>5</v>
      </c>
      <c r="AD31">
        <v>2008</v>
      </c>
      <c r="AE31">
        <v>19</v>
      </c>
      <c r="AF31" t="s">
        <v>512</v>
      </c>
      <c r="AG31">
        <v>7</v>
      </c>
      <c r="AH31">
        <v>16.8318570901369</v>
      </c>
      <c r="AI31">
        <v>2.1039821362671098</v>
      </c>
      <c r="AJ31" t="s">
        <v>61</v>
      </c>
      <c r="AK31" t="s">
        <v>513</v>
      </c>
      <c r="AL31">
        <v>31</v>
      </c>
      <c r="AM31">
        <v>6</v>
      </c>
      <c r="AN31">
        <v>55</v>
      </c>
      <c r="AO31">
        <v>0.11</v>
      </c>
      <c r="AP31" t="s">
        <v>63</v>
      </c>
      <c r="AQ31" t="s">
        <v>63</v>
      </c>
    </row>
    <row r="32" spans="1:43" x14ac:dyDescent="0.2">
      <c r="A32">
        <v>8338</v>
      </c>
      <c r="B32" t="s">
        <v>514</v>
      </c>
      <c r="C32">
        <v>6.5</v>
      </c>
      <c r="D32">
        <v>1318</v>
      </c>
      <c r="E32" t="s">
        <v>44</v>
      </c>
      <c r="F32" s="1">
        <v>39582</v>
      </c>
      <c r="G32">
        <v>19844979</v>
      </c>
      <c r="H32">
        <v>121</v>
      </c>
      <c r="I32">
        <v>25000000</v>
      </c>
      <c r="J32" t="s">
        <v>515</v>
      </c>
      <c r="K32" t="s">
        <v>66</v>
      </c>
      <c r="L32" t="s">
        <v>514</v>
      </c>
      <c r="M32" t="s">
        <v>516</v>
      </c>
      <c r="N32">
        <v>3.9034</v>
      </c>
      <c r="O32" t="s">
        <v>517</v>
      </c>
      <c r="P32" t="s">
        <v>518</v>
      </c>
      <c r="Q32" t="s">
        <v>519</v>
      </c>
      <c r="R32" t="s">
        <v>520</v>
      </c>
      <c r="S32" t="s">
        <v>521</v>
      </c>
      <c r="T32" t="s">
        <v>522</v>
      </c>
      <c r="U32" t="s">
        <v>523</v>
      </c>
      <c r="V32" t="s">
        <v>524</v>
      </c>
      <c r="W32" t="s">
        <v>525</v>
      </c>
      <c r="X32" t="s">
        <v>526</v>
      </c>
      <c r="Y32" t="s">
        <v>527</v>
      </c>
      <c r="Z32">
        <v>6.5</v>
      </c>
      <c r="AA32">
        <v>76726</v>
      </c>
      <c r="AB32" t="s">
        <v>528</v>
      </c>
      <c r="AC32">
        <v>5</v>
      </c>
      <c r="AD32">
        <v>2008</v>
      </c>
      <c r="AE32">
        <v>20</v>
      </c>
      <c r="AF32" t="s">
        <v>529</v>
      </c>
      <c r="AG32">
        <v>14</v>
      </c>
      <c r="AH32">
        <v>16.803461636388199</v>
      </c>
      <c r="AI32">
        <v>1.12023077575921</v>
      </c>
      <c r="AJ32" t="s">
        <v>61</v>
      </c>
      <c r="AK32" t="s">
        <v>530</v>
      </c>
      <c r="AL32">
        <v>36</v>
      </c>
      <c r="AM32">
        <v>0</v>
      </c>
      <c r="AN32">
        <v>59</v>
      </c>
      <c r="AO32">
        <v>0</v>
      </c>
      <c r="AP32" t="s">
        <v>63</v>
      </c>
      <c r="AQ32" t="s">
        <v>63</v>
      </c>
    </row>
    <row r="33" spans="1:43" x14ac:dyDescent="0.2">
      <c r="A33">
        <v>2454</v>
      </c>
      <c r="B33" t="s">
        <v>531</v>
      </c>
      <c r="C33">
        <v>6.6269999999999998</v>
      </c>
      <c r="D33">
        <v>6592</v>
      </c>
      <c r="E33" t="s">
        <v>44</v>
      </c>
      <c r="F33" s="1">
        <v>39583</v>
      </c>
      <c r="G33">
        <v>419665568</v>
      </c>
      <c r="H33">
        <v>150</v>
      </c>
      <c r="I33">
        <v>225000000</v>
      </c>
      <c r="J33" t="s">
        <v>532</v>
      </c>
      <c r="K33" t="s">
        <v>66</v>
      </c>
      <c r="L33" t="s">
        <v>531</v>
      </c>
      <c r="M33" t="s">
        <v>533</v>
      </c>
      <c r="N33">
        <v>6.0989000000000004</v>
      </c>
      <c r="O33" t="s">
        <v>534</v>
      </c>
      <c r="P33" t="s">
        <v>535</v>
      </c>
      <c r="Q33" t="s">
        <v>536</v>
      </c>
      <c r="R33" t="s">
        <v>71</v>
      </c>
      <c r="S33" t="s">
        <v>72</v>
      </c>
      <c r="T33" t="s">
        <v>537</v>
      </c>
      <c r="U33" t="s">
        <v>538</v>
      </c>
      <c r="V33" t="s">
        <v>539</v>
      </c>
      <c r="W33" t="s">
        <v>540</v>
      </c>
      <c r="X33" t="s">
        <v>541</v>
      </c>
      <c r="Y33" t="s">
        <v>542</v>
      </c>
      <c r="Z33">
        <v>6.5</v>
      </c>
      <c r="AA33">
        <v>235970</v>
      </c>
      <c r="AB33" t="s">
        <v>543</v>
      </c>
      <c r="AC33">
        <v>5</v>
      </c>
      <c r="AD33">
        <v>2008</v>
      </c>
      <c r="AE33">
        <v>20</v>
      </c>
      <c r="AF33" t="s">
        <v>544</v>
      </c>
      <c r="AG33">
        <v>15</v>
      </c>
      <c r="AH33">
        <v>19.854968687769102</v>
      </c>
      <c r="AI33">
        <v>1.24093554298557</v>
      </c>
      <c r="AJ33" t="s">
        <v>61</v>
      </c>
      <c r="AK33" t="s">
        <v>545</v>
      </c>
      <c r="AL33">
        <v>66</v>
      </c>
      <c r="AM33">
        <v>0</v>
      </c>
      <c r="AN33">
        <v>69</v>
      </c>
      <c r="AO33">
        <v>0</v>
      </c>
      <c r="AP33" t="s">
        <v>63</v>
      </c>
      <c r="AQ33" t="s">
        <v>63</v>
      </c>
    </row>
    <row r="34" spans="1:43" x14ac:dyDescent="0.2">
      <c r="A34">
        <v>217</v>
      </c>
      <c r="B34" t="s">
        <v>546</v>
      </c>
      <c r="C34">
        <v>6.0179999999999998</v>
      </c>
      <c r="D34">
        <v>8728</v>
      </c>
      <c r="E34" t="s">
        <v>44</v>
      </c>
      <c r="F34" s="1">
        <v>39589</v>
      </c>
      <c r="G34">
        <v>786636033</v>
      </c>
      <c r="H34">
        <v>122</v>
      </c>
      <c r="I34">
        <v>185000000</v>
      </c>
      <c r="J34" t="s">
        <v>547</v>
      </c>
      <c r="K34" t="s">
        <v>66</v>
      </c>
      <c r="L34" t="s">
        <v>546</v>
      </c>
      <c r="M34" t="s">
        <v>548</v>
      </c>
      <c r="N34">
        <v>6.5548000000000002</v>
      </c>
      <c r="O34" t="s">
        <v>549</v>
      </c>
      <c r="P34" t="s">
        <v>550</v>
      </c>
      <c r="Q34" t="s">
        <v>551</v>
      </c>
      <c r="R34" t="s">
        <v>71</v>
      </c>
      <c r="S34" t="s">
        <v>552</v>
      </c>
      <c r="T34" t="s">
        <v>553</v>
      </c>
      <c r="U34" t="s">
        <v>554</v>
      </c>
      <c r="V34" t="s">
        <v>555</v>
      </c>
      <c r="W34" t="s">
        <v>556</v>
      </c>
      <c r="X34" t="s">
        <v>557</v>
      </c>
      <c r="Y34" t="s">
        <v>558</v>
      </c>
      <c r="Z34">
        <v>6.2</v>
      </c>
      <c r="AA34">
        <v>508621</v>
      </c>
      <c r="AB34" t="s">
        <v>559</v>
      </c>
      <c r="AC34">
        <v>5</v>
      </c>
      <c r="AD34">
        <v>2008</v>
      </c>
      <c r="AE34">
        <v>21</v>
      </c>
      <c r="AF34" t="s">
        <v>560</v>
      </c>
      <c r="AG34">
        <v>21</v>
      </c>
      <c r="AH34">
        <v>20.483276226727099</v>
      </c>
      <c r="AI34">
        <v>0.93105801030577895</v>
      </c>
      <c r="AJ34" t="s">
        <v>61</v>
      </c>
      <c r="AK34" t="s">
        <v>561</v>
      </c>
      <c r="AL34">
        <v>70</v>
      </c>
      <c r="AM34">
        <v>0</v>
      </c>
      <c r="AN34">
        <v>86</v>
      </c>
      <c r="AO34">
        <v>0</v>
      </c>
      <c r="AP34" t="s">
        <v>63</v>
      </c>
      <c r="AQ34" t="s">
        <v>63</v>
      </c>
    </row>
    <row r="35" spans="1:43" x14ac:dyDescent="0.2">
      <c r="A35">
        <v>10665</v>
      </c>
      <c r="B35" t="s">
        <v>562</v>
      </c>
      <c r="C35">
        <v>6.1</v>
      </c>
      <c r="D35">
        <v>2559</v>
      </c>
      <c r="E35" t="s">
        <v>44</v>
      </c>
      <c r="F35" s="1">
        <v>39597</v>
      </c>
      <c r="G35">
        <v>83051676</v>
      </c>
      <c r="H35">
        <v>86</v>
      </c>
      <c r="I35">
        <v>9000000</v>
      </c>
      <c r="J35" t="s">
        <v>563</v>
      </c>
      <c r="K35" t="s">
        <v>66</v>
      </c>
      <c r="L35" t="s">
        <v>562</v>
      </c>
      <c r="M35" t="s">
        <v>564</v>
      </c>
      <c r="N35">
        <v>5.3548</v>
      </c>
      <c r="O35" t="s">
        <v>565</v>
      </c>
      <c r="P35" t="s">
        <v>566</v>
      </c>
      <c r="Q35" t="s">
        <v>567</v>
      </c>
      <c r="R35" t="s">
        <v>71</v>
      </c>
      <c r="S35" t="s">
        <v>72</v>
      </c>
      <c r="T35" t="s">
        <v>568</v>
      </c>
      <c r="U35" t="s">
        <v>569</v>
      </c>
      <c r="V35" t="s">
        <v>570</v>
      </c>
      <c r="W35" t="s">
        <v>569</v>
      </c>
      <c r="X35" t="s">
        <v>571</v>
      </c>
      <c r="Y35" t="s">
        <v>572</v>
      </c>
      <c r="Z35">
        <v>6.1</v>
      </c>
      <c r="AA35">
        <v>155018</v>
      </c>
      <c r="AB35" t="s">
        <v>573</v>
      </c>
      <c r="AC35">
        <v>5</v>
      </c>
      <c r="AD35">
        <v>2008</v>
      </c>
      <c r="AE35">
        <v>22</v>
      </c>
      <c r="AF35" t="s">
        <v>574</v>
      </c>
      <c r="AG35">
        <v>29</v>
      </c>
      <c r="AH35">
        <v>18.234973586474698</v>
      </c>
      <c r="AI35">
        <v>0.60783245288249099</v>
      </c>
      <c r="AJ35" t="s">
        <v>61</v>
      </c>
      <c r="AK35" t="s">
        <v>575</v>
      </c>
      <c r="AL35">
        <v>42</v>
      </c>
      <c r="AM35">
        <v>2</v>
      </c>
      <c r="AN35">
        <v>51</v>
      </c>
      <c r="AO35">
        <v>0.04</v>
      </c>
      <c r="AP35" t="s">
        <v>63</v>
      </c>
      <c r="AQ35" t="s">
        <v>63</v>
      </c>
    </row>
    <row r="36" spans="1:43" x14ac:dyDescent="0.2">
      <c r="A36">
        <v>19486</v>
      </c>
      <c r="B36" t="s">
        <v>576</v>
      </c>
      <c r="C36">
        <v>7.202</v>
      </c>
      <c r="D36">
        <v>141</v>
      </c>
      <c r="E36" t="s">
        <v>44</v>
      </c>
      <c r="F36" s="1">
        <v>39599</v>
      </c>
      <c r="G36">
        <v>7200000</v>
      </c>
      <c r="H36">
        <v>120</v>
      </c>
      <c r="I36">
        <v>8500000</v>
      </c>
      <c r="J36" t="s">
        <v>577</v>
      </c>
      <c r="K36" t="s">
        <v>578</v>
      </c>
      <c r="L36" t="s">
        <v>579</v>
      </c>
      <c r="M36" t="s">
        <v>580</v>
      </c>
      <c r="N36">
        <v>4.351</v>
      </c>
      <c r="O36" t="s">
        <v>581</v>
      </c>
      <c r="P36" t="s">
        <v>582</v>
      </c>
      <c r="Q36" t="s">
        <v>583</v>
      </c>
      <c r="R36" t="s">
        <v>584</v>
      </c>
      <c r="S36" t="s">
        <v>585</v>
      </c>
      <c r="T36" t="s">
        <v>586</v>
      </c>
      <c r="U36" t="s">
        <v>587</v>
      </c>
      <c r="V36" t="s">
        <v>588</v>
      </c>
      <c r="W36" t="s">
        <v>587</v>
      </c>
      <c r="X36" t="s">
        <v>589</v>
      </c>
      <c r="Y36" t="s">
        <v>590</v>
      </c>
      <c r="Z36">
        <v>6.9</v>
      </c>
      <c r="AA36">
        <v>4401</v>
      </c>
      <c r="AB36" t="s">
        <v>591</v>
      </c>
      <c r="AC36">
        <v>5</v>
      </c>
      <c r="AD36">
        <v>2008</v>
      </c>
      <c r="AE36">
        <v>22</v>
      </c>
      <c r="AF36" t="s">
        <v>592</v>
      </c>
      <c r="AG36">
        <v>31</v>
      </c>
      <c r="AH36">
        <v>15.7895917228751</v>
      </c>
      <c r="AI36">
        <v>0.49342474133984798</v>
      </c>
      <c r="AJ36" t="s">
        <v>61</v>
      </c>
      <c r="AK36" t="s">
        <v>593</v>
      </c>
      <c r="AL36">
        <v>5</v>
      </c>
      <c r="AM36">
        <v>0</v>
      </c>
      <c r="AN36">
        <v>10</v>
      </c>
      <c r="AO36">
        <v>0</v>
      </c>
      <c r="AP36" t="s">
        <v>63</v>
      </c>
      <c r="AQ36" t="s">
        <v>63</v>
      </c>
    </row>
    <row r="37" spans="1:43" x14ac:dyDescent="0.2">
      <c r="A37">
        <v>9502</v>
      </c>
      <c r="B37" t="s">
        <v>594</v>
      </c>
      <c r="C37">
        <v>7.3079999999999998</v>
      </c>
      <c r="D37">
        <v>12186</v>
      </c>
      <c r="E37" t="s">
        <v>44</v>
      </c>
      <c r="F37" s="1">
        <v>39603</v>
      </c>
      <c r="G37">
        <v>632091832</v>
      </c>
      <c r="H37">
        <v>90</v>
      </c>
      <c r="I37">
        <v>130000000</v>
      </c>
      <c r="J37" t="s">
        <v>595</v>
      </c>
      <c r="K37" t="s">
        <v>66</v>
      </c>
      <c r="L37" t="s">
        <v>594</v>
      </c>
      <c r="M37" t="s">
        <v>596</v>
      </c>
      <c r="N37">
        <v>16.549099999999999</v>
      </c>
      <c r="O37" t="s">
        <v>597</v>
      </c>
      <c r="P37" t="s">
        <v>598</v>
      </c>
      <c r="Q37" t="s">
        <v>599</v>
      </c>
      <c r="R37" t="s">
        <v>71</v>
      </c>
      <c r="S37" t="s">
        <v>72</v>
      </c>
      <c r="T37" t="s">
        <v>600</v>
      </c>
      <c r="U37" t="s">
        <v>601</v>
      </c>
      <c r="V37" t="s">
        <v>602</v>
      </c>
      <c r="W37" t="s">
        <v>603</v>
      </c>
      <c r="X37" t="s">
        <v>604</v>
      </c>
      <c r="Y37" t="s">
        <v>605</v>
      </c>
      <c r="Z37">
        <v>7.6</v>
      </c>
      <c r="AA37">
        <v>564552</v>
      </c>
      <c r="AB37" t="s">
        <v>606</v>
      </c>
      <c r="AC37">
        <v>6</v>
      </c>
      <c r="AD37">
        <v>2008</v>
      </c>
      <c r="AE37">
        <v>23</v>
      </c>
      <c r="AF37" t="s">
        <v>607</v>
      </c>
      <c r="AG37">
        <v>35</v>
      </c>
      <c r="AH37">
        <v>20.264545246935</v>
      </c>
      <c r="AI37">
        <v>0.56290403463708505</v>
      </c>
      <c r="AJ37" t="s">
        <v>61</v>
      </c>
      <c r="AK37" t="s">
        <v>608</v>
      </c>
      <c r="AL37">
        <v>71</v>
      </c>
      <c r="AM37">
        <v>0</v>
      </c>
      <c r="AN37">
        <v>88</v>
      </c>
      <c r="AO37">
        <v>0</v>
      </c>
      <c r="AP37" t="s">
        <v>63</v>
      </c>
      <c r="AQ37" t="s">
        <v>63</v>
      </c>
    </row>
    <row r="38" spans="1:43" x14ac:dyDescent="0.2">
      <c r="A38">
        <v>10661</v>
      </c>
      <c r="B38" t="s">
        <v>609</v>
      </c>
      <c r="C38">
        <v>5.7</v>
      </c>
      <c r="D38">
        <v>3928</v>
      </c>
      <c r="E38" t="s">
        <v>44</v>
      </c>
      <c r="F38" s="1">
        <v>39604</v>
      </c>
      <c r="G38">
        <v>204313400</v>
      </c>
      <c r="H38">
        <v>113</v>
      </c>
      <c r="I38">
        <v>90000000</v>
      </c>
      <c r="J38" t="s">
        <v>610</v>
      </c>
      <c r="K38" t="s">
        <v>66</v>
      </c>
      <c r="L38" t="s">
        <v>609</v>
      </c>
      <c r="M38" t="s">
        <v>611</v>
      </c>
      <c r="N38">
        <v>5.1397000000000004</v>
      </c>
      <c r="O38" t="s">
        <v>612</v>
      </c>
      <c r="P38" t="s">
        <v>613</v>
      </c>
      <c r="Q38" t="s">
        <v>614</v>
      </c>
      <c r="R38" t="s">
        <v>71</v>
      </c>
      <c r="S38" t="s">
        <v>615</v>
      </c>
      <c r="T38" t="s">
        <v>616</v>
      </c>
      <c r="U38" t="s">
        <v>617</v>
      </c>
      <c r="V38" t="s">
        <v>618</v>
      </c>
      <c r="W38" t="s">
        <v>619</v>
      </c>
      <c r="X38" t="s">
        <v>620</v>
      </c>
      <c r="Y38" t="s">
        <v>463</v>
      </c>
      <c r="Z38">
        <v>5.6</v>
      </c>
      <c r="AA38">
        <v>224530</v>
      </c>
      <c r="AB38" t="s">
        <v>621</v>
      </c>
      <c r="AC38">
        <v>6</v>
      </c>
      <c r="AD38">
        <v>2008</v>
      </c>
      <c r="AE38">
        <v>23</v>
      </c>
      <c r="AF38" t="s">
        <v>622</v>
      </c>
      <c r="AG38">
        <v>36</v>
      </c>
      <c r="AH38">
        <v>19.135165652350199</v>
      </c>
      <c r="AI38">
        <v>0.517166639252709</v>
      </c>
      <c r="AJ38" t="s">
        <v>61</v>
      </c>
      <c r="AK38" t="s">
        <v>623</v>
      </c>
      <c r="AL38">
        <v>48</v>
      </c>
      <c r="AM38">
        <v>1</v>
      </c>
      <c r="AN38">
        <v>56</v>
      </c>
      <c r="AO38">
        <v>0.02</v>
      </c>
      <c r="AP38" t="s">
        <v>63</v>
      </c>
      <c r="AQ38" t="s">
        <v>63</v>
      </c>
    </row>
    <row r="39" spans="1:43" x14ac:dyDescent="0.2">
      <c r="A39">
        <v>13506</v>
      </c>
      <c r="B39" t="s">
        <v>624</v>
      </c>
      <c r="C39">
        <v>6.3</v>
      </c>
      <c r="D39">
        <v>154</v>
      </c>
      <c r="E39" t="s">
        <v>44</v>
      </c>
      <c r="F39" s="1">
        <v>39605</v>
      </c>
      <c r="G39">
        <v>38135878</v>
      </c>
      <c r="H39">
        <v>123</v>
      </c>
      <c r="I39">
        <v>2000000</v>
      </c>
      <c r="J39" t="s">
        <v>625</v>
      </c>
      <c r="K39" t="s">
        <v>626</v>
      </c>
      <c r="L39" t="s">
        <v>627</v>
      </c>
      <c r="M39" t="s">
        <v>628</v>
      </c>
      <c r="N39">
        <v>2.8772000000000002</v>
      </c>
      <c r="O39" t="s">
        <v>629</v>
      </c>
      <c r="P39" t="s">
        <v>630</v>
      </c>
      <c r="Q39" t="s">
        <v>631</v>
      </c>
      <c r="R39" t="s">
        <v>632</v>
      </c>
      <c r="S39" t="s">
        <v>633</v>
      </c>
      <c r="T39" t="s">
        <v>634</v>
      </c>
      <c r="U39" t="s">
        <v>635</v>
      </c>
      <c r="V39" t="s">
        <v>636</v>
      </c>
      <c r="W39" t="s">
        <v>637</v>
      </c>
      <c r="X39" t="s">
        <v>638</v>
      </c>
      <c r="Y39" t="s">
        <v>639</v>
      </c>
      <c r="Z39">
        <v>6.6</v>
      </c>
      <c r="AA39">
        <v>8939</v>
      </c>
      <c r="AB39" t="s">
        <v>640</v>
      </c>
      <c r="AC39">
        <v>6</v>
      </c>
      <c r="AD39">
        <v>2008</v>
      </c>
      <c r="AE39">
        <v>23</v>
      </c>
      <c r="AF39" t="s">
        <v>641</v>
      </c>
      <c r="AG39">
        <v>37</v>
      </c>
      <c r="AH39">
        <v>17.4566661030067</v>
      </c>
      <c r="AI39">
        <v>0.45938595007912397</v>
      </c>
      <c r="AJ39" t="s">
        <v>61</v>
      </c>
      <c r="AK39" t="s">
        <v>642</v>
      </c>
      <c r="AL39">
        <v>15</v>
      </c>
      <c r="AM39">
        <v>0</v>
      </c>
      <c r="AN39">
        <v>23</v>
      </c>
      <c r="AO39">
        <v>0</v>
      </c>
      <c r="AP39" t="s">
        <v>63</v>
      </c>
      <c r="AQ39" t="s">
        <v>63</v>
      </c>
    </row>
    <row r="40" spans="1:43" x14ac:dyDescent="0.2">
      <c r="A40">
        <v>14394</v>
      </c>
      <c r="B40" t="s">
        <v>643</v>
      </c>
      <c r="C40">
        <v>6.5</v>
      </c>
      <c r="D40">
        <v>42</v>
      </c>
      <c r="E40" t="s">
        <v>44</v>
      </c>
      <c r="F40" s="1">
        <v>39605</v>
      </c>
      <c r="G40">
        <v>8130000</v>
      </c>
      <c r="H40">
        <v>125</v>
      </c>
      <c r="I40">
        <v>820000</v>
      </c>
      <c r="J40" t="s">
        <v>644</v>
      </c>
      <c r="K40" t="s">
        <v>645</v>
      </c>
      <c r="L40" t="s">
        <v>646</v>
      </c>
      <c r="M40" t="s">
        <v>647</v>
      </c>
      <c r="N40">
        <v>2.9173</v>
      </c>
      <c r="O40" t="s">
        <v>648</v>
      </c>
      <c r="P40" t="s">
        <v>649</v>
      </c>
      <c r="Q40" t="s">
        <v>650</v>
      </c>
      <c r="R40" t="s">
        <v>651</v>
      </c>
      <c r="S40" t="s">
        <v>652</v>
      </c>
      <c r="T40" t="s">
        <v>653</v>
      </c>
      <c r="U40" t="s">
        <v>654</v>
      </c>
      <c r="V40" t="s">
        <v>655</v>
      </c>
      <c r="W40" t="s">
        <v>656</v>
      </c>
      <c r="X40" t="s">
        <v>657</v>
      </c>
      <c r="Y40" t="s">
        <v>658</v>
      </c>
      <c r="Z40">
        <v>6.7</v>
      </c>
      <c r="AA40">
        <v>8057</v>
      </c>
      <c r="AB40" t="s">
        <v>659</v>
      </c>
      <c r="AC40">
        <v>6</v>
      </c>
      <c r="AD40">
        <v>2008</v>
      </c>
      <c r="AE40">
        <v>23</v>
      </c>
      <c r="AF40" t="s">
        <v>660</v>
      </c>
      <c r="AG40">
        <v>37</v>
      </c>
      <c r="AH40">
        <v>15.911071604525199</v>
      </c>
      <c r="AI40">
        <v>0.41871241064539999</v>
      </c>
      <c r="AJ40" t="s">
        <v>61</v>
      </c>
      <c r="AK40" t="s">
        <v>661</v>
      </c>
      <c r="AL40">
        <v>7</v>
      </c>
      <c r="AM40">
        <v>0</v>
      </c>
      <c r="AN40">
        <v>7</v>
      </c>
      <c r="AO40">
        <v>0</v>
      </c>
      <c r="AP40" t="s">
        <v>63</v>
      </c>
      <c r="AQ40" t="s">
        <v>63</v>
      </c>
    </row>
    <row r="41" spans="1:43" x14ac:dyDescent="0.2">
      <c r="A41">
        <v>8645</v>
      </c>
      <c r="B41" t="s">
        <v>662</v>
      </c>
      <c r="C41">
        <v>5.3970000000000002</v>
      </c>
      <c r="D41">
        <v>3798</v>
      </c>
      <c r="E41" t="s">
        <v>44</v>
      </c>
      <c r="F41" s="1">
        <v>39610</v>
      </c>
      <c r="G41">
        <v>163403799</v>
      </c>
      <c r="H41">
        <v>90</v>
      </c>
      <c r="I41">
        <v>60000000</v>
      </c>
      <c r="J41" t="s">
        <v>663</v>
      </c>
      <c r="K41" t="s">
        <v>66</v>
      </c>
      <c r="L41" t="s">
        <v>662</v>
      </c>
      <c r="M41" t="s">
        <v>664</v>
      </c>
      <c r="N41">
        <v>7.0620000000000003</v>
      </c>
      <c r="O41" t="s">
        <v>665</v>
      </c>
      <c r="P41" t="s">
        <v>666</v>
      </c>
      <c r="Q41" t="s">
        <v>667</v>
      </c>
      <c r="R41" t="s">
        <v>668</v>
      </c>
      <c r="S41" t="s">
        <v>669</v>
      </c>
      <c r="T41" t="s">
        <v>670</v>
      </c>
      <c r="U41" t="s">
        <v>671</v>
      </c>
      <c r="V41" t="s">
        <v>672</v>
      </c>
      <c r="W41" t="s">
        <v>671</v>
      </c>
      <c r="X41" t="s">
        <v>673</v>
      </c>
      <c r="Y41" t="s">
        <v>674</v>
      </c>
      <c r="Z41">
        <v>5</v>
      </c>
      <c r="AA41">
        <v>224995</v>
      </c>
      <c r="AB41" t="s">
        <v>675</v>
      </c>
      <c r="AC41">
        <v>6</v>
      </c>
      <c r="AD41">
        <v>2008</v>
      </c>
      <c r="AE41">
        <v>24</v>
      </c>
      <c r="AF41" t="s">
        <v>676</v>
      </c>
      <c r="AG41">
        <v>42</v>
      </c>
      <c r="AH41">
        <v>18.911734995933699</v>
      </c>
      <c r="AI41">
        <v>0.43980779060310898</v>
      </c>
      <c r="AJ41" t="s">
        <v>61</v>
      </c>
      <c r="AK41" t="s">
        <v>677</v>
      </c>
      <c r="AL41">
        <v>52</v>
      </c>
      <c r="AM41">
        <v>0</v>
      </c>
      <c r="AN41">
        <v>61</v>
      </c>
      <c r="AO41">
        <v>0</v>
      </c>
      <c r="AP41" t="s">
        <v>63</v>
      </c>
      <c r="AQ41" t="s">
        <v>63</v>
      </c>
    </row>
    <row r="42" spans="1:43" x14ac:dyDescent="0.2">
      <c r="A42">
        <v>1724</v>
      </c>
      <c r="B42" t="s">
        <v>678</v>
      </c>
      <c r="C42">
        <v>6.2249999999999996</v>
      </c>
      <c r="D42">
        <v>12321</v>
      </c>
      <c r="E42" t="s">
        <v>44</v>
      </c>
      <c r="F42" s="1">
        <v>39611</v>
      </c>
      <c r="G42">
        <v>264770996</v>
      </c>
      <c r="H42">
        <v>114</v>
      </c>
      <c r="I42">
        <v>150000000</v>
      </c>
      <c r="J42" t="s">
        <v>679</v>
      </c>
      <c r="K42" t="s">
        <v>66</v>
      </c>
      <c r="L42" t="s">
        <v>678</v>
      </c>
      <c r="M42" t="s">
        <v>680</v>
      </c>
      <c r="N42">
        <v>8.9863999999999997</v>
      </c>
      <c r="O42" t="s">
        <v>681</v>
      </c>
      <c r="P42" t="s">
        <v>682</v>
      </c>
      <c r="Q42" t="s">
        <v>683</v>
      </c>
      <c r="R42" t="s">
        <v>71</v>
      </c>
      <c r="S42" t="s">
        <v>684</v>
      </c>
      <c r="T42" t="s">
        <v>685</v>
      </c>
      <c r="U42" t="s">
        <v>686</v>
      </c>
      <c r="V42" t="s">
        <v>687</v>
      </c>
      <c r="W42" t="s">
        <v>688</v>
      </c>
      <c r="X42" t="s">
        <v>689</v>
      </c>
      <c r="Y42" t="s">
        <v>690</v>
      </c>
      <c r="Z42">
        <v>6.6</v>
      </c>
      <c r="AA42">
        <v>554880</v>
      </c>
      <c r="AB42" t="s">
        <v>691</v>
      </c>
      <c r="AC42">
        <v>6</v>
      </c>
      <c r="AD42">
        <v>2008</v>
      </c>
      <c r="AE42">
        <v>24</v>
      </c>
      <c r="AF42" t="s">
        <v>692</v>
      </c>
      <c r="AG42">
        <v>43</v>
      </c>
      <c r="AH42">
        <v>19.394375848082799</v>
      </c>
      <c r="AI42">
        <v>0.44078126927461098</v>
      </c>
      <c r="AJ42" t="s">
        <v>61</v>
      </c>
      <c r="AK42" t="s">
        <v>693</v>
      </c>
      <c r="AL42">
        <v>64</v>
      </c>
      <c r="AM42">
        <v>1</v>
      </c>
      <c r="AN42">
        <v>73</v>
      </c>
      <c r="AO42">
        <v>0.01</v>
      </c>
      <c r="AP42" t="s">
        <v>63</v>
      </c>
      <c r="AQ42" t="s">
        <v>63</v>
      </c>
    </row>
    <row r="43" spans="1:43" x14ac:dyDescent="0.2">
      <c r="A43">
        <v>8885</v>
      </c>
      <c r="B43" t="s">
        <v>694</v>
      </c>
      <c r="C43">
        <v>7.7</v>
      </c>
      <c r="D43">
        <v>1018</v>
      </c>
      <c r="E43" t="s">
        <v>44</v>
      </c>
      <c r="F43" s="1">
        <v>39611</v>
      </c>
      <c r="G43">
        <v>11179372</v>
      </c>
      <c r="H43">
        <v>90</v>
      </c>
      <c r="I43">
        <v>1500000</v>
      </c>
      <c r="J43" t="s">
        <v>695</v>
      </c>
      <c r="K43" t="s">
        <v>696</v>
      </c>
      <c r="L43" t="s">
        <v>697</v>
      </c>
      <c r="M43" t="s">
        <v>698</v>
      </c>
      <c r="N43">
        <v>4.0117000000000003</v>
      </c>
      <c r="O43" t="s">
        <v>699</v>
      </c>
      <c r="P43" t="s">
        <v>700</v>
      </c>
      <c r="Q43" t="s">
        <v>701</v>
      </c>
      <c r="R43" t="s">
        <v>702</v>
      </c>
      <c r="S43" t="s">
        <v>703</v>
      </c>
      <c r="T43" t="s">
        <v>704</v>
      </c>
      <c r="U43" t="s">
        <v>705</v>
      </c>
      <c r="W43" t="s">
        <v>705</v>
      </c>
      <c r="X43" t="s">
        <v>706</v>
      </c>
      <c r="Y43" t="s">
        <v>707</v>
      </c>
      <c r="Z43">
        <v>8</v>
      </c>
      <c r="AA43">
        <v>62192</v>
      </c>
      <c r="AB43" t="s">
        <v>708</v>
      </c>
      <c r="AC43">
        <v>6</v>
      </c>
      <c r="AD43">
        <v>2008</v>
      </c>
      <c r="AE43">
        <v>24</v>
      </c>
      <c r="AF43" t="s">
        <v>709</v>
      </c>
      <c r="AG43">
        <v>43</v>
      </c>
      <c r="AH43">
        <v>16.229580941828701</v>
      </c>
      <c r="AI43">
        <v>0.368854112314289</v>
      </c>
      <c r="AJ43" t="s">
        <v>61</v>
      </c>
      <c r="AK43" t="s">
        <v>710</v>
      </c>
      <c r="AL43">
        <v>27</v>
      </c>
      <c r="AM43">
        <v>0</v>
      </c>
      <c r="AN43">
        <v>70</v>
      </c>
      <c r="AO43">
        <v>0</v>
      </c>
      <c r="AP43" t="s">
        <v>63</v>
      </c>
      <c r="AQ43" t="s">
        <v>63</v>
      </c>
    </row>
    <row r="44" spans="1:43" x14ac:dyDescent="0.2">
      <c r="A44">
        <v>9539</v>
      </c>
      <c r="B44" t="s">
        <v>711</v>
      </c>
      <c r="C44">
        <v>7.3</v>
      </c>
      <c r="D44">
        <v>2878</v>
      </c>
      <c r="E44" t="s">
        <v>44</v>
      </c>
      <c r="F44" s="1">
        <v>39611</v>
      </c>
      <c r="G44">
        <v>1100000</v>
      </c>
      <c r="H44">
        <v>99</v>
      </c>
      <c r="I44">
        <v>6500000</v>
      </c>
      <c r="J44" t="s">
        <v>712</v>
      </c>
      <c r="K44" t="s">
        <v>46</v>
      </c>
      <c r="L44" t="s">
        <v>711</v>
      </c>
      <c r="M44" t="s">
        <v>713</v>
      </c>
      <c r="N44">
        <v>23.639800000000001</v>
      </c>
      <c r="O44" t="s">
        <v>714</v>
      </c>
      <c r="P44" t="s">
        <v>715</v>
      </c>
      <c r="Q44" t="s">
        <v>716</v>
      </c>
      <c r="R44" t="s">
        <v>717</v>
      </c>
      <c r="S44" t="s">
        <v>53</v>
      </c>
      <c r="T44" t="s">
        <v>718</v>
      </c>
      <c r="U44" t="s">
        <v>719</v>
      </c>
      <c r="V44" t="s">
        <v>720</v>
      </c>
      <c r="W44" t="s">
        <v>719</v>
      </c>
      <c r="X44" t="s">
        <v>721</v>
      </c>
      <c r="Y44" t="s">
        <v>722</v>
      </c>
      <c r="Z44">
        <v>7</v>
      </c>
      <c r="AA44">
        <v>117172</v>
      </c>
      <c r="AB44" t="s">
        <v>723</v>
      </c>
      <c r="AC44">
        <v>6</v>
      </c>
      <c r="AD44">
        <v>2008</v>
      </c>
      <c r="AE44">
        <v>24</v>
      </c>
      <c r="AF44" t="s">
        <v>724</v>
      </c>
      <c r="AG44">
        <v>43</v>
      </c>
      <c r="AH44">
        <v>13.910821646859</v>
      </c>
      <c r="AI44">
        <v>0.316155037428615</v>
      </c>
      <c r="AJ44" t="s">
        <v>61</v>
      </c>
      <c r="AK44" t="s">
        <v>725</v>
      </c>
      <c r="AL44">
        <v>11</v>
      </c>
      <c r="AM44">
        <v>0</v>
      </c>
      <c r="AN44">
        <v>60</v>
      </c>
      <c r="AO44">
        <v>0</v>
      </c>
      <c r="AP44" t="s">
        <v>63</v>
      </c>
      <c r="AQ44" t="s">
        <v>63</v>
      </c>
    </row>
    <row r="45" spans="1:43" x14ac:dyDescent="0.2">
      <c r="A45" t="s">
        <v>726</v>
      </c>
      <c r="AI45">
        <f>SUBTOTAL(109,Table1[score])</f>
        <v>75.024070320189338</v>
      </c>
      <c r="AQ45">
        <f>SUBTOTAL(103,Table1[error])</f>
        <v>43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Iron_Man_attributes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2026-02-17T17:15:58Z</dcterms:created>
  <dcterms:modified xsi:type="dcterms:W3CDTF">2026-02-17T18:02:56Z</dcterms:modified>
</cp:coreProperties>
</file>