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1C3FF305-C253-554C-A9BB-CBD189A986C1}" xr6:coauthVersionLast="47" xr6:coauthVersionMax="47" xr10:uidLastSave="{00000000-0000-0000-0000-000000000000}"/>
  <bookViews>
    <workbookView xWindow="380" yWindow="80" windowWidth="28040" windowHeight="17180" xr2:uid="{9BB6FBA9-EFC6-5F4D-BB16-BEC9668103A6}"/>
  </bookViews>
  <sheets>
    <sheet name="The_Avengers_attribu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50" i="1" l="1"/>
  <c r="AQ50" i="1"/>
</calcChain>
</file>

<file path=xl/sharedStrings.xml><?xml version="1.0" encoding="utf-8"?>
<sst xmlns="http://schemas.openxmlformats.org/spreadsheetml/2006/main" count="1141" uniqueCount="798">
  <si>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</si>
  <si>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</si>
  <si>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</si>
  <si>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</si>
  <si>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</si>
  <si>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</si>
  <si>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</si>
  <si>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</si>
  <si>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</si>
  <si>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</si>
  <si>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</si>
  <si>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</si>
  <si>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</si>
  <si>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</si>
  <si>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</si>
  <si>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</si>
  <si>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</si>
  <si>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</si>
  <si>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</si>
  <si>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</si>
  <si>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</si>
  <si>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</si>
  <si>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</si>
  <si>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</si>
  <si>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</si>
  <si>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</si>
  <si>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</si>
  <si>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</si>
  <si>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</si>
  <si>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</si>
  <si>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</si>
  <si>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</si>
  <si>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</si>
  <si>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</si>
  <si>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</si>
  <si>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</si>
  <si>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</si>
  <si>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</si>
  <si>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</si>
  <si>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</si>
  <si>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</si>
  <si>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</si>
  <si>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</si>
  <si>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The Hunger Games</t>
  </si>
  <si>
    <t>Released</t>
  </si>
  <si>
    <t>tt1392170</t>
  </si>
  <si>
    <t>en</t>
  </si>
  <si>
    <t>In a dystopian society where the Capitol forces each district to send two young tributes to fight to the death in a televised spectacle, a girl volunteers to take her sister‚Äö√Ñ√¥s place, setting the stage for a struggle of survival and defiance.</t>
  </si>
  <si>
    <t>The world will be watching.</t>
  </si>
  <si>
    <t>Science Fiction, Adventure, Action, Thriller</t>
  </si>
  <si>
    <t>lionsgate, color force</t>
  </si>
  <si>
    <t>United States of America</t>
  </si>
  <si>
    <t>English</t>
  </si>
  <si>
    <t>Karan Kendrick, Phillip Troy Linger, Toby Jones, John Ross, Julie Ivey, Stanley Tucci, Ethan Jamieson, Sandino Moya-Smith, Donald Sutherland, Judd Lormand, Imanol Yepez-Frias, Kate Kneeland, Nelson Ascencio, Jeremy Marinas, Ian Nelson, Isabelle Fuhrman, Jack Quaid, Tim Taylor, Wes Bentley, Paula Malcomson, Amber Chaney, Rhoda Griffis, Jacqueline Emerson, Anthony Reynolds, Woody Harrelson, Kelly Lynn Reiter, Raiko Bowman, Kalia Prescott, Amandla Stenberg, Rachel Huggins, Leven Rambin, Steve Coulter, Lenny Kravitz, Liam Hemsworth, Mackenzie Lintz, Latarsha Rose, Annie Thurman, Brooke Bundy, Kimiko Gelman, Willow Shields, Jennifer Lawrence, Sharon Conley, Dakota Hood, Shane Bissell, Josh Hutcherson, Mark Meekins, Sandra Ellis Lafferty, Elizabeth Banks, Dwayne Boyd, Dayo Okeniyi, Alexander Ludwig</t>
  </si>
  <si>
    <t>Gary Ross</t>
  </si>
  <si>
    <t>Tom Stern</t>
  </si>
  <si>
    <t>Billy Ray, Gary Ross, Suzanne Collins</t>
  </si>
  <si>
    <t>Nina Jacobson, Suzanne Collins, Robin Bissell, Jon Kilik, Louise Rosner-Meyer</t>
  </si>
  <si>
    <t>James Newton Howard</t>
  </si>
  <si>
    <t>/yXCbOiVDCxO71zI7cuwBRXdftq8.jpg</t>
  </si>
  <si>
    <t>the hunger games</t>
  </si>
  <si>
    <t>the avengers</t>
  </si>
  <si>
    <t>los angeles, california (1), premiere (2), buenos aires (1), blank (71), deauville film festival (2), re-release (2)</t>
  </si>
  <si>
    <t>no</t>
  </si>
  <si>
    <t>The Pirates! In an Adventure with Scientists!</t>
  </si>
  <si>
    <t>tt1430626</t>
  </si>
  <si>
    <t>The enthusiastic Pirate Captain, along with his rag-tag crew, sets out to beat his bitter rivals. The chaotic adventure takes them from exotic shores to Victorian London, and from a haplessly smitten scientist to a diabolical queen.</t>
  </si>
  <si>
    <t>It's a plunderful life.</t>
  </si>
  <si>
    <t>Animation, Adventure, Family, Comedy</t>
  </si>
  <si>
    <t>aardman, columbia pictures, sony pictures animation</t>
  </si>
  <si>
    <t>United Kingdom</t>
  </si>
  <si>
    <t>Jeremy Piven, Peter Lord, Kayvan Novak, ‚àö√¢douard Baer, Ashley Jensen, David Tennant, Martin Freeman, Ben Whitehead, Sophie Jerrold, Brendan Gleeson, David Schaal, Tom Doggart, Imelda Staunton, David Schneider, Sophie Laughton, Salma Hayek Pinault, Hugh Grant, Brian Blessed, Mike Cooper, Lenny Henry, Russell Tovey</t>
  </si>
  <si>
    <t>Peter Lord</t>
  </si>
  <si>
    <t>Mike Smith, Robert Stevenhagen, Jean-Philippe Vine, Jean-Paul Vermeulen, Jay Clarke, Andy Janes, Sharon Smith, Gideon Defoe, David Vinicombe, Ashley Boddy, Kris Pearn, Paul Bolger</t>
  </si>
  <si>
    <t>Julie Lockhart, David Sproxton, Peter Lord, Carla Shelley</t>
  </si>
  <si>
    <t>Theodore Shapiro</t>
  </si>
  <si>
    <t>/bkLeXPDP6sramrTiF5W7TzUl4t0.jpg</t>
  </si>
  <si>
    <t>the pirates! in an adventure with scientists!</t>
  </si>
  <si>
    <t>dvd premiere (1), blank (48)</t>
  </si>
  <si>
    <t>21 Jump Street</t>
  </si>
  <si>
    <t>tt1232829</t>
  </si>
  <si>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</si>
  <si>
    <t>The only thing getting blown tonight is their cover.</t>
  </si>
  <si>
    <t>Action, Comedy, Crime</t>
  </si>
  <si>
    <t>columbia pictures, relativity media, original film, metro-goldwyn-mayer, stephen j. cannell productions, sjc studios</t>
  </si>
  <si>
    <t>Charles Ferrara, Johnny Simmons, Brett Lapeyrouse, Peter Epstein, Turner Crumbley, Andrea Madison, D.J. Mills, Geraldine Singer, Jake Johnson, Tony Longo, Nick Offerman, Joe Chrest, Joe Nin Williams, Luis Da Silva, Jr., Holly Robinson Peete, Lindsey Broad, Chanel Celaya, Johnny Pemberton, Dave Franco, Dakota Johnson, Rye Rye, Anthony Molinari, Chad Hessler, Jonah Hill, Courtney Jarrell, Melissa Cordero, Beau DeLatte, Joshua Nelms, Caroline Aaron, Kevin Michael Murphy, Mark Adams, Johnny Depp, Brie Larson, Chris Parnell, Ellie Kemper, Spencer Boldman, Haley Farris, Justin Hires, Victor Paguia, Dominic 'Taz' Alexander, Mike Seal, Stanley Wong, Peter DeLuise, Ice Cube, Andrea Frankle, Tiffney Wagoner, Channing Tatum, Carol Sutton, Candi Brooks, Brittney Alger, Keith Kurtz, Brian H. Rossitto, DeRay Davis, Valerie Tian, Randal Reeder, Dax Flame, Jaren Mitchell, Rob Riggle, Hristo Birbochukov</t>
  </si>
  <si>
    <t>Christopher Miller, Phil Lord</t>
  </si>
  <si>
    <t>Barry Peterson</t>
  </si>
  <si>
    <t>Patrick Hasburgh, Jonah Hill, Michael Bacall, Stephen J. Cannell</t>
  </si>
  <si>
    <t>Ezra Swerdlow, Channing Tatum, Tania Landau, Stephen J. Cannell, Jonah Hill, Neal H. Moritz</t>
  </si>
  <si>
    <t>Mark Mothersbaugh</t>
  </si>
  <si>
    <t>/8v3Sqv9UcIUC4ebmpKWROqPBINZ.jpg</t>
  </si>
  <si>
    <t>21 jump street</t>
  </si>
  <si>
    <t>south by southwest film festival (1), blank (83), german speaking region (1), blu-ray premiere (1), dvd premiere (3), shanghai international film festival (2)</t>
  </si>
  <si>
    <t>Red Dawn</t>
  </si>
  <si>
    <t>tt1234719</t>
  </si>
  <si>
    <t>A city in Washington state awakens to the surreal sight of foreign paratroopers dropping from the sky‚Äö√Ñ√Æshockingly,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</si>
  <si>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Welcome to the Home of the Brave</t>
  </si>
  <si>
    <t>Action, Thriller</t>
  </si>
  <si>
    <t>contrafilm, united artists</t>
  </si>
  <si>
    <t>English, √å√Ø√∫√ç¬µ‚â†√è√±¬•/√è¬∞‚àû√è√ë‚Ä†√é√ü√™</t>
  </si>
  <si>
    <t>Spencer Strong Smith, Kenneth Choi, Noah Smith, Sam Looc, Amanda Bright, Robert Laenen, Matthew Yang King, Fernando Chien, Rusty Mewha, Dwight Sora, Alyssa Diaz, Brett Cullen, Dan Lewis, Choua Kue, Bernadette Balagtas, Stephen Oyoung, Vincent Rogo Angelini, Jeffrey Dean Morgan, Julian Alcaraz, Boyuen, Linda Boston, Connor Cruise, Doug Kolbicz, Misty Mills, JB Blanc, Matt Gerald, Pak Ho-Sung, Jacquelyn Evola, Jacqueline Forton, Isabel Lucas, Edwin Hodge, Michael Beach, Bill Lumbert, Simon Rhee, Steve Lenz, Chameria Law, Lucas Kerr, Mike Ancrile, Ron Causey, Chris Hemsworth, Josh Hutcherson, Josh Peck, Adrianne Palicki, Ron Yuan, Mark Schlereth, Arnold Agee, Steven Hauptman, Steven Chan, Nicholas Yu, Cindy Chu, Chris Kotcher, Zachary Schafer, Will Yun Lee, Michael A. Knight, Courtney Parkinson, Brian D. Thibault, P.J. Edwards, Richard 'Rick' Bobier</t>
  </si>
  <si>
    <t>Dan Bradley</t>
  </si>
  <si>
    <t>Mitchell Amundsen</t>
  </si>
  <si>
    <t>Carl Ellsworth, Jeremy Passmore</t>
  </si>
  <si>
    <t>Kevin Halloran, Vincent Newman, Beau Flynn, Tripp Vinson</t>
  </si>
  <si>
    <t>Ramin Djawadi</t>
  </si>
  <si>
    <t>/aHdxKDX36NOEYE2NyAyP7ThuAcm.jpg</t>
  </si>
  <si>
    <t>red dawn</t>
  </si>
  <si>
    <t>austin fantastic fest (1), blank (26), internet (2), blu-ray and dvd (1), dvd and blu-ray premiere (1), dvd premiere (4), blu-ray release (1), tv premiere (2), tv release (1)</t>
  </si>
  <si>
    <t>Mirror Mirror</t>
  </si>
  <si>
    <t>tt1667353</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</si>
  <si>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</si>
  <si>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The Snow White legend comes alive.</t>
  </si>
  <si>
    <t>Adventure, Comedy, Family, Fantasy</t>
  </si>
  <si>
    <t>misher films, relativity media, yucaipa films, goldmann pictures, rat entertainment, misha films</t>
  </si>
  <si>
    <t>Jordan Prentice, Andr‚àö¬© Lanthier, Stephanie Moseley, Lisa Noto, Nadia Verrucci, Sebastian Saraceno, M‚àö¬©lodie Simard, Nicholas Guest, Joe Gnoffo, William Calvert, Melantha Blackthorne, Alex Ivanovici, Eric Davis, Michael Lerner, Lisa Roberts Gillan, Arthur Holden, Armie Hammer, Nathan Lane, Richard Jutras, Bonnie Bentley, Helene Robbie, Kwasi Songui, Mare Winningham, Tammy Nera, Vicky Lambert, Kimberly-Sue Murray, Louise Hradsky, Julia Roberts, Robert Emms, Dawn Ford, Martin Klebba, Jason Cavalier, Frank Welker, Ronald Lee Clark, Lily Collins, Danny Woodburn, Mark Povinelli, Sean Bean, Finder's Key, Adam Butcher, Kathleen Fee</t>
  </si>
  <si>
    <t>Tarsem Singh</t>
  </si>
  <si>
    <t>Brendan Galvin</t>
  </si>
  <si>
    <t>Jason Keller, Marc Klein, Jacob Grimm, Wilhelm Grimm, Melisa Wallack</t>
  </si>
  <si>
    <t>Jamie Marshall, Kevin Misher, Ryan Kavanaugh, Ajit Singh, Jason Colbeck, Josh Pate, Ken Halsband, Robbie Brenner, Andy Berman, Brett Ratner, Tucker Tooley, Tommy Turtle, Nico Soultanakis, John Cheng, Bernie Goldmann, Jeff G. Waxman</t>
  </si>
  <si>
    <t>Alan Menken</t>
  </si>
  <si>
    <t>/pys6zIJN8Sxlk2Ss2GZuYuXPbtw.jpg</t>
  </si>
  <si>
    <t>mirror mirror</t>
  </si>
  <si>
    <t>blank (65), dvd premiere (1)</t>
  </si>
  <si>
    <t>Get the Gringo</t>
  </si>
  <si>
    <t>tt1567609</t>
  </si>
  <si>
    <t>A career criminal nabbed by Mexican authorities is placed in a tough prison where he learns to survive with the help of a 9-year-old boy.</t>
  </si>
  <si>
    <t>The odds are against him. So is everyone else.</t>
  </si>
  <si>
    <t>Action, Thriller, Crime, Drama</t>
  </si>
  <si>
    <t>icon productions, redrum</t>
  </si>
  <si>
    <t>United States of America, Mexico</t>
  </si>
  <si>
    <t>English, Espa‚àö¬±ol</t>
  </si>
  <si>
    <t>Dean Norris, Denise Gossett, Patrick Bauchau, Gustavo S‚àö¬∞nchez Parra, Dagoberto Gama, Peter Gerety, Mayra S‚àö¬©rbulo, Mario Zaragoza, Clayton J. Barber, Scott Cohen, Bob Gunton, Tom Schanley, Regina Orozco, Suzanne Cryer, Stephanie Lemelin, I‚àö¬±aki Goci, Mel Gibson, Roberto Sosa, Blue Demon Jr., Daniel Gim‚àö¬©nez Cacho, Tenoch Huerta Mej‚àö‚â†a, Paloma Arredondo, Guillermo R‚àö‚â†os, ‚àö√Öngeles Cruz, Peter Stormare, Jace Jeanes, Gerardo Taracena, Manuel Dom‚àö‚â†nguez, Jes‚àö‚à´s Ochoa, Kevin Hernandez, Zak Knutson, Dolores Heredia, J.J. Perry, Fernando Becerril</t>
  </si>
  <si>
    <t>Adrian Gr‚àö¬∫nberg</t>
  </si>
  <si>
    <t>Beno‚àö√Üt Debie</t>
  </si>
  <si>
    <t>Mel Gibson, Stacy Perskie, Adrian Gr‚àö¬∫nberg</t>
  </si>
  <si>
    <t>Len Blavatnik, Vicki Christianson, Mel Gibson, Stacy Perskie, Bruce Davey</t>
  </si>
  <si>
    <t>Antonio Pinto</t>
  </si>
  <si>
    <t>/y4IACuEUGkygp2QsZPUEMY5Tlft.jpg</t>
  </si>
  <si>
    <t>get the gringo</t>
  </si>
  <si>
    <t>blank (50), video on demand (1), buenos aires (1), premiere (1), dvd and blu-ray premiere (1), internet (2), dvd premiere (1)</t>
  </si>
  <si>
    <t>Jeff, Who Lives at Home</t>
  </si>
  <si>
    <t>tt1588334</t>
  </si>
  <si>
    <t>Dispatched from his basement room on an errand for his mother, slacker Jeff might discover his destiny (finally) when he spends the day with his brother as he tracks his possibly adulterous wife.</t>
  </si>
  <si>
    <t>The first step to finding your destiny is leaving your mother's basement.</t>
  </si>
  <si>
    <t>Drama, Comedy</t>
  </si>
  <si>
    <t>indian paintbrush, paramount vantage, right of way films, duplass brothers productions, mr. mudd</t>
  </si>
  <si>
    <t>Robert Larriviere, Geraldine Glenn, Ernest James, Raion Hill, Eddie Matthews, Tim J. Smith, Katie Aselton, Tammi Arender, Steve Zissis, Joe Chrest, Laurie Lee, Savanna Kinchen, Wally Crowder, Rae Dawn Chong, J.D. Evermore, John Neisler, Rahsaana Ison, Zac Cino, Lee Nguyen, Carol Jean Wells, Lauren Rae Sullivan, Benjamin Brant Bickham, Deneen Tyler, Randall Kamm, Joy Kate Lawson, Ian Hoch, Scotty Whitehurst, Ed Helms, David Kency, Jennifer Lafleur, Lisa Mackel Smith, Matt Malloy, Kassidy Ison, Jason Segel, Scheryl W Brown, Cindy Williamson, Judy Greer, Lance E. Nichols, Jesse Moore, Evan Ross, Carol Sutton, Susan Sarandon</t>
  </si>
  <si>
    <t>Mark Duplass, Jay Duplass</t>
  </si>
  <si>
    <t>Jas Shelton</t>
  </si>
  <si>
    <t>Jay Duplass, Helen Estabrook, Steven M. Rales, Mark Duplass, Jason Reitman, Lianne Halfon, Russell Smith</t>
  </si>
  <si>
    <t>Michael Andrews</t>
  </si>
  <si>
    <t>/eh8KzVUzOeZES67FPjO8NktLtY7.jpg</t>
  </si>
  <si>
    <t>jeff, who lives at home</t>
  </si>
  <si>
    <t>toronto international film festival (1), austin film festival (1), limited (2), blank (5), karlovy vary international film festival (1), dvd premiere (6), american film festival (1), tv premiere (2)</t>
  </si>
  <si>
    <t>The Raid</t>
  </si>
  <si>
    <t>tt1899353</t>
  </si>
  <si>
    <t>Serbuan Maut</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</si>
  <si>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</si>
  <si>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1 Ruthless Crime Lord, 20 Elite Cops, 30 Floors of Hell.</t>
  </si>
  <si>
    <t>Action, Thriller, Crime</t>
  </si>
  <si>
    <t>celluloid dreams, pt. merantau films, xyz films</t>
  </si>
  <si>
    <t>Indonesia, France, United States of America</t>
  </si>
  <si>
    <t>Bahasa indonesia</t>
  </si>
  <si>
    <t>A. Amarudin, Yayan Ruhian, Yandi Sutisna, R. Iman Aji, Eka Aprilyana, Ubay Dillah, Wijanarko, Henriza Tamara, Rahmad Idayad, Emanuel Y. Ceufin, Hekmadiah, Rico, Udeh Nans, Ade Sudiarto, Eka 'Piranha' Rahmadia, Fachrudin Midun, Victoria, Gregorius Ludony, Very Tri Yulisman, Dovan, Ray Sahetapy, Dafa Sikumbang, Dedy Djunaedi, Danang, Adhi Permana, Dominggus Uskono, Novi Rahmat Hidayat, Hartono Tejokusumo, Sutarso, Ibnu Anas, Tegar Satrya, Joe Taslim, Eko Kurnianto, Sofyan Alop, Rachmat Maulana Fajar, Wempi Stanly Renyaan, Ardi MG., Taufik Arrahman, Setiarno Tole, Halim Mubarroq, Fiqih Hardana Yuanza, Antonio Dosantos, Andry Ganda Wijaya, Iwan Hariyandi, Achmad Supriatno, Muhammadu Dikko Yusufu, Mardiyono Sulaiman, Machris Julian Iskandar, Aji Muslim, Johanes Tuname, Wawi Sobari, Tuhen, Hanggi Maisya, Muhammad Abduh Al Mustofa, Rully Santoso, Mulyadi Marlon, Safaringga, Adilof Firdaus, Fikha Effendi, Sunarto, Wawan, A. Ariyanto, Hengky Maukar, Pierre Gruno, Engelius Rumbindi, Bastian Riffanie, Dedi Supriadi, Julfajri Hidayat, Sutarno, Iang Darmawan, Zaenal Arifin, Nur Wahyu Santosa, Muhammad Irvan, Achmad Basuni, Azri Abon, Dedy Irawan, Ardiansyah Putra, Aloysius Pien, Acong Susanto B. Sugiono, M. Rizal, M. Aslam, Yusuf Opilus, Saat Arrohim, Rendra, Saifan Nur, Elvin, Dedy Murphy Avivu, Ananda George, Adi Nurahman, Haikun, Abdul Majid, Kemoks Alfarez, Sahlianto, Imam Dharmawan Santoso, Verdi Solaiman, Godfred Orindeod, Ali Nurkoto, Suharyanto Priyoaji, Muhammad Abdillah, Indra Mulyana, Herry Karmus, Aji Setianto, Sandi Suandi, Henky Solaiman, Iko Uwais, Ireng Sutarno, Ahmad Syarifudin, Donny Alamsyah, Acip Sumardi, Umi Kalsum, Machtrein Muchram, Jhon Hendri, Ahmad Ramadhan Alrasyid, Abraham Joshua B. Sitompul, Abi Cancer, Aliusman, Muhammad Yazid, Mus Danang Danar Dono, Muhammad Nimin, Melkias Ronald Torobi</t>
  </si>
  <si>
    <t>Gareth Evans</t>
  </si>
  <si>
    <t>Dimas Imam Subhono, Matt Flannery</t>
  </si>
  <si>
    <t>Nick Spicer, Rangga Maya Barack-Evans, Aram Tertzakian, Nathaniel Bolotin, Irwan D. Musry, Todd Brown, Ario Sagantoro</t>
  </si>
  <si>
    <t>Mike Shinoda, Aria Prayogi, Fajar Yuskemal, Joseph Trapanese</t>
  </si>
  <si>
    <t>/Abnm1Ws3JH0ReCfEhLMPwPcMcGO.jpg</t>
  </si>
  <si>
    <t>the raid</t>
  </si>
  <si>
    <t>toronto international film festival (1), stockholm international film festival (1), indonesia international fantastic film festival (1), torino film festival (1), sundance film festival (1), internet (3), the jameson dublin international film festival (1), deauville asian film festival (1), blank (30), new directors/new films (1), toronto (1), limited (1), beaune film festival (1), lyon festival hallucinations collectives (1), festival mauvais genre (1), video premiere (1), golden horse fantastic film festival (1), night visions international film festival (1), imagine film festival (1), karlovy vary international film festival (1), greek film archive (1), copenhagen (1), dvd premiere (5), motelx - lisbon international horror film festival (1), pop cinema (1), fanter film festival (1), beijing international film festival (1), five flavours asian film festival (1), barcelona (1), subtitled version (1), 35 mm. (1), event release (1), re-release (1), fantasmagor√≠a - festival de cine fant√°stico y de terror de medell√≠n (1)</t>
  </si>
  <si>
    <t>Wrath of the Titans</t>
  </si>
  <si>
    <t>tt1646987</t>
  </si>
  <si>
    <t>Perseus tries to live a quieter life as a village fisherman while ‚Äö√Ñ√¨ dangerously weakened by humanity's lack of devotion ‚Äö√Ñ√¨ the gods are losing control of the long-imprisoned Titans and their ferocious leader, Kronos.</t>
  </si>
  <si>
    <t>Feel the Wrath.</t>
  </si>
  <si>
    <t>Fantasy, Adventure, Action</t>
  </si>
  <si>
    <t>thunder road, legendary pictures, cott productions, furia de titanes ii, a.i.e., warner bros. pictures</t>
  </si>
  <si>
    <t>Spain, United States of America</t>
  </si>
  <si>
    <t>Juan Reyes, Sin‚àö¬©ad Cusack, Jorge Guimer‚àö¬∞, Danny Huston, Liam Neeson, Alejandro Naranjo, George Blagden, Lily James, Asier Macazaga, Toby Kebbell, Rosamund Pike, Ralph Fiennes, Spencer Wilding, Killian Burke, Caoilfhionn Dunne, John Bell, Freddy Drabble, Daniel Galindo Rojas, JD Roth-Round, Kathryn Carpenter, Sam Worthington, Matt Milne, Alastair Cording, Edgar Ram‚àö‚â†rez, Martin Bayfield, Birkett Turton, Paul Warren, Bill Nighy, Lamberto Guerra</t>
  </si>
  <si>
    <t>Jonathan Liebesman</t>
  </si>
  <si>
    <t>Ben Davis</t>
  </si>
  <si>
    <t>Beverley Cross, David Leslie Johnson-McGoldrick, Dan Mazeau, Greg Berlanti</t>
  </si>
  <si>
    <t>Basil Iwanyk, Thomas Tull, Louis Leterrier, Callum McDougall, Polly Johnsen, Jon Jashni, Kevin De La Noy</t>
  </si>
  <si>
    <t>Javier Navarrete</t>
  </si>
  <si>
    <t>/b9n2R3xZWQ8MVZgndQoV34stS0h.jpg</t>
  </si>
  <si>
    <t>wrath of the titans</t>
  </si>
  <si>
    <t>buenos aires (1), premiere (1), blank (55), blu-ray release (1), dvd premiere (1), tv premiere (1)</t>
  </si>
  <si>
    <t>Dark Tide</t>
  </si>
  <si>
    <t>tt1507563</t>
  </si>
  <si>
    <t>A traumatized shark expert must battle her own fears to lead a thrill-seeking businessman on a dive into a dangerous section of water known as "Shark Alley."</t>
  </si>
  <si>
    <t>In Shark Alley, courage runs deep.</t>
  </si>
  <si>
    <t>Thriller, Adventure, Drama</t>
  </si>
  <si>
    <t>social capital, lipsync productions, alliance cinema, magnet media group, magnet media productions, mirabelle pictures, cinedigm, procinvest sas, film afrika</t>
  </si>
  <si>
    <t>South Africa, United States of America</t>
  </si>
  <si>
    <t>Luke Tyler, Wayne Harrison, Mark Elderkin, Henrik Vos, Ralph Brown, Olivier Martinez, Halle Berry, Thoko Ntshinga, Sizwe Msutu, Judith Kronenberg-Sarembock, Josef du Plessis</t>
  </si>
  <si>
    <t>John Stockwell</t>
  </si>
  <si>
    <t>Jean-Fran‚àö√üois Hensgens</t>
  </si>
  <si>
    <t>Ronnie Christensen, Amy Sorlie</t>
  </si>
  <si>
    <t>Francesco Di Silvio, Celine Rattray, Jeff Steele, Philippe Chausse, Norman Merry, Sukee Chew, Martin Shore, John Michaels, Jeanette B. Milio, Ali Cook, Jeanette Buerling-Milio, Christopher Tuffin, Maggie Monteith</t>
  </si>
  <si>
    <t>Mark Sayfritz</t>
  </si>
  <si>
    <t>/gx56ZanaWd4pG930Z44eDLvnQ8N.jpg</t>
  </si>
  <si>
    <t>dark tide</t>
  </si>
  <si>
    <t>video on demand (1), limited (2), blank (13), dvd and blu-ray premiere (3), dvd premiere (6), internet (2)</t>
  </si>
  <si>
    <t>Sinister</t>
  </si>
  <si>
    <t>tt1922777</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</si>
  <si>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</si>
  <si>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Once you see him, nothing can save you.</t>
  </si>
  <si>
    <t>Horror, Thriller, Mystery</t>
  </si>
  <si>
    <t>automatik entertainment, blumhouse productions, alliance films, summit entertainment</t>
  </si>
  <si>
    <t>Canada, United States of America</t>
  </si>
  <si>
    <t xml:space="preserve">English, Portugu‚àö‚Ñ¢s, Fran‚àö√üais, </t>
  </si>
  <si>
    <t>Nicholas King, Michael Hall D'Addario, Juliet Rylance, Danielle Kotch, Tavis Smiley, Rachel Konstantin, Clare Foley, Blake Mizrahi, Victoria Leigh, Vincent D'Onofrio, Fred Thompson, James Ransone, Chester the Chihuahua, Ethan Hawke, Cameron Ocasio, Ethan Haberfield</t>
  </si>
  <si>
    <t>Scott Derrickson</t>
  </si>
  <si>
    <t>Christopher Norr</t>
  </si>
  <si>
    <t>C. Robert Cargill, Scott Derrickson</t>
  </si>
  <si>
    <t>Charles Layton, Brian Kavanaugh-Jones, Jason Blum, Scott Derrickson</t>
  </si>
  <si>
    <t>Christopher Young</t>
  </si>
  <si>
    <t>/nzx10sca3arCeYBAomHan4Q6wa1.jpg</t>
  </si>
  <si>
    <t>sinister</t>
  </si>
  <si>
    <t>south by southwest film festival (1), austin fantastic fest (1), grimmfest international festival of fantastic film (1), blank (51), samain du cinema fantastique (1), stockholm international film festival (1), dvd premiere (3), blu-ray release (2), internet (1)</t>
  </si>
  <si>
    <t>A Royal Affair</t>
  </si>
  <si>
    <t>tt1276419</t>
  </si>
  <si>
    <t>da</t>
  </si>
  <si>
    <t>En kongelig aff‚àö¬∂re</t>
  </si>
  <si>
    <t>A young queen falls in love with her physician, and they start a revolution that changes their nation forever.</t>
  </si>
  <si>
    <t>Their love affair would divide a nation.</t>
  </si>
  <si>
    <t>Drama, History, Romance</t>
  </si>
  <si>
    <t>sirena film, zentropa entertainments, dr, svt, film i v‚àö¬ßst, den vestdanske filmpulje</t>
  </si>
  <si>
    <t>Czech Republic, Denmark, Germany, Sweden</t>
  </si>
  <si>
    <t>Deutsch, Dansk, English, Fran‚àö√üais</t>
  </si>
  <si>
    <t>Karin R‚àö‚àèrbech, Ivan Vodochodsk‚àöŒ©, Al‚âà√¶b∆í√µta Jenick‚àö¬∞, Luk‚àö¬∞‚âà¬∞ Kr‚àö¬∞l, Frederik Christian Johansen, Thomas W. Gabrielsson, Julia Wentzel Olsen, Zinnini Elkington, Mads Mikkelsen, S‚àö‚àèren Spanning, Jakub Albrecht, Alicia Vikander, Harriet Walter, Laura Bro, Tereza Terberov‚àö¬∞, William J‚àö‚àèhnk Nielsen, Kristian Fjord, Mikkel Boe F‚àö‚àèlsgaard, Klaus Tange, Petr Jani‚âà¬∞, Eyob Nielsen, David Dencik, Cyron Melville, S‚àö‚àèren Malling, Eva Sitta, Ivan G'Vera, Nikol Kouklov‚àö¬∞, Jacob Ulrik Lohmann, Rosalinde Mynster, Frank Rub‚àö¬∂k, Anna Stiborov‚àö¬∞, Morten Holst, Michaela Hork‚àö¬∞, Bent Mejding, Daniel Bambas, Peter Varga, Trine Dyrholm, Karel Poli‚âà¬∞ensk‚àöŒ©, Nora Rajnochov‚àö¬∞, John Martinus, Josefine H‚àö‚àèjbjerg Bitsch, Jan Krafka</t>
  </si>
  <si>
    <t>Nikolaj Arcel</t>
  </si>
  <si>
    <t>Rasmus Videb‚àö¬∂k</t>
  </si>
  <si>
    <t>Bodil Steensen-Leth, Nikolaj Arcel, Rasmus Heisterberg</t>
  </si>
  <si>
    <t>Louise Vesth, Lars von Trier, Meta Louise Foldager S‚àö‚àèrensen, Peter Aalb‚àö¬∂k Jensen, Sisse Graum J‚àö‚àèrgensen, Peter Garde</t>
  </si>
  <si>
    <t>Cyrille Aufort, Gabriel Yared</t>
  </si>
  <si>
    <t>/AafVGIirBlCw8Whb4DSPSLX9nGW.jpg</t>
  </si>
  <si>
    <t>a royal affair</t>
  </si>
  <si>
    <t>berlin international film festival (1), premiere (1), blank (38), days of european film (1), cabourg film festival (1), film and art festival two riversides (1), limited (2), telluride film festival (1), toronto international film festival (1), hamptons international film festival (1), s√£o paulo international film festival (1), arras film festival (1), sarlat film festival (1), palm springs international film festival (1), santa barbara international film festival (1), eken√§s film fest (1), skopje film festival (1), mandaluyong (1), cine europa film festival (1), tv premiere (1), danish film weeks (1), reyjkavik international film festival (1)</t>
  </si>
  <si>
    <t>The Courier</t>
  </si>
  <si>
    <t>tt0995845</t>
  </si>
  <si>
    <t>A shady FBI agent recruits a courier to deliver a mysterious package to a vengeful master criminal who has recently resurfaced with a diabolical plan.</t>
  </si>
  <si>
    <t>If you're looking for a fight... he'll deliver</t>
  </si>
  <si>
    <t>Action, Crime</t>
  </si>
  <si>
    <t>films in motion</t>
  </si>
  <si>
    <t>David Jensen, Alec Rayme, Lance J. Guidry, Jacob Ryan Dupree, Raymond Blanchard, Ajla Hod‚âà√¶i∆í√°, Jeffrey Dean Morgan, Shay Diggs, Harlee DeLuca, Isabella Anais Hewitt, Caleb Michaelson, Randal Reeder, Sean Paul Braud, Anne-Marie Mueschke, Danny Cosmo, Tracy Miller, Felder Charbonnet, Dakota Civello, Ashleigh Martin, Clyde Jones, Mark Margolis, Annalaina Marks, Til Schweiger, Josie Ho, Michael Arata, Tom Sicola, Andrea Frankle, Candi Brooks, Teri Wyble, Craig Leydecker, Olga Wilhelmine, John Gabriel Rodriquez, Lily Solange Hewitt, Alice Ford, Lili Taylor, Mickey Rourke, Joe Williams, Mark Kubr, John McConnell, Shima Ghamari, Miguel Ferrer, Paula Du Gelly, Tom Proctor</t>
  </si>
  <si>
    <t>Hany Abu-Assad</t>
  </si>
  <si>
    <t>Antonio Calvache</t>
  </si>
  <si>
    <t>Pete Dris, Brannon Coombs</t>
  </si>
  <si>
    <t>John Calhoun, Patrick Calhoun, Jason Hewitt, Ryan Gilbert, Andrew Ooi, RC Everbeck, Gary Hamilton, Jeffrey Dean Morgan, Til Schweiger, Michael Arata, Conroy Chan Chi-Chung, Stephen Roberts, Mike Gabrawy, Todd R. Slack, Will French, Carsten H.W. Lorenz, Dale Poniewaz, Victor Syrmis, Tang Wai-But, Avram Butch Kaplan, Jeffrey Kranzdorf</t>
  </si>
  <si>
    <t>Nima Fakhrara</t>
  </si>
  <si>
    <t>/ie2CLC0GC9mHL4rS8ADpX8uINIg.jpg</t>
  </si>
  <si>
    <t>the courier</t>
  </si>
  <si>
    <t>dvd premiere (5), blank (2), dvd and blu-ray premiere (2), tv release (1)</t>
  </si>
  <si>
    <t>[REC]¬¨‚â• Genesis</t>
  </si>
  <si>
    <t>tt1649444</t>
  </si>
  <si>
    <t>es</t>
  </si>
  <si>
    <t>[REC]¬¨‚â• G‚àö¬©nesis</t>
  </si>
  <si>
    <t>A pair of newlyweds must fight to survive when their wedding reception descends into chaos and carnage when their guests become infected by a virus that turns them into hungry zombies.</t>
  </si>
  <si>
    <t>You may kiss the bride.</t>
  </si>
  <si>
    <t>Horror</t>
  </si>
  <si>
    <t>filmax, tve, ono</t>
  </si>
  <si>
    <t>Spain</t>
  </si>
  <si>
    <t>Fran‚àö√üais, Catal‚àö‚Ä†, Espa‚àö¬±ol</t>
  </si>
  <si>
    <t>Jos‚àö¬© de la Cruz, Blai Llopis, Gaizka Egilegor, Jana Garc‚àö‚â†a, Chantal Pamies, ‚àö√Ñlex Monner, Leticia Dolera, Miguel ‚àö√Öngel Gonz‚àö¬∞lez, Xavier Ruano, Toni Sans, Ana Isabel Vel‚àö¬∞squez, David Ram‚àö‚â†rez, Borja Gonz‚àö¬∞lez Santaolalla, Merche Guevara, Jos‚àö¬© Javier Dom‚àö‚â†nguez, Laura Fern‚àö¬∞ndez Brites, Iv‚àö¬∞n Luengo, Juan Carlos Ramil, Isabel Llanos, Adria Allue, Ismael Mart‚àö‚â†nez, Dolores Mart‚àö‚â†n, Fet Bamund, Judith Linares, Paco Moreno, Claire Baschet, Diego Mart‚àö‚â†n, Mar‚àö‚â†a Cort‚àö¬©s, Itziar Castro, Nohemi Rodriguez, ‚àö√¨scar Tribaldo, Jos‚àö¬© Mellinas, Cl‚àö‚Ä†udia Cos, Santi Sans, Rosa Chevalier, Elisabet Casanovas, Charlotte Vega, Carla Nieto, Joe Lewis, Emilio Mencheta, Merc‚àö¬Æ Muniente, Quim Castella, Javier Botet, Mireia Ros, Antonio Barroso, Carme Contreras, Ramon Agirre, Miguel ‚àö√Öngel Alarc‚àö‚â•n, Gerard Poch, Aitor Legard‚àö‚â•n, Bernat Mu‚àö¬±oz, Jana Soler</t>
  </si>
  <si>
    <t>Paco Plaza</t>
  </si>
  <si>
    <t>Pablo Rosso</t>
  </si>
  <si>
    <t>Jun Matsuura, Paco Plaza, David Gallart, Jaume Balaguer‚àö‚â•, Luiso Berdejo</t>
  </si>
  <si>
    <t>Alberto Marini, Carlos Fern‚àö¬∞ndez, Julio Fern‚àö¬∞ndez</t>
  </si>
  <si>
    <t>Mikel Salas</t>
  </si>
  <si>
    <t>/tI1534q0Up7PBcLdXdFerLmIXn3.jpg</t>
  </si>
  <si>
    <t>[rec]¬¨‚â• genesis</t>
  </si>
  <si>
    <t>south by southwest film festival (1), barcelona (1), premiere (2), blank (22), buenos aires (1), imagine film festival (1), neuch√¢tel international fantastic film festival (1), video on demand (1), dvd premiere (3), limited (1), motelx - lisbon international horror film festival (1), blodig weekend (1), toronto after dark film festival (1), night visions film festival (1), monster fest (1), dvd and blu-ray premiere (1)</t>
  </si>
  <si>
    <t>Madame President</t>
  </si>
  <si>
    <t>tt2167873</t>
  </si>
  <si>
    <t>fi</t>
  </si>
  <si>
    <t>Rouva Presidentti</t>
  </si>
  <si>
    <t>Rouva Presidentti is a documentary on Tarja Halonen, the 11th President of Finland. The movie follows Halonen for one and a half years, during her last times as President.</t>
  </si>
  <si>
    <t>A film about an unusual profession... and the woman behind the profession.</t>
  </si>
  <si>
    <t>Documentary</t>
  </si>
  <si>
    <t>funny-films, helsinki-filmi</t>
  </si>
  <si>
    <t>Finland</t>
  </si>
  <si>
    <t>suomi</t>
  </si>
  <si>
    <t>Jukka Jokinen, Heli Sariola, Eila Nevalainen, Kaarle Vikstr‚àö‚àÇm, Ann-Marie Nyroos, Pentti Araj‚àö¬ßrvi, P‚àö¬ßivi Kairamo-Hella, Tarja Halonen, Jukka Lindstedt, Marko Kivel‚àö¬ß, Sanna Viitanen</t>
  </si>
  <si>
    <t>Aleksi Bardy</t>
  </si>
  <si>
    <t>Osku Pajam‚àö¬ßki, Aleksi Bardy</t>
  </si>
  <si>
    <t>Osku Pajam‚àö¬ßki, Miia Haavisto</t>
  </si>
  <si>
    <t>Kerkko Koskinen</t>
  </si>
  <si>
    <t>/gTcJYjAc8BfvienvMdSKTkQa16X.jpg</t>
  </si>
  <si>
    <t>madame president</t>
  </si>
  <si>
    <t>blank (1)</t>
  </si>
  <si>
    <t>The Cold Light of Day</t>
  </si>
  <si>
    <t>tt1366365</t>
  </si>
  <si>
    <t>After his family is kidnapped during their sailing trip in Spain, a young Wall Street trader is confronted by the people responsible: intelligence agents looking to recover a mysterious briefcase.</t>
  </si>
  <si>
    <t>Instinct is his greatest weapon.</t>
  </si>
  <si>
    <t>Action, Thriller, Mystery</t>
  </si>
  <si>
    <t>film rites, galavis film, picture machine, intrepid pictures, fria luz del dia, a.i.e., summit entertainment, calle cruzada</t>
  </si>
  <si>
    <t>Karli Gavald‚àö¬∞, Borja Chantres, Ferm‚àö‚â† Reixach, Roschdy Zem, S‚àö‚â†lvia Sabat‚àö¬©, Andrea Ros, Bruce Willis, Michael Budd, Sigourney Weaver, Jos‚àö¬© Alias, Rafi Gavron, Joseph Mawle, Jim Piddock, Joe Dixon, Alex Amaral, Jason Harris, Sim‚àö‚â•n Andreu, Mark Ullod, Caroline Goodall, Lolo Herrero, Luiggi L‚àö‚â•pez, Morgan Johnson, ‚àö√¨scar Jaenada, Henry Cavill, Paloma Bloyd, Shira Scott Astrof, Colm Meaney, Emma Hamilton, Ver‚àö‚â•nica Echegui</t>
  </si>
  <si>
    <t>Mabrouk El Mechri</t>
  </si>
  <si>
    <t>Remi Adefarasin</t>
  </si>
  <si>
    <t>John Petro, Scott Wiper</t>
  </si>
  <si>
    <t>Steven Zaillian, Jesus Martinez Asencio, Scott Wiper, Kavin Mann, Matthew Perniciaro, Trevor Macy, Marc D. Evans</t>
  </si>
  <si>
    <t>Lucas Vidal</t>
  </si>
  <si>
    <t>/jLmKMhibZjHUYtsHQLIa5UBwqcc.jpg</t>
  </si>
  <si>
    <t>the cold light of day</t>
  </si>
  <si>
    <t>blank (37), dvd premiere (6)</t>
  </si>
  <si>
    <t>Battleship</t>
  </si>
  <si>
    <t>tt1440129</t>
  </si>
  <si>
    <t>When mankind beams a radio signal into space, a reply comes from ‚Äö√Ñ√≤Planet G‚Äö√Ñ√¥,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fianc‚àö¬©e's father‚Äö√Ñ√Æan Admiral‚Äö√Ñ√Æexpect of him.</t>
  </si>
  <si>
    <t>The battle for Earth begins at sea.</t>
  </si>
  <si>
    <t>Thriller, Action, Adventure, Science Fiction</t>
  </si>
  <si>
    <t>bluegrass films, film 44, dentsu, universal pictures, hasbro studios</t>
  </si>
  <si>
    <t>Japan, United States of America</t>
  </si>
  <si>
    <t>English, √ä√≥‚Ä¢√ä√∫¬®√ã‚Ñ¢√ª</t>
  </si>
  <si>
    <t>Frank Cassavetes, Evan Bernard, Drew Rausch, Anthony A. Kung, Gregory Allen Gabroy, Paul Edney, Joanna Ellenbeck, Dallas Kane Hewitt, Carson Aune, Gregory D. Gadson, Tony Lawson, Legrand Strickland, Hamish Linklater, Davo Coria, Allie Sillah, Marissa Nordhelm, Tyrone Gregg, Andrew Serpas, Dustin J. Reno, Kerry Cahill, Thomas McCurdy, Marcus Lyle Brown, Taylor Kitsch, Teresa Alvarez, David Jensen, Phil Neilson, Ronald Chavez, Bruce Mandell, Tadanobu Asano, Angelo Denova, Adam J. Reeb, Peter MacNicol, Jeffrey Johns, Thomas Grieser, Nobuharu Harada, John Bell, William Long, Hunter Meldman, Brooklyn Decker, James Koons, Kyle Clements, Joseph Wilson, Edward Drew, Norman Vincent McLafferty, Biunca Love, Leonard Rogers, Kevin P. Kearns, Wes Martinez, John A. Weaver, Philip Trifilo, Jonathon Groves, Stephen Baldini, Kiley Margeson, Jason Wilken, Curtis Bush, James Rish, Christopher Darling, Ben Skorstad, Jordan Kirkwood, Dustin Watchman, Patricia Brown, Michael Sherman, Zach Selwyn, Arlene Newman, Rami Malek, Liam Neeson, Michelle Arthur, Gerardo Celasco, Dakota Hill, Kristen StephensonPino, James Hadde, Barbara L. Southern, William Powers, Ryan Tinio, Anthony Czumalowski, Mark J. Lindquist, Kyle Ken Shimabukuro, James Ward, George O'Hanlon, Jr., Benjamin Lloyd, David Kors, John Tui, Brint Terrell, Brad Faucheux, Joe Chrest, Bliss Kelley, Edward J. Clare, Adam Sibley, Stephen Bishop, Wesley Phelps, Joanne Bahris, Pat Lancaster, Kerry-Ann Ellington, Josh Demuth, Christopher Lee Herod, Daven Arce, Jerry Ferrara, Kevin Garlington, John E. Culkin, Tim Blanchard, Robin Atkin Downes, Jay Jackson, Alexander Skarsg‚àö‚Ä¢rd, Peter Berg, Natalia Castellanos, Robert Hotalen, Larry Wegger, Raj K. Bose, Ed Moy, Jane Dubiel, Rick Hoffman, Jesse Plemons, Adam Godley, Ryland Reamy, Dylan Gillooly, Gary Grubbs, Donald Willcutt, Cora Yamagata, Dennis M. Keating, Jason Henderson, Conor McCarry, Masaomi Uchida, Ralph Richardson, Bill Carr, Frank J. Doyle, Tom Cain, Don Dailey, Ray Mabus, Christopher McGahan, Yutaka Takeuchi, Doug Penty, Elvin Yoshida, Rico McClinton, Kennon Kepper, Kristal Kincaid, Barack Obama, Jackie Johnson, Faith Fay, Kasey Emas, John Schmotzer, Alex DeMarco, Damien Seanard Parker, Michael Vernon, Sebastian James, Wallace Mackensen, Eli Miranda, Austin Naulty, Esther Solomon, Jane Runnalls, Gregory Harvey, Louis Lombardi, Kamakani De Dely, Citizen Cope, Garrett Lynch, Lloyd Pitts, Liz Wicker, Geoff Clayton, Mickey Graue, Rihanna, Bill McMullen, Joji Yoshida, Colby Parker, Jr., Hiram L. Fong, Mike Meldman, Luing Andrews, Griff Furst, Leni Ito, Terri Battee, Josh Pence, Johnny Santiago, Jaq Galliano, Billy Slaughter, Dante Jimenez, Dane Justman, Masashi Takekawa, Bill Stinchcomb, Brian C. Hirono, Michael Wozniak, Sean Douglas Hoban, Dan Cooke, Hyoe Joe Takahashi, George Arine, Kelly R. Thomas</t>
  </si>
  <si>
    <t>Peter Berg</t>
  </si>
  <si>
    <t>Tobias A. Schliessler</t>
  </si>
  <si>
    <t>Jon Hoeber, Erich Hoeber</t>
  </si>
  <si>
    <t>Duncan Henderson, Brian Goldner, Sarah Aubrey, Scott Stuber, Bennett Schneir, Peter Berg</t>
  </si>
  <si>
    <t>Liam Westbrook, Steve Jablonsky</t>
  </si>
  <si>
    <t>/9b0Im7SfedHiajTwzSL9zGyBI7M.jpg</t>
  </si>
  <si>
    <t>battleship</t>
  </si>
  <si>
    <t>tokyo (1), premiere (3), blank (62), belgrade (1), buenos aires (1), gokujo onkyo film festival (1), dvd premiere (1), internet (1)</t>
  </si>
  <si>
    <t>The Cabin in the Woods</t>
  </si>
  <si>
    <t>tt1259521</t>
  </si>
  <si>
    <t>Five friends set out for a weekend at a remote cabin in the woods, expecting nothing more than fun and relaxation. As night falls, they discover that something far more unsettling is at work and that nothing about their getaway is what it seems.</t>
  </si>
  <si>
    <t>You think you know the story.</t>
  </si>
  <si>
    <t>Horror, Mystery, Comedy</t>
  </si>
  <si>
    <t>mutant enemy productions</t>
  </si>
  <si>
    <t>Emili Kawashima, Miku Katsuura, Alicia Takase Lui, Lori Stewart, Jodelle Ferland, Tom Lenk, Patrick Sabongui, Ellie Harvie, Chelah Horsdal, Sara Taira, Brian J. White, Tim DeZarn, Dan Shea, Amy Acker, Kristen Connolly, Peter Kelamis, Heather Doerksen, Maya Massar, Greg Zach, Simon Pidgeon, Jodi Tabuchi, Serena Akane Chi, Matt Phillips, Dan Payne, Matt Drake, Chris Hemsworth, Anna Hutchison, Phillip Mitchell, Jesse Williams, Terry Chen, Terry Notary, Sigourney Weaver, Rukiya Bernard, Nels Lennarson, Phoebe Galvan, Richard Cetrone, Maria Go, Marina Ishibashi, Fran Kranz, Adrian Holmes, Bradley Whitford, Abbey Imai, Alyssandra Yamamoto, Patrick Gilmore, Aya Furukawa, Brad Dryborough, Naomi Dane, Richard Jenkins</t>
  </si>
  <si>
    <t>Drew Goddard</t>
  </si>
  <si>
    <t>Peter Deming</t>
  </si>
  <si>
    <t>Drew Goddard, Joss Whedon</t>
  </si>
  <si>
    <t>Joss Whedon, Jason Clark</t>
  </si>
  <si>
    <t>David Julyan</t>
  </si>
  <si>
    <t>/zZZe5wn0udlhMtdlDjN4NB72R6e.jpg</t>
  </si>
  <si>
    <t>the cabin in the woods</t>
  </si>
  <si>
    <t>butt-numb-a-thon film festival (1), south by southwest film festival (1), atlanta film fest (1), dead by dawn horror film festival (1), blank (42), night visions film festival (1), imagine film festival (1), limited (3), neuch√¢tel international fantastic film festival (1), new zealand film festival (1), old town taito international comedy film festival (2), dvd premiere (4), sitges film festival (1), subtitled version (2), barcelona - phenomena (1), event (1), tv premiere (1), dubbed version (1), event re-release (1)</t>
  </si>
  <si>
    <t>Lockout</t>
  </si>
  <si>
    <t>tt1592525</t>
  </si>
  <si>
    <t>Set in the near future, Lockout follows a falsely convicted ex-government agent , whose one chance at obtaining freedom lies in the dangerous mission of rescuing the President's daughter from rioting convicts at an outer space maximum security prison.</t>
  </si>
  <si>
    <t>Take no prisoners.</t>
  </si>
  <si>
    <t>Action, Thriller, Science Fiction</t>
  </si>
  <si>
    <t>europacorp</t>
  </si>
  <si>
    <t>France</t>
  </si>
  <si>
    <t>Vanja Lazin Barquero, Milana Milunovi∆í√°, Nick Hardin, Greg De Cuir, Milorad Kapor, Marko Janji∆í√°, Yan Dron, Bojana Bregovic, Dan Savier, Joseph Gilgun, Michael Sopko, Patrick Cauderlier, Lennie James, Stefan Buzurovi∆í√°, Maggie Grace, Bojan Peri∆í√°, Damijan Oklopd‚âà√¶i∆í√°, Peter Hudson, Anne-Solenne Hatte, Thomas Kelly, Jovan B. Todorovi∆í√°, Guy Pearce, Charles Robertson, Jason Ryan, Daryl Fidelak, Mark Tankersley, Jacky Ido, Tim Plester, Peter J. Chaffey, Miodrag Stevanovi∆í√°, Peter Stormare, Vincent Regan, Evan Moses II</t>
  </si>
  <si>
    <t>James Mather, Stephen St. Leger</t>
  </si>
  <si>
    <t>James Mather</t>
  </si>
  <si>
    <t>Luc Besson, James Mather, Stephen St. Leger</t>
  </si>
  <si>
    <t>An∆í√´elija Vlaisavljevi∆í√°, Leila Smith, Marc Libert, Luc Besson</t>
  </si>
  <si>
    <t>Alexandre Azaria</t>
  </si>
  <si>
    <t>/i5QfNIcg6hc327IWUerea0EczP4.jpg</t>
  </si>
  <si>
    <t>lockout</t>
  </si>
  <si>
    <t>brussels international film festival (1), blank (36), dvd premiere (5), dvd and blu-ray premiere (1), tv release (2), internet (1)</t>
  </si>
  <si>
    <t>The Three Stooges</t>
  </si>
  <si>
    <t>tt0383010</t>
  </si>
  <si>
    <t>Left on the doorstep of an orphanage run by nuns, three newborn knuckleheads grow up to be finger-poking, nyuk-nyuking janitors named Larry, Curly and Moe. When they learn that financial problems will soon force the only home they've ever known to close, the trio sets out to raise $830,000 in one month. Out in the world for the very first time, the three innocent bumblers become embroiled in a murder plot and find stardom on a TV reality show.</t>
  </si>
  <si>
    <t>All pain. No brain.</t>
  </si>
  <si>
    <t>Comedy</t>
  </si>
  <si>
    <t>wessler entertainment, 20th century fox, conundrum entertainment, c3 entertainment, inc., dune entertainment</t>
  </si>
  <si>
    <t>Steve Warren, Jade Nicolette, Matthew L. Collins, Patty Ross, William R. Brock, Matthew Cardarople, Debbie Walker, Avalon Robbins, Dwight Howard, Delonte Harris, Jane Lynch, JWoww, Jake Peck, Lance Chantiles-Wertz, Tanner Baker, Jonathan S. Kennedy, Tim Blanchard, Michael L. Kuhn, Will Sasso, Kate Upton, Barry Guy, Caitlin Colford, Greg Crews, Jennifer Hudson, Brian Doyle-Murray, Sean Hayes, Marianne Leone Cooper, Sandra Dorsey, Mark Axelowitz, Mariann Neary, Mark Kogan, Lee Armstrong, Skyler Gisondo, Myron Parker Wright, Kyla Kenedy, Ric Reitz, Richard Tavernaro, Mike Sorrentino, Isaiah Mustafa, Emy Coligado, Patricia French, Brent Duffey, Samantha Giancola, DJ Harris, Erin Allin O'Reilly, Jackie Flynn, Larry David, Craig Bierko, Ronnie Ortiz-Magro, Landon Hoffman, Max Charles, Joel Rogers, Roy Jenkins, Brett Lee Clark, Caryl Lippman West, Addy Miller, Lin Shaye, Chris Diamantopoulos, Ray Collins, Reid Meadows, Apple Farrelly, Jeremy Ambler, Hannah Marie Bailey, Tiffany Burke, Katherine Neslund, Steve Tyler, Danny Smith, Sayed Badreya, Craig Crumpton, Robert Capron, Carly Craig, Shannon Reis, Snooki, Beth Blevins, Timothy Scott, Abby Goldberg, Marvin E. West, Jesse Farrelly, Vince Canlas, Pam Smith, J.R. Fondessy, Kirby Heyborne, Stephen Collins, Chance Bartels, Sof‚àö‚â†a Vergara, Antonio Sab‚àö‚Ä†to, Jr.</t>
  </si>
  <si>
    <t>Bobby Farrelly, Peter Farrelly</t>
  </si>
  <si>
    <t>Matthew F. Leonetti</t>
  </si>
  <si>
    <t>Bobby Farrelly, Peter Farrelly, Mike Cerrone</t>
  </si>
  <si>
    <t>Bobby Farrelly, Marc S. Fischer, Charles B. Wessler, Bradley Thomas, Peter Farrelly, Earl M. Benjamin, Robert Benjamin</t>
  </si>
  <si>
    <t>John Debney</t>
  </si>
  <si>
    <t>/b0nNQCL90RGTwjxLEFsFFLQZKNe.jpg</t>
  </si>
  <si>
    <t>the three stooges</t>
  </si>
  <si>
    <t>hollywood, california (1), premiere (1), blank (39), dvd premiere (4), dvd and blu-ray premiere (2), blu-ray release (1)</t>
  </si>
  <si>
    <t>Safe</t>
  </si>
  <si>
    <t>tt1656190</t>
  </si>
  <si>
    <t>After a former elite agent rescues a 12-year-old Chinese girl who's been abducted, they find themselves in the middle of a standoff between Triads, the Russian Mafia and high-level corrupt New York City politicians and police.</t>
  </si>
  <si>
    <t>She has the code. He is the key.</t>
  </si>
  <si>
    <t>Action, Crime, Thriller</t>
  </si>
  <si>
    <t>im global, automatik entertainment, lawrence bender productions, trigger street productions, reliance entertainment, lionsgate</t>
  </si>
  <si>
    <t>India, United States of America</t>
  </si>
  <si>
    <t>English, √ä√¥√Ü√à√Ñ√∂√ã√ò√π, P‚Äî√â‚Äî√Ö‚Äî√Ö‚Äì‚à´‚Äì‚àè‚ÄìœÄ</t>
  </si>
  <si>
    <t>Jason Statham, Suzanne Savoy, Catherine Chan, Daoud Heidami, Anson Mount, Laurence Covington, Elissa Middleton, Danni Lang, Jennifer Skyler, James Hong, Marcus Young, Tony Cheng, Kate Rogal, James Lew, Stephen Oyoung, Brian Anthony Wilson, Jack Gwaltney, Ben Sinclair, Robert John Burke, Jay Giannone, Joseph Sikora, Dan McCabe, Chris Sarandon, James Colby, Barry Bradford, Kelvin Whui, Dan Shea, Marvina Vinique, Simon Rhee, John Cenatiempo, Igor Jijikine, Scott Nicholson, Victor Pagan, Oksana Lada, George B. Colucci Jr., Oleg Ivanov, Tim Carr, Hank Amos, Tim Connolly, Reggie Lee, Matt O'Toole, John Wooten, Jon Valera, J.J. Perry, Shing Ka, Philip Tan, S‚àö¬∞ndor T‚àö¬©csy, Matt Dellapina, Danny Hoch, Lyman Chen</t>
  </si>
  <si>
    <t>Boaz Yakin</t>
  </si>
  <si>
    <t>Stefan Czapsky</t>
  </si>
  <si>
    <t>Joseph Zolfo, John R. Woodward, Brian Kavanaugh-Jones, Stuart Ford, Kevin Spacey, Deepak Nayar, Dana Brunetti, Lawrence Bender</t>
  </si>
  <si>
    <t>/kOCpkoMUVae9UIf85gO71SyjLbW.jpg</t>
  </si>
  <si>
    <t>safe</t>
  </si>
  <si>
    <t>new york city, new york (1), premiere (3), blank (50), belgrade (1), buenos aires (1), dvd and blu-ray premiere (1), dvd premiere (2), tv premiere (2), tv release (1)</t>
  </si>
  <si>
    <t>Think Like a Man</t>
  </si>
  <si>
    <t>tt1621045</t>
  </si>
  <si>
    <t>The balance of power in four couples‚Äö√Ñ√¥ relationships is upset when the women start using the advice in Steve Harvey‚Äö√Ñ√¥s book, Act Like A Lady, Think Like A Man, to get more of what they want from their men. When the men realize that the women have gotten a hold of their relationship ‚Äö√Ñ√∫playbook,‚Äö√Ñ√π they decide that the best defense is a good offense and come up with a plan to use this information to their advantage.</t>
  </si>
  <si>
    <t>Let the mind games begin.</t>
  </si>
  <si>
    <t>Comedy, Romance</t>
  </si>
  <si>
    <t>rainforest entertainment</t>
  </si>
  <si>
    <t>Sherri Shepherd, Morris Chestnut, Romany Malco, JB Smoove, Wendy Williams, Regina Hall, Brent Bailey, Taraji P. Henson, Gabrielle Union, Luenell, Tika Sumpter, Kevin Hart, Caleel Harris, Jerry Ferrara, Meagan Good, Jenifer Lewis, Kelly Rowland, Gary Owen, Steve Harvey, Michael Ealy, Tony Rock, Keri Hilson, Arielle Kebbel, La La Anthony, Chris Brown, Terrence J</t>
  </si>
  <si>
    <t>Tim Story</t>
  </si>
  <si>
    <t>Larry Blanford</t>
  </si>
  <si>
    <t>Keith Merryman, Steve Harvey, David A. Newman</t>
  </si>
  <si>
    <t>Steve Harvey, Rushion McDonald, Will Packer, Rob Hardy, Glenn S. Gainor</t>
  </si>
  <si>
    <t>Christopher Lennertz</t>
  </si>
  <si>
    <t>/kfIrKVPDzXJDBzPnFEuoatlaZPW.jpg</t>
  </si>
  <si>
    <t>think like a man</t>
  </si>
  <si>
    <t>pan african film festival (1), premiere (1), blank (18), limited (1), blu-ray premiere (1), dvd premiere (6), internet (3), tv premiere (2), dvd and blu-ray premiere (1), shanghai international film festival (1), tv release (1)</t>
  </si>
  <si>
    <t>Hate Story</t>
  </si>
  <si>
    <t>tt2309987</t>
  </si>
  <si>
    <t>hi</t>
  </si>
  <si>
    <t>Journalist Kavya Krishna loves tycoon Siddharth - who uses and abuses her. How far will Kavya go to get revenge?</t>
  </si>
  <si>
    <t>Love Killed Her Soul, Her Body Seeks Revenge...</t>
  </si>
  <si>
    <t>Drama, Thriller</t>
  </si>
  <si>
    <t>bvg films</t>
  </si>
  <si>
    <t>India</t>
  </si>
  <si>
    <t>‚Ä°¬ßœÄ‚Ä°¬ß√∏‚Ä°¬ß¬Æ‚Ä°‚Ä¢√ß‚Ä°¬ß¬∂‚Ä°‚Ä¢√Ñ</t>
  </si>
  <si>
    <t>Saurabh Dubey, Mohan Kapur, Iravati Harshe, Paoli Dam, Bhairavi Goswami, Nikhil Dwivedi, Gopal Singh, Gulshan Devaiah, Joy Sengupta</t>
  </si>
  <si>
    <t>Vivek Agnihotri</t>
  </si>
  <si>
    <t>Attar Singh Saini</t>
  </si>
  <si>
    <t>Vivek Agnihotri, Rohit Malhotra, Vikram Bhatt</t>
  </si>
  <si>
    <t>Dharmendra Rawal, Vikram Bhatt</t>
  </si>
  <si>
    <t>Harshit Saxena</t>
  </si>
  <si>
    <t>/bnKApifJZnrqzOb9DVAmWffjOWk.jpg</t>
  </si>
  <si>
    <t>hate story</t>
  </si>
  <si>
    <t>blank (1), internet (2)</t>
  </si>
  <si>
    <t>yes</t>
  </si>
  <si>
    <t>The Five-Year Engagement</t>
  </si>
  <si>
    <t>tt1195478</t>
  </si>
  <si>
    <t>Exactly one year after Tom meets Violet, he surprises her with a wedding ring. By all accounts, Tom and Violet are destined for their happily ever after. However, this engaged couple just keep getting tripped up on the long walk down the aisle.</t>
  </si>
  <si>
    <t>A comedy about the journey between popping the question and tying the knot.</t>
  </si>
  <si>
    <t>universal pictures, relativity media, apatow productions, stoller global solutions, dentsu</t>
  </si>
  <si>
    <t>Kumail Nanjiani, Eileen Grubba, Stephanie Faracy, Jason Segel, Rocky Rector, Clement von Franckenstein, Kevin Hart, Heather Mathieson, Kevin Yon, Mimi Kennedy, Jim Piddock, Penelope Stoller, Chris Parnell, AnnaCorey, Emily Blunt, Chris Newman, Jacki Weaver, Michael Ensign, Randall Park, Zoe Niemkiewicz, Rhys Ifans, Lauren Weedman, Chris Pratt, Madge Levinson, Tracee Chimo, Nicholas Delbanco, Dakota Johnson, David Paymer, Laurie Brown, Gina Ragnone, Adam Campbell, Murray Miller, Alison Brie, Aaron Lustig, Jane Carr, Tim Heidecker, Brian Posehn, Molly Shannon, Mark Rademacher, Mindy Kaling</t>
  </si>
  <si>
    <t>Nicholas Stoller</t>
  </si>
  <si>
    <t>Javier Aguirresarobe</t>
  </si>
  <si>
    <t>Nicholas Stoller, Jason Segel</t>
  </si>
  <si>
    <t>Richard Vane, Nicholas Stoller, Judd Apatow, Rodney Rothman</t>
  </si>
  <si>
    <t>/drsY910CSoSkROYypNVwUxI875T.jpg</t>
  </si>
  <si>
    <t>the five-year engagement</t>
  </si>
  <si>
    <t>tribeca film festival (1), blank (30), blu-ray premiere (1), blu-ray release (1), dvd and blu-ray premiere (1), dvd premiere (8), internet (1)</t>
  </si>
  <si>
    <t>Bernie</t>
  </si>
  <si>
    <t>tt1704573</t>
  </si>
  <si>
    <t>In small-town Texas, affable and popular mortician Bernie Tiede strikes up a friendship with Marjorie Nugent, a wealthy widow well known for her sour attitude. When she becomes controlling and abusive, Bernie goes to great lengths to remove himself from her grasp.</t>
  </si>
  <si>
    <t>A story so unbelievable it must be true.</t>
  </si>
  <si>
    <t>Comedy, Crime, Drama</t>
  </si>
  <si>
    <t>mandalay vision, detour filmproduction, wind dancer films, millennium media</t>
  </si>
  <si>
    <t>Linda Rudwick, Valerie Frazee, Rob Anthony, Patrick Martin Jr., Jack Payne, Kathy Gollmitzer, Mary Stifflemire, Jeff Davis, Jack Black, Charles Bailey, Veronica Orosco, Geraldine Miller, Mitchell Rad, Cozette McNeely, Taylor Bryant, Merrilee McCommas, Edward Ji, Umpy Bechtol, Chell Parkins, Kristi Youngblood, Alaina Flores, Lesa Brooks, Heath Allyn, Jesse Lucio, Reba Tarjick, Sharon Rigsbee, June Griffin Garcia, Doug Moreland, Dale Dudley, Ellen Stader, Jeanette Kloppe, Ben Bachelder, Rebecca Chulew, Rudi Lee, Margaret Hoard, Earl Nottingham, Marcia Bailey, Glenda Jones, Grant James, Joe Stevens, Betty Andrews, Heath Young, Daniel Zubiate, Ira Bounds, Ellie Edwards, J.D. Young, Amparo Garc‚àö‚â†a, Trevor McGinnis, Mona Lee Fultz, Kevin Machate, Colin Bevis, Sonny Carl Davis, Richard Dodwell, Randy Coy, Tanja Givens, Wendy Crouse, Gayla Bruce, Richard Robichaux, Brady Coleman, Mika Odom, Martha Long, Jordan Hill, Paul Heckmann, Meredith Beal, Matthew McConaughey, Madelyn Shaffer, Tim Cariker, Jo Perkins, Lara Wright, Raquel Gavia, Shirley MacLaine, Deana Newcomb, Berkley Jones, Orion Gallagher, Floyd Lloyd, Jennifer Foster, Jill Blackwood, Flo Weiershausen, Larry Jack Dotson, Robert Works, Brandon Smith, Fred Bothwell, Angelita Aronce Sorensen, David Ponton, Gary Teague, David Blackwell, Stacey Bruck, Kenny Brevard, Juli Erickson, Joshua Denning, Sylvia Froman, Cheryl Bond Danks, Quita Culpepper, Gary Askins, Leslie Hethcox, Mathew Greer, Nellie Hickerson, Erik Collins, Marjorie Dome, Travis Blevins, Chris Barfield, Jacqui Bloom, Debbie Shaw, Richard Andrew Jones, Rick Dial, Gina Wooten, Peter Harrell Jr., Margaret Bowman, Daniel B. Davis, Robert H. Lambert, Nita Bouldin, Gray Randolph, Kristi Copeland, Suzi McLaughlin, Fern Luker, Teresa Edwards, Ian Saunders, Michelle Briscoe, Timothy McKinney, Caroline McNeil, Billy Vaticalos, Brenda Bunton, Charles Allen Eskew, Chris Humphrey, Larissa Slota, Kay Epperson, Wray Crawford, Franky Coronado, Jerry Biggs, Tommy G. Kendrick, Joe Leroy Reynolds, Toby Metcalf, Daniel Rae Srivastava, James Wilson, Richard Linklater, Mollie Fuller, Ann Reeves, David Steakley, Gene Cervenka, Stephen C. Kerr, Kay McConaughey, Kenneth C. Liverman, John Hornbuckle, Pam McDonald, Rachel Hull-Ryde, Christian Stokes, Charlie m Stewart, James Baker, Gabriel Luna</t>
  </si>
  <si>
    <t>Richard Linklater</t>
  </si>
  <si>
    <t>Dick Pope</t>
  </si>
  <si>
    <t>Richard Linklater, Skip Hollandsworth</t>
  </si>
  <si>
    <t>Matt Williams, Judd Payne, William T. Conway, Michael Bassick, Ginger Sledge, Martin Shafer, Dete Meserve, Celine Rattray, Jack Gilardi Jr., Don Fox, Liz Glotzer, David McFadzean</t>
  </si>
  <si>
    <t>Graham Reynolds</t>
  </si>
  <si>
    <t>/rW5CetooG545jpkPNpD4FjFAXfe.jpg</t>
  </si>
  <si>
    <t>bernie</t>
  </si>
  <si>
    <t>los angeles film festival (1), rio de janeiro international film festival (1), bfi london film festival (1), noir in festival (1), south by southwest film festival (1), san francisco international film festival (1), limited (2), champs-elys√©es film festival (1), blank (14), dvd premiere (2), copenhagen (1), helsinki international film festival (1), american film festival (1), dvd and blu-ray premiere (2), glasgow film festival (1), internet (1), tv release (1)</t>
  </si>
  <si>
    <t>At the Jersey Shore</t>
  </si>
  <si>
    <t>tt1808274</t>
  </si>
  <si>
    <t>Joe Lombardi -- a twenty-something man-child -- wants nothing more than to break away from his mundane suburban life and job at a local New Jersey newspaper. His editor, Mr. Simon, promises Joe a promotion to a big-time New York City paper if he writes one last, home-run article -- on the Jersey Shore dating scene. But Joe hasn't been down there since he was a kid, with his now-estranged mother; and he has a general disdain for the Jersey Shore culture. He reluctantly takes on the story and is writing about Danny, his best friend who believes that he can meet a wife in the clubs; Marc, a nerdy guy from high school who has now transformed himself into a club going, drug using, fornicator and Ashley, his boss's wild niece, who secretly aspires to a life as a fashion designer. Eventually, writing about these quirky characters opens Joe's eyes, forcing him to truly understand all that the area has to offer and making him re-evaluate his own life... and grow up.</t>
  </si>
  <si>
    <t>Welcome to the New Jersey Shore! Please deposit your clich‚àö¬©s on the other side of the bridge.</t>
  </si>
  <si>
    <t>suburbanite productions</t>
  </si>
  <si>
    <t>Matthew Aidan, Melissa Kellner, Kayli Gural, Katie Morrison, Marc Cubelli, Frank Marsico, Tom Bentey</t>
  </si>
  <si>
    <t>Thomas Bentey, Tom Bentey</t>
  </si>
  <si>
    <t>Tom Bentey</t>
  </si>
  <si>
    <t>Greg Rhem</t>
  </si>
  <si>
    <t>John Plenge</t>
  </si>
  <si>
    <t>/5VpYrnemM2BeJpMUayH0K9ObXDw.jpg</t>
  </si>
  <si>
    <t>at the jersey shore</t>
  </si>
  <si>
    <t>The Sessions</t>
  </si>
  <si>
    <t>tt1866249</t>
  </si>
  <si>
    <t>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Cohen-Greene to lose his virginity.</t>
  </si>
  <si>
    <t>The festival hit of the year!</t>
  </si>
  <si>
    <t>Drama, Romance, Comedy</t>
  </si>
  <si>
    <t>such much films, rhino films</t>
  </si>
  <si>
    <t>Jarrod Bailey, John Hawkes, Blake Lindsley, B.J. Clinkscales, James Martinez, Tobias Forrest, W. Earl Brown, Annika Marks, Moon Bloodgood, Rhea Perlman, Rusty Schwimmer, Gina-Raye Carter, Daniel Quinn, Adam Arkin, Helen Hunt, J. Teddy Garces, Phoebe Lewin, Ming Lo, Robin Weigert, Paul MacLean, Jonathan Hanrahan, William H. Macy, Jennifer Kumiyama, Jason Jack Edwards</t>
  </si>
  <si>
    <t>Ben Lewin</t>
  </si>
  <si>
    <t>Geoffrey Simpson</t>
  </si>
  <si>
    <t>Ben Lewin, Judi Levine, Stephen Nemeth</t>
  </si>
  <si>
    <t>Marco Beltrami</t>
  </si>
  <si>
    <t>/57o1DBc5DfJXVc8wArAblSbZ8sD.jpg</t>
  </si>
  <si>
    <t>the sessions</t>
  </si>
  <si>
    <t>sundance film festival (1), toronto international film festival (1), zurich film festival (1), athens film festival (1), donostia-san sebasti√°n international film festival (1), rio de janeiro international film festival (1), hamptons international film festival (1), mill valley film festival (1), woodstock film festival (1), bfi london film festival (1), warsaw film festival (1), austin film festival (1), limited (1), blank (43), taipei golden horse film festival (1), stockholm international film festival (1), torino film festival (1), faf belgrade (1), dvd premiere (1), internet (1), blu-ray release (1)</t>
  </si>
  <si>
    <t>White Tiger</t>
  </si>
  <si>
    <t>tt2318405</t>
  </si>
  <si>
    <t>ru</t>
  </si>
  <si>
    <t>‚Äì√´‚Äì¬µ‚Äì¬™‚Äî√£‚ÄìœÄ ‚Äî√á‚Äì‚àè‚Äì‚â•‚Äî√Ñ</t>
  </si>
  <si>
    <t>WWII, 1945. After barely surviving a battle with a mysterious, ghostly-white German Tiger tank, Red Army Sergeant Ivan Naydenov becomes obsessed with its destruction.</t>
  </si>
  <si>
    <t>Spring 1945. A legend is born</t>
  </si>
  <si>
    <t>Action, Adventure, Fantasy, War</t>
  </si>
  <si>
    <t>channel one, mosfilm, cgf films, kuryer film studio, ministry of culture of the russian federation</t>
  </si>
  <si>
    <t>Russia</t>
  </si>
  <si>
    <t>Deutsch, P‚Äî√â‚Äî√Ö‚Äî√Ö‚Äì‚à´‚Äì‚àè‚ÄìœÄ</t>
  </si>
  <si>
    <t>Vitaly Kishchenko, Gerasim Arkhipov, Dmitriy Bykovskiy-Romashov, Vilmar Bieri, Aleksandr Vakhov, Christian Redl, Vladimir Ilin, Klaus Gr‚àö¬∫nberg, Andrey Myasnikov, Valeriy Grishko, Rodion Tolokonnikov, Vitaliy Dordzhiev, Karl Kranzkowski, Aleksey Vertkov, Mariya Shashlova</t>
  </si>
  <si>
    <t>Karen Shakhnazarov</t>
  </si>
  <si>
    <t>Alexandr Kuznetsov</t>
  </si>
  <si>
    <t>Ilya Boyashov, Aleksandr Borodyanskiy, Karen Shakhnazarov</t>
  </si>
  <si>
    <t>Konstantin Shevelyov, Yuriy Poteenko</t>
  </si>
  <si>
    <t>/zRkDxaYOppeoBZb7Nth3mJX8Ky7.jpg</t>
  </si>
  <si>
    <t>white tiger</t>
  </si>
  <si>
    <t>montr√©al world film festival (1), cairo international film festival (1), jerusalem (1), pyongyang international film festival (1), blank (4), shanghai international film festival (1), sputnik russian film festival (1), troms√∏ international film festival (1), palm springs international film festival (1), portland international film festival (1), dvd premiere (6), beijing international film festival (1), video premiere (1), limited (1), russian film week (1)</t>
  </si>
  <si>
    <t>Fatso!</t>
  </si>
  <si>
    <t>tt1286766</t>
  </si>
  <si>
    <t>Killed too soon due to a clerical error in heaven, a man is sent back to earth with a new lease on life, this time in the body of his portly friend.</t>
  </si>
  <si>
    <t>Climb on for a Heaven of a Ride!</t>
  </si>
  <si>
    <t>Comedy, Romance, Fantasy</t>
  </si>
  <si>
    <t>daily multimedia limited, pritish nandy communications</t>
  </si>
  <si>
    <t>English, ‚Ä°¬ßœÄ‚Ä°¬ß√∏‚Ä°¬ß¬Æ‚Ä°‚Ä¢√ß‚Ä°¬ß¬∂‚Ä°‚Ä¢√Ñ</t>
  </si>
  <si>
    <t>Faisal Rashid, Rahul Vohra, Gul Panag, Purab Kohli, Yusuf Hussain, Neil Bhoopalam, Vinay Pathak, Brijendra Kala, Bharati Achrekar, Ranvir Shorey, Gunjan Bakshi</t>
  </si>
  <si>
    <t>Rajat Kapoor</t>
  </si>
  <si>
    <t>Rafey Mehmood</t>
  </si>
  <si>
    <t>Saurabh Shukla, Rajat Kapoor</t>
  </si>
  <si>
    <t>Fauzia Arshi, Santosh Bhartiya, Bikramjeet Singh, Bobbie Ghosh, Rajat Kapoor</t>
  </si>
  <si>
    <t>Sagar Desai</t>
  </si>
  <si>
    <t>/zhbm7rzLIhoz51ykAqSPzlwl2rT.jpg</t>
  </si>
  <si>
    <t>fatso!</t>
  </si>
  <si>
    <t>south asian international film festival (1), shanghai international film festival (1), blank (1), internet (1), buenos aires international festival of independent cinema (1)</t>
  </si>
  <si>
    <t>Dark Shadows</t>
  </si>
  <si>
    <t>tt1077368</t>
  </si>
  <si>
    <t>Vampire Barnabas Collins is inadvertently freed from his tomb and emerges into the very changed world of 1972. He returns to Collinwood Manor to find that his once-grand estate and family have fallen into ruin.</t>
  </si>
  <si>
    <t>Every family has its demons.</t>
  </si>
  <si>
    <t>Comedy, Fantasy</t>
  </si>
  <si>
    <t>village roadshow pictures, infinitum nihil, gk films, the zanuck company, warner bros. pictures</t>
  </si>
  <si>
    <t>United Kingdom, United States of America</t>
  </si>
  <si>
    <t>Janine Craig, Jonny Lee Miller, Josephine McGrail, Nick Thomas-Webster, Michael Anthony Brown, Greg Bennett, Ryan McPhail, Frank Hellebrand, Harry Taylor, Alex Moore, Christopher Lee, Glen Mexted, Ray Shirley, Marco Flammer, Jonathan Frid, Nigel Whitmey, Matthew David McCarthy, Ellie Spicer, Jorge Leon, Michael Shannon, Josephine Butler, Hannah Murray, Guy Flanagan, Christos Lawton, Dominika Van Santen, Sophie Kennedy Clark, Jeff Mash, Eva Green, James Cooper, Ivan Kaye, Shane Rimmer, Jel Djelal, Alexia Osborne, Chris Martin Hill, Edward Coupland, Steve Saunders, Benjayx Murphy, Bella Heathcote, David Lyddon, Gintare Beinoraviciute, Shonn Gregory, Valery Richardson, David Selby, Michelle Pfeiffer, Lee Nicholas Harris, Jackie Earle Haley, Victoria Bewick, Lara Parker, Gabriel Freilich, William Hope, Raffey Cassidy, Sean Mahon, Philip Bulcock, Stuart Mulcaster, Romain Faure, Alice Cooper, Charlotte Spencer, Gulliver McGrath, Chlo‚àö¬¥ Grace Moretz, Lasco Atkins, Oliver Mayo, Thomas Grube, Jake Francis, Thomas McDonell, Leigh Daniels, Susanna Cappellaro, Felicity Brangan, Justin Tracy, Matt Tyzack, Duncan Casey, Daniel Harland, Adelle Young, Richard Hollis, Andrew Crayford, Vincent Curson Smith, Johnny Depp, Helena Bonham Carter, Dale Mercer, Kathryn Leigh Scott, Duncan Meadows</t>
  </si>
  <si>
    <t>Tim Burton</t>
  </si>
  <si>
    <t>Bruno Delbonnel</t>
  </si>
  <si>
    <t>John August, Seth Grahame-Smith</t>
  </si>
  <si>
    <t>Richard D. Zanuck, David Kennedy, Graham King, Bruce Berman, Tim Headington, Johnny Depp, Chris Lebenzon, Nigel Gostelow, Christi Dembrowski</t>
  </si>
  <si>
    <t>Danny Elfman</t>
  </si>
  <si>
    <t>/fd9Ck4cxVlmtXsbeGtQW7WFuUFI.jpg</t>
  </si>
  <si>
    <t>dark shadows</t>
  </si>
  <si>
    <t>blank (58), shanghai international film festival (1), blu-ray premiere (1), dvd premiere (1)</t>
  </si>
  <si>
    <t>Piranha 3DD</t>
  </si>
  <si>
    <t>tt1714203</t>
  </si>
  <si>
    <t>After the events at Lake Victoria, the prehistoric school of blood-thirsty piranhas make their way into swimming pools, plumbing, and a newly opened water park.</t>
  </si>
  <si>
    <t>Twice the Teeth. Twice the Terror.</t>
  </si>
  <si>
    <t>Horror, Thriller, Comedy</t>
  </si>
  <si>
    <t>dimension films, mark canton productions, intellectual properties worldwide</t>
  </si>
  <si>
    <t>Katrina Bowden, Jean-Luc Bilodeau, Paul Scheer, Alisa Harris, Nate Panning, Sarah Wilson, Adrian Martinez, Paul James Jordan, David Hasselhoff, Ving Rhames, Chris Zylka, Irina Voronina, Kathy Sue Holtorf, Matt Bush, Tabitha Taylor, Sylvia Jefferies, Meagan Tandy, Rozlyn Papa, David Koechner, Danielle Panabaker, Jenna Hurt, Katie Garner, Gary Busey, Stacy Rabon, Lilith Fury, Clu Gulager, Christopher Lloyd, Sierra Fisk, Matt Lintz</t>
  </si>
  <si>
    <t>John Gulager</t>
  </si>
  <si>
    <t>Alexandre Lehmann</t>
  </si>
  <si>
    <t>Pete Goldfinger, Joel Soisson, Patrick Melton, Josh Stolberg, Marcus Dunstan</t>
  </si>
  <si>
    <t>Harvey Weinstein, Mark Canton, Joel Soisson, Marc Toberoff, Bob Weinstein</t>
  </si>
  <si>
    <t>Elia Cmiral</t>
  </si>
  <si>
    <t>/eOLA3IrZATSz5FQ6fmG0Q6sSVyq.jpg</t>
  </si>
  <si>
    <t>piranha 3dd</t>
  </si>
  <si>
    <t>blank (33), limited (3), video on demand (1), belgrade (1), premiere (1), neuch√¢tel international fantastic film festival (1), blu-ray release (1), dvd and blu-ray premiere (3), /slash filmfestival (1), dvd premiere (4), madrid (1), subtitled version (1), 2d (1), technical release (1), internet (1), dvd &amp; blu-ray premiere (1), dvd release (1)</t>
  </si>
  <si>
    <t>Girl in Progress</t>
  </si>
  <si>
    <t>tt1817676</t>
  </si>
  <si>
    <t>As single mom Grace juggles work, bills, and her affair with a married doctor, her daughter, Ansiedad, plots a shortcut to adulthood after finding inspiration in the coming-of-age stories she's reading for school.</t>
  </si>
  <si>
    <t>A tale of acting up, acting out, and acting your age.</t>
  </si>
  <si>
    <t>Comedy, Drama</t>
  </si>
  <si>
    <t>pantelion films</t>
  </si>
  <si>
    <t>Espa‚àö¬±ol, English</t>
  </si>
  <si>
    <t>Raini Rodriguez, Patricia Arquette, Richard Harmon, Eva Mendes, Cierra Ramirez, Tiera Skovbye, Russell Peters, Landon Liboiron, Eugenio Derbez, Rady Panov, Brenna O'Brien, Matthew Modine</t>
  </si>
  <si>
    <t>Patricia Riggen</t>
  </si>
  <si>
    <t>Hiram Martinez</t>
  </si>
  <si>
    <t>James M. McNamara, Barry Rosen, Robert Lundberg, Fernando P‚àö¬©rez Gavil‚àö¬∞n, Jeffrey Rosen, Ben Odell, Greg Coote, John Fiedler</t>
  </si>
  <si>
    <t>/rGBR6H7fT7c2DtG0uhwHXAMANab.jpg</t>
  </si>
  <si>
    <t>girl in progress</t>
  </si>
  <si>
    <t>usa film festival (1), limited (1), blank (5), latin beat film festival (1), dvd premiere (1), internet (1), dvd and blu-ray premiere (1)</t>
  </si>
  <si>
    <t>Gabbar Singh</t>
  </si>
  <si>
    <t>tt2304655</t>
  </si>
  <si>
    <t>te</t>
  </si>
  <si>
    <t>‚Ä°‚àû√≥‚Ä°‚àû¬®‚Ä°¬±√ß‚Ä°‚àû¬®‚Ä°‚àû‚àû‚Ä°¬±√ß ‚Ä°‚àû‚àè‚Ä°‚àû√∏‚Ä°‚àû√á‚Ä°‚àû√≥‚Ä°¬±√ß</t>
  </si>
  <si>
    <t>A boy runs away from home, angry with his stepfather and half-brother. Years later, he becomes a police inspector and fights a notorious criminal.</t>
  </si>
  <si>
    <t>He is Special</t>
  </si>
  <si>
    <t>Action, Comedy</t>
  </si>
  <si>
    <t>parameswara art productions</t>
  </si>
  <si>
    <t>‚Ä°‚àû¬ß‚Ä°¬±√ú‚Ä°‚àû‚â§‚Ä°¬±√Ö‚Ä°‚àû√≥‚Ä°¬±√Ö</t>
  </si>
  <si>
    <t>Fish Venkat, Pawan Kalyan, Akash Puri, Kota Srinivasa Rao, Praveen, Ajay, Chammak Chandra, Shruti Haasan, Gayathri Rao, Tanikella Bharani, Saptagiri, Dhanraj Sukhram, Prabhakar, Malaika Arora, Suhasini Maniratnam, Satyam Rajesh, Satya, Abhimanyu Singh, Prabhas Sreenu, Hari Teja, Jayaprakash Reddy, Ali Basha, Prudhviraj, Rao Ramesh, Brahmanandam</t>
  </si>
  <si>
    <t>Harish Shankar</t>
  </si>
  <si>
    <t>Jayanan Vincent</t>
  </si>
  <si>
    <t>Harish Shankar, Satish Vegesna, Abhinav Kashyap</t>
  </si>
  <si>
    <t>Bandla Ganesh</t>
  </si>
  <si>
    <t>Devi Sri Prasad</t>
  </si>
  <si>
    <t>/tFDhzLPhWnjDNda7YHcbeB4gcGi.jpg</t>
  </si>
  <si>
    <t>gabbar singh</t>
  </si>
  <si>
    <t>blank (3)</t>
  </si>
  <si>
    <t>The Dictator</t>
  </si>
  <si>
    <t>tt1645170</t>
  </si>
  <si>
    <t>The heroic story of a dictator who risks his life to ensure that democracy would never come to the country he so lovingly oppressed.</t>
  </si>
  <si>
    <t>Make way for Aladeen.</t>
  </si>
  <si>
    <t>paramount pictures, berg mandel schaffer productions, scott rudin productions, four by two films</t>
  </si>
  <si>
    <t>English, ‚óä¬¢√∑¬•‚óä√´√∑‚àû‚óä¬Æ√∑¬•‚óä√¥‚óä‚Ñ¢</t>
  </si>
  <si>
    <t>Jasmine Hope Bloch, Dushawn Moses, Cuco Us‚àö‚â†n, Karl Jacob, Hanna Halldorsdottir, Olek Krupa, Sylvia Ward, Daniel Burress, Rock Kohli, Marc Wolff, Elsayed Mohamed, Nasim Pedrad, Sondra James, Regina Anne Rizzo, Jenny L. Salda‚àö¬±a, Barack Obama, Rizwan Manji, Megan Fox, Village, Chris Victor, Edward Norton, Jaiden Kaine, James Huffman, Ann Dev'Unay, Hillary Clinton, Peter Iasillo Jr., Sacha Baron Cohen, Danielle Burgio, Tony von Halle, Aasif Mandvi, Yvette Parish, Kevin Corrigan, Jessica St. Clair, Stephen Dexter, Andrew Ayala, Michael Hardart, Nazanin Homa, Jon Glaser, Leonard Zimmerman, Chris Parnell, Barbara Ann Davison, Niyi Oni, Ben Kingsley, Gad Elmaleh, Sayed Badreya, Victoria Beltran, Neimah Djourabchi, Elena Goode, Steven Weisz, Amanda Hope Dutton, Marceline Hugot, Tony Joe, Shadner Ifrene, Frank Anello, Joanna Moskwa, Sevan Greene, Moe Hindi, William Fowle, Andrew Rogers, Jason Mantzoukas, Alan Cox, Joey Slotnick, Melissa Francis, Kelsey O'Brien, Stass Klassen, Aja Frary, Anna Faris, Richard Worsley, Busty Heart, Chris Gethard, Arash Mokhtar, Marshall Factora, Ebrahim Jaffer, Rick Chambers, B.J. Novak, Glenn Andreiev, Zachary Mackiewicz, Carmel Amit, Bobby Lee, Lisa Landino, Fr‚àö¬©d‚àö¬©ric North, Barbara Vincent, Monika Felice Smith, Alex Kruz, Garry Shandling, Haig Hovnanian, Miriam Tolan, Uzimann, Pete Wiggins, Mousa Kraish, Adam LeFevre, Michael Delaney, Tim J. Ellis, Liam Campora, Dawn Jackson, David Fonteno, Rocky Citron, JB Smoove, Adaku Ononogbo, George Bartenieff, Adeel Akhtar, Eliyas Qureshi, Hannah Prichard, Jim Piddock, Horatio Sanz, Kathryn Hahn, Dominique DiCaprio, Anna Katarina, Chris Elliott, Sydney Berry, Hollis Granville, Nadav Malamud, John C. Reilly, Akim Black, Anton Obeid, Peter Conboy, Iyad Hajjaj, Fred Melamed, Fred Hanna, Anthony Mangano, Ivan Cardona, Michelle Bergh, Jeff Grossman, Kate Pak, Marcia DeBonis, Olivia Taylor Dudley, Seth Morris, Tracey Ruggiero, Sean T. Krishnan, Bill Richards, Ian Roberts, Tara Copeland, Mitchell Greene, Fred Armisen, Cordell King</t>
  </si>
  <si>
    <t>Larry Charles</t>
  </si>
  <si>
    <t>Lawrence Sher</t>
  </si>
  <si>
    <t>David Mandel, Sacha Baron Cohen, Alec Berg, Jeff Schaffer</t>
  </si>
  <si>
    <t>David Mandel, Todd Schulman, Anthony Hines, Scott Rudin, Mari-Jo Winkler, Adam McKay, Sacha Baron Cohen, Dan Mazer, Alec Berg, Jeff Schaffer, Peter Baynham</t>
  </si>
  <si>
    <t>Erran Baron Cohen</t>
  </si>
  <si>
    <t>/n0W7kajF4GFMRk2c0wWwMQqTaDM.jpg</t>
  </si>
  <si>
    <t>the dictator</t>
  </si>
  <si>
    <t>blank (64), german speaking region (1), biografilm festival (1), italian speaking region (1), french speaking region (1), buenos aires (1), premiere (1), internet (2), dvd premiere (1), tv premiere (1)</t>
  </si>
  <si>
    <t>What to Expect When You're Expecting</t>
  </si>
  <si>
    <t>tt1586265</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</si>
  <si>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</si>
  <si>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It's too late to pull out now.</t>
  </si>
  <si>
    <t>Romance, Comedy, Drama</t>
  </si>
  <si>
    <t>lionsgate, alcon entertainment, phoenix pictures, what to expect productions</t>
  </si>
  <si>
    <t>Maria Howell, Rob Huebel, Jeff Chase, Richard Mitchell, Kate Kneeland, Jasmine Kaur, Chace Crawford, Hannah Kasulka, Chelsea Cardwell, Eric Mendenhall, Taboo, Cynthia Evans, Thomas Lennon, Elizabeth Becka, Nico Ward, Genesis Rodriguez, Whitney Port, Megan Mullally, Joe Manganiello, Mimi Gianopulos, Brian Bascle, Valerie Payton, Ben Falcone, Judi Blair, Macsen Lintz, Jennifer Lopez, Jon Stafford, Veronica Yung, Brooklyn Decker, Pam Smith, Cait Johnson, Cheryl, Sharon Conley, Matthew Morrison, Bree Dawn Shannon, Jimi Kocina, Steve Coulter, Kim Fields, Rebel Wilson, Rhoda Griffis, J. Todd Smith, Jacqueline Marie Zwick, Wendi McLendon-Covey, Adam Baaklini, Andrew Laws, Megan Hayes, Jessie Ward, Taylor Kowalski, Dwyane Wade, Emily Chandler Westergreen, Rodrigo Santoro, Elizabeth Banks, Tyce Diorio, Julie Ivey, Catherine Barrow, Sharon Gee, Jordan Blair Mangold Brown, Yvette Tucker, Dennis Quaid, Amir Talai, Jesse Burch, Catherine Dyer, Cameron Diaz, Anna Kendrick, Aerli Austen, Wilbur Fitzgerald, David Thwaites, Bart Hansard, Africa Miranda, Matt Lintz, Scott Poythress, Chris Rock, Kelley Hinman</t>
  </si>
  <si>
    <t>Kirk Jones</t>
  </si>
  <si>
    <t>Xavier Grobet</t>
  </si>
  <si>
    <t>Heidi Murkoff, Heather Hach, Shauna Cross</t>
  </si>
  <si>
    <t>Arnold Messer, Jim Miller, Heidi Murkoff, David Thwaites, Mike Medavoy, Erik Murkoff, Alan Nevins, Allison Shearmur, Mark Bakshi</t>
  </si>
  <si>
    <t>/51kg6CdfwwrBjDDFhT44TwoAZMr.jpg</t>
  </si>
  <si>
    <t>what to expect when you're expecting</t>
  </si>
  <si>
    <t>blank (55), internet (1), belgrade (1), premiere (1), modern literature film festival (1)</t>
  </si>
  <si>
    <t>The Color Wheel</t>
  </si>
  <si>
    <t>tt1734548</t>
  </si>
  <si>
    <t>JR, an aspiring news-anchor, forces her younger brother Colin to embark on a road trip to move her belongings out of her professor-turned-lover‚Äö√Ñ√¥s place. Traveling through New England, they uncomfortably run into old school-mates or revisit familial history from which they have long since diverged.</t>
  </si>
  <si>
    <t>An objectionable comedy about disappointment and forgiveness.</t>
  </si>
  <si>
    <t>dorset films, frank miller ink</t>
  </si>
  <si>
    <t>Craig Butta, Keith Poulson, Benjamin Moses Smith, Alexa Casciari, C. Mason Wells, Leigh Poulos, Roy Thomas, Alex Ross Perry, Jody E. Smith, Sandy Gartner, Bob Byington, Kate Lyn Sheil, Drew Brooke, Carlen Altman, Bonnie Pritchard, Tom Brown, Ethan Smith, Brandon Prince, Anna Bak-Kvapil, Sarah Virden, Anna Margaret Hollyman, Ry Russo-Young, Kate Hollowell</t>
  </si>
  <si>
    <t>Alex Ross Perry</t>
  </si>
  <si>
    <t>Sean Price Williams</t>
  </si>
  <si>
    <t>Alex Ross Perry, Carlen Altman</t>
  </si>
  <si>
    <t>Preston Spurlock</t>
  </si>
  <si>
    <t>/vAIq1n0LjePYFLwJlHrGih58bVZ.jpg</t>
  </si>
  <si>
    <t>the color wheel</t>
  </si>
  <si>
    <t>wisconsin film festival (1), sarasota film festival (1), bamcinemafest (1), locarno film festival (1), raindance film festival (1), vancouver international film festival (1), ljubljana international film festival (1), mar del plata film festival (1), belfort entrevues film festival (1), g√∂teborg international film festival (1), indielisboa international independent film festival (1), blank (2), cph:pix (1), panorama of european cinema (1), new york film festival (1), champs-√©lys√©es film festival (1), internet (1), american film festival (1)</t>
  </si>
  <si>
    <t>Department</t>
  </si>
  <si>
    <t>tt2186731</t>
  </si>
  <si>
    <t>A police inspector recruits a suspended cop for a specialized task force to battle organized crime.</t>
  </si>
  <si>
    <t>Justice Is Their Crime</t>
  </si>
  <si>
    <t>dreamforce enterprise</t>
  </si>
  <si>
    <t>Neeraj Vora, Sanjay Dutt, Nathalia Kaur, Anjana Sukhani, Madhu Shalini, Abhimanyu Singh, Deepak Tijori, Rana Daggubati, Vijay Raaz, Amitabh Bachchan, Lakshmi Manchu</t>
  </si>
  <si>
    <t>Ram Gopal Varma</t>
  </si>
  <si>
    <t>Zaryan Patel, M Ravichandran Thevar, Harshraj Shroff, Siddhartha More, Sapan Narula</t>
  </si>
  <si>
    <t>Nilesh Girkar</t>
  </si>
  <si>
    <t>Ram Gopal Varma, Pande Nillay</t>
  </si>
  <si>
    <t>Dharam Sandeep, Dharam Bhatt, Bappi Lahiri, Bappa Lahiri</t>
  </si>
  <si>
    <t>/jhCneije4SDj6aW1phk2TkbzYbx.jpg</t>
  </si>
  <si>
    <t>department</t>
  </si>
  <si>
    <t>On the Road</t>
  </si>
  <si>
    <t>tt0337692</t>
  </si>
  <si>
    <t>Sal Paradise is a young writer whose life is shaken and ultimately redefined by the arrival of Dean Moriarty, a free-spirited, fearless, fast talking Westerner and his girl, Marylou. Traveling cross-country, Sal and Dean venture out on a personal quest for freedom from the conformity and conservatism engulfing them in search of the unknown, themselves, and the pursuit of ‚Äö√Ñ√∫it‚Äö√Ñ√π -- the pure essence of experience.</t>
  </si>
  <si>
    <t>"The best teacher is experience."</t>
  </si>
  <si>
    <t>Adventure, Drama</t>
  </si>
  <si>
    <t>mk2 films, film4 productions, france 2 cin‚àö¬©ma, videofilmes, american zoetrope</t>
  </si>
  <si>
    <t>Brazil, France, United Kingdom, United States of America</t>
  </si>
  <si>
    <t>English, Fran‚àö√üais</t>
  </si>
  <si>
    <t>Alice Braga, Jenessa Grant, Steve Buscemi, Joe Chrest, John Burnside, Garrett Hedlund, Eric Davis, Coati Mundi, Terrence Howard, Sarah Allen, Omoze Idehenre, Giselle Iti‚àö¬©, Tom Sturridge, Elisabeth Moss, Kaniehtiio Horn, Kim Bubbs, Daniel Kash, Sam Riley, Kyle Gatehouse, Rocky Marquette, Amy Adams, Viggo Mortensen, Kristen Stewart, Kirsten Dunst, Giovanna Zacar‚àö‚â†as, Danny Morgan</t>
  </si>
  <si>
    <t>Walter Salles</t>
  </si>
  <si>
    <t>‚àö√¢ric Gautier</t>
  </si>
  <si>
    <t>Jack Kerouac, Jose Rivera</t>
  </si>
  <si>
    <t>Rebecca Yeldham, Michael Zakin, Tessa Ross, Patrick Batteux, Alex Killian, John H. Williams, Matias Mosteirin, Mauricio Andrade Ramos, Francis Ford Coppola, Leticia Cristi, Nathana‚àö¬¥l Karmitz, Arpad Busson, Charles Gillibert, Jerry Leider, Lyse Lafontaine, Roman Coppola</t>
  </si>
  <si>
    <t>Gustavo Santaolalla</t>
  </si>
  <si>
    <t>/k7LQteD02p3VHixbS6NXHkFdFwT.jpg</t>
  </si>
  <si>
    <t>on the road</t>
  </si>
  <si>
    <t>gent (1), french speaking region (1), blank (40), cannes film festival (1), peace &amp; love film festival (1), munich international film festival (1), new horizons film festival (1), toronto international film festival (1), athens film festival (1), german speaking region (1), mill valley film festival (1), taipei golden horse film festival (1), ljubljana international film festival (1), kinomania (1), cinedays film festival (1), quebec city film festival (1), santa fe international film festival (1), limited (2), !f istanbul independent film festival (1), belgrade film festival (1), belgrade (1), premiere (1), taipei literature festival (1), dvd premiere (1), festival de cine de montevideo (1), internet (1), takarazuka film festival (1)</t>
  </si>
  <si>
    <t>Men in Black 3</t>
  </si>
  <si>
    <t>tt1409024</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</si>
  <si>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</si>
  <si>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Back in time.</t>
  </si>
  <si>
    <t>Action, Comedy, Science Fiction</t>
  </si>
  <si>
    <t>columbia pictures, hemisphere media capital, amblin entertainment, parkes+macdonald image nation, image nation abu dhabi</t>
  </si>
  <si>
    <t>United Arab Emirates, United States of America</t>
  </si>
  <si>
    <t>Lenny Venito, Tom McComas, Cayen Martin, Kimmy Suzuki, Erin Lindsey Krom, Brad Abrell, Alex Ziwak, Rip Torn, Emma Thompson, Gerritt Vandermeer, Jemaine Clement, Susan Ringo, Nicole Scherzinger, Charlie Barnett, Amy Erwitt, Tyler Johnson, Barry Sonnenfeld, Jack O'Connell, Michael Chernus, James Martin Kelly, Howard Stern, Britt Chandler Johnson, Joseph R. Gannascoli, Chloe Sonnenfeld, Tommy Lee Jones, Eha Urbsalu, Tobias Segal, Justin Bieber, Tim Blaney, Bill Hader, Rebecca Glasscock, Josh Brolin, Lanny Flaherty, Jonathan Drew, Stephen Brian Jones, Jason Liles, Tony Shalhoub, Leonard Zimmerman, Anthony J. Gallo, Alice Eve, Kirk Larsen, Mike Colter, Douglas Crosby, Victor Joel Ortiz, Joel Brady, Valence Thomas, Alpheus Merchant, Tim Burton, Jon Shaver, Stephanie Ellis, Katy Frame, Alexandra O'Hara, Jesse Ridgway, Will Arnett, Ken Arnold, Kevin Townley, Jeremy Beiler, Kati Rediger, Carl J. Johnson, Clarke Thorell, Adam Mucci, Violet O'Hara, Ian Blackman, Liz Logan, Thom Fountain, Jonathan O'Hara, David Rasche, Keone Young, Ben Mac Brown, Jada Pinkett Smith, Woodie King Jr., Michael Stuhlbarg, Joseph D'Onofrio, Will McLaughlin, Will Smith, Rick Baker, Jared Johnston, Liliane Klein, David Pittu</t>
  </si>
  <si>
    <t>Barry Sonnenfeld</t>
  </si>
  <si>
    <t>Bill Pope</t>
  </si>
  <si>
    <t>Etan Cohen, Lowell Cunningham, Stanley D. Williams</t>
  </si>
  <si>
    <t>Walter F. Parkes, G. Mac Brown, Steven Spielberg, Laurie MacDonald</t>
  </si>
  <si>
    <t>/90DdoEStzeObs96fsYf4GG544iN.jpg</t>
  </si>
  <si>
    <t>men in black 3</t>
  </si>
  <si>
    <t>berlin (1), premiere (2), blank (63), amsterdam (1), internet (3), tv premiere (1)</t>
  </si>
  <si>
    <t>Cosmopolis</t>
  </si>
  <si>
    <t>tt1480656</t>
  </si>
  <si>
    <t>Riding across Manhattan in a stretch limo during a riot in order to get a haircut, a 28-year-old billionaire asset manager's life begins to crumble.</t>
  </si>
  <si>
    <t>How far can he go before he goes too far?</t>
  </si>
  <si>
    <t>Drama</t>
  </si>
  <si>
    <t>alfama films, prospero pictures, kinologic films, france 2 cin‚àö¬©ma</t>
  </si>
  <si>
    <t>Canada, France</t>
  </si>
  <si>
    <t>Emily Hampshire, Inessa Frantowski, Milton Barnes, Anna Hardwick, Samantha Morton, Philip Nozuka, Jonathan Seinen, Jay Baruchel, K'Naan, Patricia McKenzie, Juliette Binoche, Saad Siddiqui, John Batkis, Abdul Ayoola, Kevin Durand, Nadeem Umar-Khitab, Ryan Kelly, Bob Bainborough, David Schaap, Jadyn Wong, George Touliatos, Go‚àö¬™chy Boy, Warren Chow, ‚âàŒ©eljko Kecojevi∆í√°, Sarah Gadon, Paul Giamatti, Robert Pattinson, Mathieu Amalric, Albert Gomez</t>
  </si>
  <si>
    <t>David Cronenberg</t>
  </si>
  <si>
    <t>Peter Suschitzky</t>
  </si>
  <si>
    <t>David Cronenberg, Don DeLillo</t>
  </si>
  <si>
    <t>Paulo Branco, Renee Tab, Gr‚àö¬©goire Melin, David Cronenberg, Walter Gasparovic, Martin Katz, Edouard Carmignac</t>
  </si>
  <si>
    <t>Howard Shore</t>
  </si>
  <si>
    <t>/94m7J9YeO0W7IEbfsOtFbweGgcu.jpg</t>
  </si>
  <si>
    <t>cosmopolis</t>
  </si>
  <si>
    <t>french speaking region (1), italian speaking region (1), blank (42), cannes film festival (1), limited (4), karlovy vary international film festival (1), german speaking region (1), los angeles, california (1), new york city, new york (1), athens film festival (1), greek film archive (1), morelia international film festival (1), cinedays film festival (1), oslo international film festival (1), taipei literature festival (1), cin√©math√®que fran√ßaise (4), deauville film festival (1), tv re-release (1), porto (1), batalha centro de cinema (1)</t>
  </si>
  <si>
    <t>Snow White and the Huntsman</t>
  </si>
  <si>
    <t>tt1735898</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</si>
  <si>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</si>
  <si>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The fairytale is over</t>
  </si>
  <si>
    <t>Adventure, Fantasy, Drama</t>
  </si>
  <si>
    <t>universal pictures, roth films</t>
  </si>
  <si>
    <t>Ryan Stuart, Ian McShane, Sam Spruell, Charlize Theron, Vincent Regan, Lily Cole, Rachael Stirling, JD Roth-Round, Kevin Hudson, Chris Obi, Joey Ansah, Jamie Blackley, Izzy Meikle-Small, Matt Berry, Elliot Reeve, Mark Wingett, Chris Hemsworth, Eddie Marsan, Craig Garner, Hattie Gotobed, Raffey Cassidy, Liberty Ross, Brian Gleeson, Tom Mullion, Gregor Truter, Duncan Casey, Sam Claflin, Kristen Stewart, Andrew Hawley, Greg Hicks, Dave Legeno, Noah Huntley, Anastasia Hille, Nick Frost, Ray Winstone, Johnny Harris, Neve Gachev, Darren Kent, Toby Jones, Bob Hoskins, Peter Ferdinando, Xavier Atkins</t>
  </si>
  <si>
    <t>Rupert Sanders</t>
  </si>
  <si>
    <t>Greig Fraser</t>
  </si>
  <si>
    <t>Hossein Amini, John Lee Hancock, Evan Daugherty</t>
  </si>
  <si>
    <t>Joe Roth, Gloria S. Borders, Sam Mercer, Palak Patel</t>
  </si>
  <si>
    <t>/wLC5EEWUt7Sx1vGfSEcyCJKpuLd.jpg</t>
  </si>
  <si>
    <t>snow white and the huntsman</t>
  </si>
  <si>
    <t>london (1), premiere (1), blank (72), german speaking region (1), italian speaking region (1), champs-elys√©es film festival (1), french speaking region (1), shanghai international film festival (1)</t>
  </si>
  <si>
    <t>Prometheus</t>
  </si>
  <si>
    <t>tt1446714</t>
  </si>
  <si>
    <t>A team of explorers discover a clue to the origins of mankind on Earth, leading them on a journey to the darkest corners of the universe. There, they must fight a terrifying battle to save the future of the human race.</t>
  </si>
  <si>
    <t>The search for our beginning could lead to our end.</t>
  </si>
  <si>
    <t>Science Fiction, Adventure, Mystery</t>
  </si>
  <si>
    <t>dune entertainment, 20th century fox, brandywine productions, scott free productions</t>
  </si>
  <si>
    <t>United States of America, United Kingdom</t>
  </si>
  <si>
    <t>, English</t>
  </si>
  <si>
    <t>Noomi Rapace, Charlize Theron, Matthew Burgess, Shin-Ichiro Okajima, Louisa Staples, Idris Elba, Rhona Croker, Annie Penn, Sonam Dugdak, John Lebar, Patrick Wilson, Eugene O'Hare, Ian Whyte, Giannina Facio, James Embree, Guy Pearce, Daniel James Peterson, Jenny Rainsford, C.C. Smiff, Richard Thomson, Vladimir "Furdo" Furdik, Reynir Thor Eggertsson, Philip McGinley, Zed Sevcikova, Robin Atkin Downes, Benedict Wong, Lucy Hutchinson, Branwell Donaghey, Charalambos Dendrinos, Matt Rook, Rafe Spall, Logan Marshall-Green, Shane Steyn, Emun Elliott, Anil Biltoo, Florian Robin, James Currie, Sean Harris, Phill Martin, Berhane Woldegabriel, Michael Fassbender, Kate Dickie, Wambui Wa-Ngatho, Dan Dewhirst, Wannaporn Rienjang</t>
  </si>
  <si>
    <t>Ridley Scott</t>
  </si>
  <si>
    <t>Dariusz Wolski</t>
  </si>
  <si>
    <t>Damon Lindelof, Ronald Shusett, Jon Spaihts, Dan O'Bannon</t>
  </si>
  <si>
    <t>Walter Hill, Michael Ellenberg, Michael Costigan, Ridley Scott, David Giler, Damon Lindelof, Mark Huffam</t>
  </si>
  <si>
    <t>Marc Streitenfeld</t>
  </si>
  <si>
    <t>/qsYQflQhOuhDpQ0W2aOcwqgDAeI.jpg</t>
  </si>
  <si>
    <t>prometheus</t>
  </si>
  <si>
    <t>paris (1), premiere (2), blank (73), french speaking region (1), limited (3), london (1), 3d version (1), german speaking region (1), italian speaking region (1), beijing international film festival (1), g√∂teborg film festival (1)</t>
  </si>
  <si>
    <t>Outlaws - For Greater Glory</t>
  </si>
  <si>
    <t>tt1566501</t>
  </si>
  <si>
    <t>For Greater Glory: The True Story of Cristiada</t>
  </si>
  <si>
    <t>A chronicle of the Cristeros War (1926-1929), which was touched off by a rebellion against the Mexican government's attempt to secularize the country.</t>
  </si>
  <si>
    <t>The True Story of Cristiada</t>
  </si>
  <si>
    <t>History, Drama, Action, War</t>
  </si>
  <si>
    <t>dos corazones, newland films</t>
  </si>
  <si>
    <t>Mexico, United States of America</t>
  </si>
  <si>
    <t>Rub‚àö¬©n Blades, Nestor Carbonell, Bruce Greenwood, Roger Cudney, Adrian Alonso, Santiago Cabrera, Bruce McGill, Harold Torres, Fernanda Urdapilleta, Eduardo Ver‚àö¬∞stegui, Peter O'Toole, Ignacio Guadalupe, Ceci Flores, Jorge Luis Moreno, Jos‚àö¬© Sefami, Catalina Sandino Moreno, Andy Garc‚àö‚â†a, Eva Longoria, Oscar Isaac, Mau Kuri</t>
  </si>
  <si>
    <t>Dean Wright</t>
  </si>
  <si>
    <t>Michael Love</t>
  </si>
  <si>
    <t>Pablo Jos‚àö¬© Barroso</t>
  </si>
  <si>
    <t>James Horner</t>
  </si>
  <si>
    <t>/7jgh0ej04j98q2NFpSZLlpDazUo.jpg</t>
  </si>
  <si>
    <t>outlaws - for greater glory</t>
  </si>
  <si>
    <t>blank (8), dvd premiere (3), greek film archive (1), tv premiere (1), dvd and blu-ray premiere (1)</t>
  </si>
  <si>
    <t>Rowdy Rathore</t>
  </si>
  <si>
    <t>tt2077833</t>
  </si>
  <si>
    <t>A small-time thug comes across a young girl who claims him to be her father, following which he realizes he has a lookalike who's being hunted by goons.</t>
  </si>
  <si>
    <t>Faulad ki Aulaad</t>
  </si>
  <si>
    <t>bhansali productions</t>
  </si>
  <si>
    <t>Kareena Kapoor Khan, Vijay, Paresh Ganatra, Maryam Zakaria, Ashok Samarth, Akshay Kumar, Sonakshi Sinha, Raj Arjun, Amit Kumar Tiwari, Prabhu Deva, Anant Jog, Supreet, Nassar, Mumaith Khan, Jayant Gadekar, Yashpal Sharma, Shakti Mohan, Darshan Jariwala, Mushtaq Khan, Shakti Kapoor, Gurdeep Kohli, Shruti Bapna</t>
  </si>
  <si>
    <t>Prabhu Deva</t>
  </si>
  <si>
    <t>Santosh Thundiyil</t>
  </si>
  <si>
    <t>Vijayendra Prasad, A. C. Mugil, Shiraz Ahmed</t>
  </si>
  <si>
    <t>Sanjay Leela Bhansali, Ronnie Screwvala, Rajat Rawail</t>
  </si>
  <si>
    <t>Sajid Ali Khan, Wajid Khan</t>
  </si>
  <si>
    <t>/ytdp64MDSpONpm932nQcMTD95IF.jpg</t>
  </si>
  <si>
    <t>rowdy rathore</t>
  </si>
  <si>
    <t>blank (8), limited (1), mar del plata film festival (1), imagine film festival (1), internet (2)</t>
  </si>
  <si>
    <t>Madagascar 3: Europe's Most Wanted</t>
  </si>
  <si>
    <t>tt1277953</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</si>
  <si>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</si>
  <si>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They have one shot to get back home.</t>
  </si>
  <si>
    <t>Animation, Family, Comedy, Adventure</t>
  </si>
  <si>
    <t>dreamworks animation, pacific data images</t>
  </si>
  <si>
    <t>Martin Short, Danny Jacobs, Stephen Kearin, David Schwimmer, Jada Pinkett Smith, Nick Fletcher, Christopher Knights, Jessica Chastain, Conrad Vernon, Vinnie Jones, Bryan Cranston, Andy Richter, Chris Miller, Steve Jones, Sacha Baron Cohen, Ben Stiller, Paz Vega, Chris Rock, Tom McGrath, Cedric the Entertainer, Frances McDormand, Dan O'Connor, Frank Welker, Emily Nordwind, Eric Darnell</t>
  </si>
  <si>
    <t>Conrad Vernon, Eric Darnell, Tom McGrath</t>
  </si>
  <si>
    <t>Eric Darnell, Noah Baumbach</t>
  </si>
  <si>
    <t>Mireille Soria, Mark Swift</t>
  </si>
  <si>
    <t>Hans Zimmer</t>
  </si>
  <si>
    <t>/ekraj4ksvIKeuvQVEevEJkuybZd.jpg</t>
  </si>
  <si>
    <t>madagascar 3: europe's most wanted</t>
  </si>
  <si>
    <t>cannes film festival (1), blank (74), old town taito international comedy film festival (1)</t>
  </si>
  <si>
    <t>Killer Joe</t>
  </si>
  <si>
    <t>tt1726669</t>
  </si>
  <si>
    <t>A cop who moonlights as a hit man agrees to kill the hated mother of a desperate drug dealer in exchange for a tumble with the young man's virginal sister.</t>
  </si>
  <si>
    <t>A Totally Deep-Fried Texas Redneck Trailer Park Murder Story.</t>
  </si>
  <si>
    <t>Crime, Thriller, Drama</t>
  </si>
  <si>
    <t>ana media, worldview entertainment, voltage pictures, picture perfect corporation</t>
  </si>
  <si>
    <t>Juno Temple, Thomas Haden Church, Gina Gershon, Charley Vance, Julia Adams, Gralen Bryant Banks, Matthew McConaughey, Jeff Galpin, Marc Macaulay, Lynette Zumo, Carol Sutton, Scott A. Martin, Danny Epper, Gregory C. Bachaud, Emile Hirsch</t>
  </si>
  <si>
    <t>William Friedkin</t>
  </si>
  <si>
    <t>Caleb Deschanel</t>
  </si>
  <si>
    <t>Tracy Letts</t>
  </si>
  <si>
    <t>Vicki Cherkas, Nicolas Chartier, Molly Conners, Scott Einbinder, Zev Foreman, Christopher Woodrow</t>
  </si>
  <si>
    <t>Tyler Bates</t>
  </si>
  <si>
    <t>/6Tt1TQeOI4TpXu1cBUgNGNGeznW.jpg</t>
  </si>
  <si>
    <t>killer joe</t>
  </si>
  <si>
    <t>venice film festival (1), toronto international film festival (1), sitges film festival (1), south by southwest film festival (1), imagine film festival (1), sydney film festival (1), seattle international film festival (1), edinburgh international film festival (1), blank (18), munich international film festival (1), limited (2), deauville film festival (1), lund fantastisk film festival (1), rio de janeiro international film festival (1), leiden international film festival (1), cinemania (1), dvd premiere (8), phenomena - barcelona (1), subtitled version (5), premiere (1), technical release (1), kaohsiung film festival (1), fas - bilbao (1), event (1), barcelona (1), event &amp; technical release (2), cineteca - madrid (1), maryland film festival (1), provincetown international film festival (1), blu-ray release (1), istanbul film festival (1)</t>
  </si>
  <si>
    <t>Safety Not Guaranteed</t>
  </si>
  <si>
    <t>tt1862079</t>
  </si>
  <si>
    <t>Three magazine employees head out on an assignment to interview a guy who placed a classified ad seeking a companion for time travel.</t>
  </si>
  <si>
    <t>What would you go back for?</t>
  </si>
  <si>
    <t>Comedy, Romance, Science Fiction</t>
  </si>
  <si>
    <t>duplass brothers productions, big beach</t>
  </si>
  <si>
    <t>Alice Hung, Lynn Shelton, Aubrey Plaza, Jeff Garlin, Jenica Bergere, Kimberly Durham, Mary Lynn Rajskub, William Hall Jr., Basil Harris, Mark Duplass, Tony Doupe, Scott Swan, Karan Soni, Xola Malik, Eli Borozan, Grace Arends, Kristen Bell, Tom Ricciardelli, Jake Johnson</t>
  </si>
  <si>
    <t>Colin Trevorrow</t>
  </si>
  <si>
    <t>Benjamin Kasulke</t>
  </si>
  <si>
    <t>Derek Connolly</t>
  </si>
  <si>
    <t>Marc Turtletaub, Peter Saraf, John Hodges, Stephanie Langhoff, Derek Connolly, Mark Duplass, Colin Trevorrow, Jay Duplass, Michael B. Clark</t>
  </si>
  <si>
    <t>Ryan Miller</t>
  </si>
  <si>
    <t>/gH0l9kiaK1Ulalbq07nqR7jtin5.jpg</t>
  </si>
  <si>
    <t>safety not guaranteed</t>
  </si>
  <si>
    <t>sundance film festival (1), south by southwest film festival (1), seattle international film festival (1), limited (1), blank (12), munich international film festival (1), jameson cinefest international film festival (1), festival europ√©en du film fantastique de strasbourg (1), athens film festival (1), kaohsiung film festival (1), leiden international film festival (1), razor reel fantastic film festival bruges (1), blu-ray release (1), stockholm international film festival (1), american film festival (1), warsaw (1), madrid - artistic metropol (1), subtitled version (2), technical release (2), dvd premiere (3), dvd and blu-ray premiere (1), barcelona (1), tv release (1)</t>
  </si>
  <si>
    <t>Colosio</t>
  </si>
  <si>
    <t>tt2398143</t>
  </si>
  <si>
    <t>Colosio: El Asesinato</t>
  </si>
  <si>
    <t>It's 1994 in Mexico, the nation was witnessing a turbulent year since its beginnings. An indigenous rebellion shakes the country. Three months later, the ruling party's presidential candidate is brutally murdered during a rally in Tijuana. The country is concerned. Nobody knows who's behind this event, it all points to a conspiracy. Andr‚àö¬©s V‚àö¬∞zquez, an intelligence expert, is commissioned to lead a secret investigation parallel to the official government issued one. But another expert agent, el Seco, has received orders to wipe out all witnesses and get rid of the evidence surrounding the candidate's murder. As Andr‚àö¬©s begins putting the pieces of this intricate puzzle together and comes closer to the truth, he realizes he's also putting his life and that of his loved ones in peril.</t>
  </si>
  <si>
    <t>Good recreation of an era who is not as far from us as we believe</t>
  </si>
  <si>
    <t>Crime, Drama, Thriller</t>
  </si>
  <si>
    <t>udachi productions, alebrije producciones, ober‚àö‚â•n cinematogr‚àö¬∞fica, la femme endormie, proyecto gauguin</t>
  </si>
  <si>
    <t>Mexico, Spain, France, Colombia</t>
  </si>
  <si>
    <t>Espa‚àö¬±ol</t>
  </si>
  <si>
    <t>Claudia Santiago, Pascacio L‚àö‚â•pez, Zirhank Navarro Tamayo, Emiliano Carrillo, Luis Ernesto Franco, Marius Biegai, Ra‚àö‚à´l M‚àö¬©ndez, Armando Hern‚àö¬∞ndez, Dagoberto Gama, Mois‚àö¬©s Arizmendi, Odiseo Bichir, Teresa Ruiz, Harold Torres, Karina Gidi, Daniel Gim‚àö¬©nez Cacho, Gustavo S‚àö¬∞nchez Parra, Gabriel Casanova, Marco P‚àö¬©rez, Jos‚àö¬© Carlos Rodr‚àö‚â†guez, Kate del Castillo, No‚àö¬© Hern‚àö¬∞ndez, Jos‚àö¬© Sefami, Emilio Echevarr‚àö‚â†a, Odin Ayala, Tenoch Huerta Mej‚àö‚â†a, Ricardo Kleinbaum, Miguel Rodarte, Guillermo R‚àö‚â†os, Nando Estevane, Cesar Ramos, Enoc Lea‚àö¬±o, Pedro Mira, Claudette Maill‚àö¬©, Jos‚àö¬© Mar‚àö‚â†a Y‚àö¬∞zpik, Marco Antonio Argueta, Carlos Arag‚àö‚â•n</t>
  </si>
  <si>
    <t>Carlos Bolado</t>
  </si>
  <si>
    <t>Andr‚àö¬©s Le‚àö‚â•n Becker</t>
  </si>
  <si>
    <t>Carlos Bolado, Hugo Rodr‚àö‚â†guez, Miguel Necoechea</t>
  </si>
  <si>
    <t>Hugo Rodr‚àö‚â†guez, M‚àö‚â•nica Lozano</t>
  </si>
  <si>
    <t>Dan Zlotnik, Pascual Reyes</t>
  </si>
  <si>
    <t>/uE22BFnDeEDV9JApDD41u7MP0wb.jpg</t>
  </si>
  <si>
    <t>colosio</t>
  </si>
  <si>
    <t>blank (2)</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</si>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</sst>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5E0813-3722-CF49-89E1-71CFDAF307FE}" name="Table1" displayName="Table1" ref="A1:AQ50" totalsRowCount="1">
  <autoFilter ref="A1:AQ49" xr:uid="{965E0813-3722-CF49-89E1-71CFDAF307FE}">
    <filterColumn colId="41">
      <filters>
        <filter val="no"/>
      </filters>
    </filterColumn>
  </autoFilter>
  <tableColumns count="43">
    <tableColumn id="1" xr3:uid="{760182B1-D2FA-674D-B8DF-8E1F3B8BAF62}" name="id" totalsRowLabel="Total"/>
    <tableColumn id="2" xr3:uid="{EFD5357E-FC7F-BF40-A07A-4EB1BC6CD981}" name="title"/>
    <tableColumn id="3" xr3:uid="{CA63CC2C-D6CE-D14D-A0A2-DE0D20D26E22}" name="vote_average"/>
    <tableColumn id="4" xr3:uid="{1FEA3399-E195-2142-9252-4CB26884FE75}" name="vote_count"/>
    <tableColumn id="5" xr3:uid="{5B90D6F5-C59E-8144-A17D-A6E4D5722CD6}" name="status"/>
    <tableColumn id="6" xr3:uid="{BDB5E7CC-3B82-6B46-8814-23FF434281B4}" name="release_date" dataDxfId="0"/>
    <tableColumn id="7" xr3:uid="{8144F231-3E2C-BD4F-B9B1-236F7985337B}" name="revenue"/>
    <tableColumn id="8" xr3:uid="{F09FED01-5984-C242-9873-FAD8FDA1682A}" name="runtime"/>
    <tableColumn id="9" xr3:uid="{AAEA07B3-6AA2-8A4A-BF51-166345DA5AAF}" name="budget"/>
    <tableColumn id="10" xr3:uid="{ECAD55DE-1D73-4249-AD68-31E548180F6C}" name="imdb_id"/>
    <tableColumn id="11" xr3:uid="{63C8E5DF-D8E9-E544-96F9-44E55C44189A}" name="original_language"/>
    <tableColumn id="12" xr3:uid="{5A601F62-44B1-5E48-B9D9-F0FF3C24C4E8}" name="original_title"/>
    <tableColumn id="13" xr3:uid="{171110CC-853D-334E-8056-28C975B030E5}" name="overview"/>
    <tableColumn id="14" xr3:uid="{39E38B8D-365F-9947-9CB9-A6D1B38A5363}" name="popularity"/>
    <tableColumn id="15" xr3:uid="{E3DA6683-A70D-2444-8DFE-F6B67D271B0D}" name="tagline"/>
    <tableColumn id="16" xr3:uid="{6C316B36-D58C-0A47-8106-C8D76A353BCE}" name="genres"/>
    <tableColumn id="17" xr3:uid="{F435B9FA-7731-D34C-BA6D-CFA20AA1B526}" name="production_companies"/>
    <tableColumn id="18" xr3:uid="{B0C9AB79-C0C3-CE49-992C-996383565068}" name="production_countries"/>
    <tableColumn id="19" xr3:uid="{B9760263-2081-8147-B0AB-E20898D52F00}" name="spoken_languages"/>
    <tableColumn id="20" xr3:uid="{2B44935D-1D72-A745-91CA-5837FF7D088E}" name="cast"/>
    <tableColumn id="21" xr3:uid="{92AE6F24-11D9-ED44-991B-278888BB63C0}" name="director"/>
    <tableColumn id="22" xr3:uid="{984093F6-A6C6-B34A-A7E6-E294726266E4}" name="director_of_photography"/>
    <tableColumn id="23" xr3:uid="{DE0503ED-7523-5445-8D38-CAE3536ECA69}" name="writers"/>
    <tableColumn id="24" xr3:uid="{DF47DBEA-46C3-654C-AD2F-474C25BEC0D7}" name="producers"/>
    <tableColumn id="25" xr3:uid="{BF44725D-795A-1F4B-8597-D25EB2887708}" name="music_composer"/>
    <tableColumn id="26" xr3:uid="{325792C4-3043-0A48-8638-CBB2CA773E24}" name="imdb_rating"/>
    <tableColumn id="27" xr3:uid="{4B358F45-9354-0E4E-A38B-1C3344AC102F}" name="imdb_votes"/>
    <tableColumn id="28" xr3:uid="{6D4D5E05-E9E9-4041-A389-84FC99E7BB67}" name="poster_path"/>
    <tableColumn id="29" xr3:uid="{1CB128FD-E67C-4145-8590-A9DAAFE66256}" name="release_month"/>
    <tableColumn id="30" xr3:uid="{D65B3950-D7C4-8B4F-A4A1-B5F28A324DA4}" name="release_year"/>
    <tableColumn id="31" xr3:uid="{5DA316F9-9B28-8241-890D-05BD47DD597D}" name="iso_week"/>
    <tableColumn id="32" xr3:uid="{46178733-C309-5247-A792-6D5730C28F4C}" name="title_clean"/>
    <tableColumn id="33" xr3:uid="{042FBE9E-D4C6-CB4C-9578-9B4C62133260}" name="distance"/>
    <tableColumn id="34" xr3:uid="{C7334A58-A4AC-4C42-90FF-7F01E606CC9C}" name="strength"/>
    <tableColumn id="35" xr3:uid="{EBA0A618-ADA2-7A4F-A3AD-5A8C4CCFC9BE}" name="score" totalsRowFunction="sum"/>
    <tableColumn id="36" xr3:uid="{E28A8D80-A498-534A-A4E9-7751FB3BA4AE}" name="marvel_movie"/>
    <tableColumn id="37" xr3:uid="{F917F802-128F-B548-83C9-4B62F1A2F010}" name="attributes"/>
    <tableColumn id="38" xr3:uid="{B9057A63-D413-DC40-A53E-9C2B0C137390}" name="blank"/>
    <tableColumn id="39" xr3:uid="{E5342BF1-A47F-6C4C-90F4-4B060BF6240A}" name="internet"/>
    <tableColumn id="40" xr3:uid="{4B62E93B-AC85-BE47-BF01-A6E9B3DAC807}" name="total"/>
    <tableColumn id="41" xr3:uid="{E320A62D-E8DC-7344-AC8D-350205076BA9}" name="internet_ratio"/>
    <tableColumn id="42" xr3:uid="{9CB6C887-B8D5-5848-8F60-7A98C155CC89}" name="internet_dominance"/>
    <tableColumn id="43" xr3:uid="{CA544398-6CA8-474A-B3A4-50BBE4E8717C}"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5218E-1322-F546-8520-71EA427AB23D}">
  <dimension ref="A1:AQ50"/>
  <sheetViews>
    <sheetView tabSelected="1" topLeftCell="AA13" workbookViewId="0">
      <selection activeCell="AI50" sqref="AI50"/>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70160</v>
      </c>
      <c r="B2" t="s">
        <v>43</v>
      </c>
      <c r="C2">
        <v>7.2190000000000003</v>
      </c>
      <c r="D2">
        <v>22743</v>
      </c>
      <c r="E2" t="s">
        <v>44</v>
      </c>
      <c r="F2" s="1">
        <v>40980</v>
      </c>
      <c r="G2">
        <v>694000000</v>
      </c>
      <c r="H2">
        <v>142</v>
      </c>
      <c r="I2">
        <v>75000000</v>
      </c>
      <c r="J2" t="s">
        <v>45</v>
      </c>
      <c r="K2" t="s">
        <v>46</v>
      </c>
      <c r="L2" t="s">
        <v>43</v>
      </c>
      <c r="M2" t="s">
        <v>47</v>
      </c>
      <c r="N2">
        <v>5.79</v>
      </c>
      <c r="O2" t="s">
        <v>48</v>
      </c>
      <c r="P2" t="s">
        <v>49</v>
      </c>
      <c r="Q2" t="s">
        <v>50</v>
      </c>
      <c r="R2" t="s">
        <v>51</v>
      </c>
      <c r="S2" t="s">
        <v>52</v>
      </c>
      <c r="T2" t="s">
        <v>53</v>
      </c>
      <c r="U2" t="s">
        <v>54</v>
      </c>
      <c r="V2" t="s">
        <v>55</v>
      </c>
      <c r="W2" t="s">
        <v>56</v>
      </c>
      <c r="X2" t="s">
        <v>57</v>
      </c>
      <c r="Y2" t="s">
        <v>58</v>
      </c>
      <c r="Z2">
        <v>7.2</v>
      </c>
      <c r="AA2">
        <v>1061398</v>
      </c>
      <c r="AB2" t="s">
        <v>59</v>
      </c>
      <c r="AC2">
        <v>3</v>
      </c>
      <c r="AD2">
        <v>2012</v>
      </c>
      <c r="AE2">
        <v>11</v>
      </c>
      <c r="AF2" t="s">
        <v>60</v>
      </c>
      <c r="AG2">
        <v>-44</v>
      </c>
      <c r="AH2">
        <v>20.357982519911999</v>
      </c>
      <c r="AI2">
        <v>0.45239961155359998</v>
      </c>
      <c r="AJ2" t="s">
        <v>61</v>
      </c>
      <c r="AK2" t="s">
        <v>62</v>
      </c>
      <c r="AL2">
        <v>71</v>
      </c>
      <c r="AM2">
        <v>0</v>
      </c>
      <c r="AN2">
        <v>79</v>
      </c>
      <c r="AO2">
        <v>0</v>
      </c>
      <c r="AP2" t="s">
        <v>63</v>
      </c>
      <c r="AQ2" t="s">
        <v>63</v>
      </c>
    </row>
    <row r="3" spans="1:43" x14ac:dyDescent="0.2">
      <c r="A3">
        <v>72197</v>
      </c>
      <c r="B3" t="s">
        <v>64</v>
      </c>
      <c r="C3">
        <v>6.5</v>
      </c>
      <c r="D3">
        <v>1160</v>
      </c>
      <c r="E3" t="s">
        <v>44</v>
      </c>
      <c r="F3" s="1">
        <v>40980</v>
      </c>
      <c r="G3">
        <v>123054041</v>
      </c>
      <c r="H3">
        <v>88</v>
      </c>
      <c r="I3">
        <v>60000000</v>
      </c>
      <c r="J3" t="s">
        <v>65</v>
      </c>
      <c r="K3" t="s">
        <v>46</v>
      </c>
      <c r="L3" t="s">
        <v>64</v>
      </c>
      <c r="M3" t="s">
        <v>66</v>
      </c>
      <c r="N3">
        <v>2.0659000000000001</v>
      </c>
      <c r="O3" t="s">
        <v>67</v>
      </c>
      <c r="P3" t="s">
        <v>68</v>
      </c>
      <c r="Q3" t="s">
        <v>69</v>
      </c>
      <c r="R3" t="s">
        <v>70</v>
      </c>
      <c r="S3" t="s">
        <v>52</v>
      </c>
      <c r="T3" t="s">
        <v>71</v>
      </c>
      <c r="U3" t="s">
        <v>72</v>
      </c>
      <c r="W3" t="s">
        <v>73</v>
      </c>
      <c r="X3" t="s">
        <v>74</v>
      </c>
      <c r="Y3" t="s">
        <v>75</v>
      </c>
      <c r="Z3">
        <v>6.7</v>
      </c>
      <c r="AA3">
        <v>53625</v>
      </c>
      <c r="AB3" t="s">
        <v>76</v>
      </c>
      <c r="AC3">
        <v>3</v>
      </c>
      <c r="AD3">
        <v>2012</v>
      </c>
      <c r="AE3">
        <v>11</v>
      </c>
      <c r="AF3" t="s">
        <v>77</v>
      </c>
      <c r="AG3">
        <v>-44</v>
      </c>
      <c r="AH3">
        <v>18.628134182697401</v>
      </c>
      <c r="AI3">
        <v>0.41395853739327598</v>
      </c>
      <c r="AJ3" t="s">
        <v>61</v>
      </c>
      <c r="AK3" t="s">
        <v>78</v>
      </c>
      <c r="AL3">
        <v>48</v>
      </c>
      <c r="AM3">
        <v>0</v>
      </c>
      <c r="AN3">
        <v>49</v>
      </c>
      <c r="AO3">
        <v>0</v>
      </c>
      <c r="AP3" t="s">
        <v>63</v>
      </c>
      <c r="AQ3" t="s">
        <v>63</v>
      </c>
    </row>
    <row r="4" spans="1:43" x14ac:dyDescent="0.2">
      <c r="A4">
        <v>64688</v>
      </c>
      <c r="B4" t="s">
        <v>79</v>
      </c>
      <c r="C4">
        <v>6.8819999999999997</v>
      </c>
      <c r="D4">
        <v>10660</v>
      </c>
      <c r="E4" t="s">
        <v>44</v>
      </c>
      <c r="F4" s="1">
        <v>40982</v>
      </c>
      <c r="G4">
        <v>201585328</v>
      </c>
      <c r="H4">
        <v>109</v>
      </c>
      <c r="I4">
        <v>42000000</v>
      </c>
      <c r="J4" t="s">
        <v>80</v>
      </c>
      <c r="K4" t="s">
        <v>46</v>
      </c>
      <c r="L4" t="s">
        <v>79</v>
      </c>
      <c r="M4" t="s">
        <v>81</v>
      </c>
      <c r="N4">
        <v>5.8197999999999999</v>
      </c>
      <c r="O4" t="s">
        <v>82</v>
      </c>
      <c r="P4" t="s">
        <v>83</v>
      </c>
      <c r="Q4" t="s">
        <v>84</v>
      </c>
      <c r="R4" t="s">
        <v>51</v>
      </c>
      <c r="S4" t="s">
        <v>52</v>
      </c>
      <c r="T4" t="s">
        <v>85</v>
      </c>
      <c r="U4" t="s">
        <v>86</v>
      </c>
      <c r="V4" t="s">
        <v>87</v>
      </c>
      <c r="W4" t="s">
        <v>88</v>
      </c>
      <c r="X4" t="s">
        <v>89</v>
      </c>
      <c r="Y4" t="s">
        <v>90</v>
      </c>
      <c r="Z4">
        <v>7.2</v>
      </c>
      <c r="AA4">
        <v>632788</v>
      </c>
      <c r="AB4" t="s">
        <v>91</v>
      </c>
      <c r="AC4">
        <v>3</v>
      </c>
      <c r="AD4">
        <v>2012</v>
      </c>
      <c r="AE4">
        <v>11</v>
      </c>
      <c r="AF4" t="s">
        <v>92</v>
      </c>
      <c r="AG4">
        <v>-42</v>
      </c>
      <c r="AH4">
        <v>19.121723318695899</v>
      </c>
      <c r="AI4">
        <v>0.44469123996967302</v>
      </c>
      <c r="AJ4" t="s">
        <v>61</v>
      </c>
      <c r="AK4" t="s">
        <v>93</v>
      </c>
      <c r="AL4">
        <v>83</v>
      </c>
      <c r="AM4">
        <v>0</v>
      </c>
      <c r="AN4">
        <v>91</v>
      </c>
      <c r="AO4">
        <v>0</v>
      </c>
      <c r="AP4" t="s">
        <v>63</v>
      </c>
      <c r="AQ4" t="s">
        <v>63</v>
      </c>
    </row>
    <row r="5" spans="1:43" x14ac:dyDescent="0.2">
      <c r="A5">
        <v>60747</v>
      </c>
      <c r="B5" t="s">
        <v>94</v>
      </c>
      <c r="C5">
        <v>5.7</v>
      </c>
      <c r="D5">
        <v>1677</v>
      </c>
      <c r="E5" t="s">
        <v>44</v>
      </c>
      <c r="F5" s="1">
        <v>40983</v>
      </c>
      <c r="G5">
        <v>44806783</v>
      </c>
      <c r="H5">
        <v>93</v>
      </c>
      <c r="I5">
        <v>65000000</v>
      </c>
      <c r="J5" t="s">
        <v>95</v>
      </c>
      <c r="K5" t="s">
        <v>46</v>
      </c>
      <c r="L5" t="s">
        <v>94</v>
      </c>
      <c r="M5" t="s">
        <v>96</v>
      </c>
      <c r="N5">
        <v>6.9047000000000001</v>
      </c>
      <c r="O5" t="s">
        <v>97</v>
      </c>
      <c r="P5" t="s">
        <v>98</v>
      </c>
      <c r="Q5" t="s">
        <v>99</v>
      </c>
      <c r="R5" t="s">
        <v>51</v>
      </c>
      <c r="S5" t="s">
        <v>100</v>
      </c>
      <c r="T5" t="s">
        <v>101</v>
      </c>
      <c r="U5" t="s">
        <v>102</v>
      </c>
      <c r="V5" t="s">
        <v>103</v>
      </c>
      <c r="W5" t="s">
        <v>104</v>
      </c>
      <c r="X5" t="s">
        <v>105</v>
      </c>
      <c r="Y5" t="s">
        <v>106</v>
      </c>
      <c r="Z5">
        <v>5.3</v>
      </c>
      <c r="AA5">
        <v>83076</v>
      </c>
      <c r="AB5" t="s">
        <v>107</v>
      </c>
      <c r="AC5">
        <v>3</v>
      </c>
      <c r="AD5">
        <v>2012</v>
      </c>
      <c r="AE5">
        <v>11</v>
      </c>
      <c r="AF5" t="s">
        <v>108</v>
      </c>
      <c r="AG5">
        <v>-41</v>
      </c>
      <c r="AH5">
        <v>17.617870114492401</v>
      </c>
      <c r="AI5">
        <v>0.41947309796410698</v>
      </c>
      <c r="AJ5" t="s">
        <v>61</v>
      </c>
      <c r="AK5" t="s">
        <v>109</v>
      </c>
      <c r="AL5">
        <v>26</v>
      </c>
      <c r="AM5">
        <v>2</v>
      </c>
      <c r="AN5">
        <v>39</v>
      </c>
      <c r="AO5">
        <v>0.05</v>
      </c>
      <c r="AP5" t="s">
        <v>63</v>
      </c>
      <c r="AQ5" t="s">
        <v>63</v>
      </c>
    </row>
    <row r="6" spans="1:43" x14ac:dyDescent="0.2">
      <c r="A6">
        <v>62764</v>
      </c>
      <c r="B6" t="s">
        <v>110</v>
      </c>
      <c r="C6">
        <v>5.923</v>
      </c>
      <c r="D6">
        <v>3223</v>
      </c>
      <c r="E6" t="s">
        <v>44</v>
      </c>
      <c r="F6" s="1">
        <v>40983</v>
      </c>
      <c r="G6">
        <v>183018522</v>
      </c>
      <c r="H6">
        <v>106</v>
      </c>
      <c r="I6">
        <v>85000000</v>
      </c>
      <c r="J6" t="s">
        <v>111</v>
      </c>
      <c r="K6" t="s">
        <v>46</v>
      </c>
      <c r="L6" t="s">
        <v>110</v>
      </c>
      <c r="M6" t="s">
        <v>112</v>
      </c>
      <c r="N6">
        <v>6.5319000000000003</v>
      </c>
      <c r="O6" t="s">
        <v>113</v>
      </c>
      <c r="P6" t="s">
        <v>114</v>
      </c>
      <c r="Q6" t="s">
        <v>115</v>
      </c>
      <c r="R6" t="s">
        <v>51</v>
      </c>
      <c r="S6" t="s">
        <v>52</v>
      </c>
      <c r="T6" t="s">
        <v>116</v>
      </c>
      <c r="U6" t="s">
        <v>117</v>
      </c>
      <c r="V6" t="s">
        <v>118</v>
      </c>
      <c r="W6" t="s">
        <v>119</v>
      </c>
      <c r="X6" t="s">
        <v>120</v>
      </c>
      <c r="Y6" t="s">
        <v>121</v>
      </c>
      <c r="Z6">
        <v>5.6</v>
      </c>
      <c r="AA6">
        <v>94337</v>
      </c>
      <c r="AB6" t="s">
        <v>122</v>
      </c>
      <c r="AC6">
        <v>3</v>
      </c>
      <c r="AD6">
        <v>2012</v>
      </c>
      <c r="AE6">
        <v>11</v>
      </c>
      <c r="AF6" t="s">
        <v>123</v>
      </c>
      <c r="AG6">
        <v>-41</v>
      </c>
      <c r="AH6">
        <v>19.025097924262599</v>
      </c>
      <c r="AI6">
        <v>0.45297852200625399</v>
      </c>
      <c r="AJ6" t="s">
        <v>61</v>
      </c>
      <c r="AK6" t="s">
        <v>124</v>
      </c>
      <c r="AL6">
        <v>65</v>
      </c>
      <c r="AM6">
        <v>0</v>
      </c>
      <c r="AN6">
        <v>66</v>
      </c>
      <c r="AO6">
        <v>0</v>
      </c>
      <c r="AP6" t="s">
        <v>63</v>
      </c>
      <c r="AQ6" t="s">
        <v>63</v>
      </c>
    </row>
    <row r="7" spans="1:43" x14ac:dyDescent="0.2">
      <c r="A7">
        <v>80389</v>
      </c>
      <c r="B7" t="s">
        <v>125</v>
      </c>
      <c r="C7">
        <v>6.6</v>
      </c>
      <c r="D7">
        <v>1699</v>
      </c>
      <c r="E7" t="s">
        <v>44</v>
      </c>
      <c r="F7" s="1">
        <v>40983</v>
      </c>
      <c r="G7">
        <v>8826837</v>
      </c>
      <c r="H7">
        <v>96</v>
      </c>
      <c r="I7">
        <v>35000000</v>
      </c>
      <c r="J7" t="s">
        <v>126</v>
      </c>
      <c r="K7" t="s">
        <v>46</v>
      </c>
      <c r="L7" t="s">
        <v>125</v>
      </c>
      <c r="M7" t="s">
        <v>127</v>
      </c>
      <c r="N7">
        <v>4.5536000000000003</v>
      </c>
      <c r="O7" t="s">
        <v>128</v>
      </c>
      <c r="P7" t="s">
        <v>129</v>
      </c>
      <c r="Q7" t="s">
        <v>130</v>
      </c>
      <c r="R7" t="s">
        <v>131</v>
      </c>
      <c r="S7" t="s">
        <v>132</v>
      </c>
      <c r="T7" t="s">
        <v>133</v>
      </c>
      <c r="U7" t="s">
        <v>134</v>
      </c>
      <c r="V7" t="s">
        <v>135</v>
      </c>
      <c r="W7" t="s">
        <v>136</v>
      </c>
      <c r="X7" t="s">
        <v>137</v>
      </c>
      <c r="Y7" t="s">
        <v>138</v>
      </c>
      <c r="Z7">
        <v>6.9</v>
      </c>
      <c r="AA7">
        <v>114077</v>
      </c>
      <c r="AB7" t="s">
        <v>139</v>
      </c>
      <c r="AC7">
        <v>3</v>
      </c>
      <c r="AD7">
        <v>2012</v>
      </c>
      <c r="AE7">
        <v>11</v>
      </c>
      <c r="AF7" t="s">
        <v>140</v>
      </c>
      <c r="AG7">
        <v>-41</v>
      </c>
      <c r="AH7">
        <v>15.993307411052699</v>
      </c>
      <c r="AI7">
        <v>0.38079303359649302</v>
      </c>
      <c r="AJ7" t="s">
        <v>61</v>
      </c>
      <c r="AK7" t="s">
        <v>141</v>
      </c>
      <c r="AL7">
        <v>50</v>
      </c>
      <c r="AM7">
        <v>2</v>
      </c>
      <c r="AN7">
        <v>57</v>
      </c>
      <c r="AO7">
        <v>0.04</v>
      </c>
      <c r="AP7" t="s">
        <v>63</v>
      </c>
      <c r="AQ7" t="s">
        <v>63</v>
      </c>
    </row>
    <row r="8" spans="1:43" x14ac:dyDescent="0.2">
      <c r="A8">
        <v>82532</v>
      </c>
      <c r="B8" t="s">
        <v>142</v>
      </c>
      <c r="C8">
        <v>6.2</v>
      </c>
      <c r="D8">
        <v>666</v>
      </c>
      <c r="E8" t="s">
        <v>44</v>
      </c>
      <c r="F8" s="1">
        <v>40984</v>
      </c>
      <c r="G8">
        <v>4400000</v>
      </c>
      <c r="H8">
        <v>83</v>
      </c>
      <c r="I8">
        <v>10000000</v>
      </c>
      <c r="J8" t="s">
        <v>143</v>
      </c>
      <c r="K8" t="s">
        <v>46</v>
      </c>
      <c r="L8" t="s">
        <v>142</v>
      </c>
      <c r="M8" t="s">
        <v>144</v>
      </c>
      <c r="N8">
        <v>0.77149999999999996</v>
      </c>
      <c r="O8" t="s">
        <v>145</v>
      </c>
      <c r="P8" t="s">
        <v>146</v>
      </c>
      <c r="Q8" t="s">
        <v>147</v>
      </c>
      <c r="R8" t="s">
        <v>51</v>
      </c>
      <c r="S8" t="s">
        <v>52</v>
      </c>
      <c r="T8" t="s">
        <v>148</v>
      </c>
      <c r="U8" t="s">
        <v>149</v>
      </c>
      <c r="V8" t="s">
        <v>150</v>
      </c>
      <c r="W8" t="s">
        <v>149</v>
      </c>
      <c r="X8" t="s">
        <v>151</v>
      </c>
      <c r="Y8" t="s">
        <v>152</v>
      </c>
      <c r="Z8">
        <v>6.4</v>
      </c>
      <c r="AA8">
        <v>66263</v>
      </c>
      <c r="AB8" t="s">
        <v>153</v>
      </c>
      <c r="AC8">
        <v>3</v>
      </c>
      <c r="AD8">
        <v>2012</v>
      </c>
      <c r="AE8">
        <v>11</v>
      </c>
      <c r="AF8" t="s">
        <v>154</v>
      </c>
      <c r="AG8">
        <v>-40</v>
      </c>
      <c r="AH8">
        <v>15.2971153261611</v>
      </c>
      <c r="AI8">
        <v>0.373100373808809</v>
      </c>
      <c r="AJ8" t="s">
        <v>61</v>
      </c>
      <c r="AK8" t="s">
        <v>155</v>
      </c>
      <c r="AL8">
        <v>5</v>
      </c>
      <c r="AM8">
        <v>0</v>
      </c>
      <c r="AN8">
        <v>19</v>
      </c>
      <c r="AO8">
        <v>0</v>
      </c>
      <c r="AP8" t="s">
        <v>63</v>
      </c>
      <c r="AQ8" t="s">
        <v>63</v>
      </c>
    </row>
    <row r="9" spans="1:43" x14ac:dyDescent="0.2">
      <c r="A9">
        <v>94329</v>
      </c>
      <c r="B9" t="s">
        <v>156</v>
      </c>
      <c r="C9">
        <v>7.4</v>
      </c>
      <c r="D9">
        <v>3688</v>
      </c>
      <c r="E9" t="s">
        <v>44</v>
      </c>
      <c r="F9" s="1">
        <v>40990</v>
      </c>
      <c r="G9">
        <v>9148519</v>
      </c>
      <c r="H9">
        <v>101</v>
      </c>
      <c r="I9">
        <v>1100000</v>
      </c>
      <c r="J9" t="s">
        <v>157</v>
      </c>
      <c r="K9" t="s">
        <v>0</v>
      </c>
      <c r="L9" t="s">
        <v>158</v>
      </c>
      <c r="M9" t="s">
        <v>159</v>
      </c>
      <c r="N9">
        <v>4.7478999999999996</v>
      </c>
      <c r="O9" t="s">
        <v>160</v>
      </c>
      <c r="P9" t="s">
        <v>161</v>
      </c>
      <c r="Q9" t="s">
        <v>162</v>
      </c>
      <c r="R9" t="s">
        <v>163</v>
      </c>
      <c r="S9" t="s">
        <v>164</v>
      </c>
      <c r="T9" t="s">
        <v>165</v>
      </c>
      <c r="U9" t="s">
        <v>166</v>
      </c>
      <c r="V9" t="s">
        <v>167</v>
      </c>
      <c r="W9" t="s">
        <v>166</v>
      </c>
      <c r="X9" t="s">
        <v>168</v>
      </c>
      <c r="Y9" t="s">
        <v>169</v>
      </c>
      <c r="Z9">
        <v>7.6</v>
      </c>
      <c r="AA9">
        <v>227249</v>
      </c>
      <c r="AB9" t="s">
        <v>170</v>
      </c>
      <c r="AC9">
        <v>3</v>
      </c>
      <c r="AD9">
        <v>2012</v>
      </c>
      <c r="AE9">
        <v>12</v>
      </c>
      <c r="AF9" t="s">
        <v>171</v>
      </c>
      <c r="AG9">
        <v>-34</v>
      </c>
      <c r="AH9">
        <v>16.0291026755351</v>
      </c>
      <c r="AI9">
        <v>0.45797436215814502</v>
      </c>
      <c r="AJ9" t="s">
        <v>61</v>
      </c>
      <c r="AK9" t="s">
        <v>172</v>
      </c>
      <c r="AL9">
        <v>30</v>
      </c>
      <c r="AM9">
        <v>3</v>
      </c>
      <c r="AN9">
        <v>69</v>
      </c>
      <c r="AO9">
        <v>0.04</v>
      </c>
      <c r="AP9" t="s">
        <v>63</v>
      </c>
      <c r="AQ9" t="s">
        <v>63</v>
      </c>
    </row>
    <row r="10" spans="1:43" x14ac:dyDescent="0.2">
      <c r="A10">
        <v>57165</v>
      </c>
      <c r="B10" t="s">
        <v>173</v>
      </c>
      <c r="C10">
        <v>5.8</v>
      </c>
      <c r="D10">
        <v>4369</v>
      </c>
      <c r="E10" t="s">
        <v>44</v>
      </c>
      <c r="F10" s="1">
        <v>40996</v>
      </c>
      <c r="G10">
        <v>301970083</v>
      </c>
      <c r="H10">
        <v>99</v>
      </c>
      <c r="I10">
        <v>150000000</v>
      </c>
      <c r="J10" t="s">
        <v>174</v>
      </c>
      <c r="K10" t="s">
        <v>46</v>
      </c>
      <c r="L10" t="s">
        <v>173</v>
      </c>
      <c r="M10" t="s">
        <v>175</v>
      </c>
      <c r="N10">
        <v>7.0617999999999999</v>
      </c>
      <c r="O10" t="s">
        <v>176</v>
      </c>
      <c r="P10" t="s">
        <v>177</v>
      </c>
      <c r="Q10" t="s">
        <v>178</v>
      </c>
      <c r="R10" t="s">
        <v>179</v>
      </c>
      <c r="S10" t="s">
        <v>52</v>
      </c>
      <c r="T10" t="s">
        <v>180</v>
      </c>
      <c r="U10" t="s">
        <v>181</v>
      </c>
      <c r="V10" t="s">
        <v>182</v>
      </c>
      <c r="W10" t="s">
        <v>183</v>
      </c>
      <c r="X10" t="s">
        <v>184</v>
      </c>
      <c r="Y10" t="s">
        <v>185</v>
      </c>
      <c r="Z10">
        <v>5.7</v>
      </c>
      <c r="AA10">
        <v>201612</v>
      </c>
      <c r="AB10" t="s">
        <v>186</v>
      </c>
      <c r="AC10">
        <v>3</v>
      </c>
      <c r="AD10">
        <v>2012</v>
      </c>
      <c r="AE10">
        <v>13</v>
      </c>
      <c r="AF10" t="s">
        <v>187</v>
      </c>
      <c r="AG10">
        <v>-28</v>
      </c>
      <c r="AH10">
        <v>19.525838510829701</v>
      </c>
      <c r="AI10">
        <v>0.67330477623550899</v>
      </c>
      <c r="AJ10" t="s">
        <v>61</v>
      </c>
      <c r="AK10" t="s">
        <v>188</v>
      </c>
      <c r="AL10">
        <v>55</v>
      </c>
      <c r="AM10">
        <v>0</v>
      </c>
      <c r="AN10">
        <v>60</v>
      </c>
      <c r="AO10">
        <v>0</v>
      </c>
      <c r="AP10" t="s">
        <v>63</v>
      </c>
      <c r="AQ10" t="s">
        <v>63</v>
      </c>
    </row>
    <row r="11" spans="1:43" x14ac:dyDescent="0.2">
      <c r="A11">
        <v>59963</v>
      </c>
      <c r="B11" t="s">
        <v>189</v>
      </c>
      <c r="C11">
        <v>4.8</v>
      </c>
      <c r="D11">
        <v>226</v>
      </c>
      <c r="E11" t="s">
        <v>44</v>
      </c>
      <c r="F11" s="1">
        <v>40996</v>
      </c>
      <c r="G11">
        <v>432274</v>
      </c>
      <c r="H11">
        <v>113</v>
      </c>
      <c r="I11">
        <v>25000000</v>
      </c>
      <c r="J11" t="s">
        <v>190</v>
      </c>
      <c r="K11" t="s">
        <v>46</v>
      </c>
      <c r="L11" t="s">
        <v>189</v>
      </c>
      <c r="M11" t="s">
        <v>191</v>
      </c>
      <c r="N11">
        <v>0.93269999999999997</v>
      </c>
      <c r="O11" t="s">
        <v>192</v>
      </c>
      <c r="P11" t="s">
        <v>193</v>
      </c>
      <c r="Q11" t="s">
        <v>194</v>
      </c>
      <c r="R11" t="s">
        <v>195</v>
      </c>
      <c r="S11" t="s">
        <v>52</v>
      </c>
      <c r="T11" t="s">
        <v>196</v>
      </c>
      <c r="U11" t="s">
        <v>197</v>
      </c>
      <c r="V11" t="s">
        <v>198</v>
      </c>
      <c r="W11" t="s">
        <v>199</v>
      </c>
      <c r="X11" t="s">
        <v>200</v>
      </c>
      <c r="Y11" t="s">
        <v>201</v>
      </c>
      <c r="Z11">
        <v>4.3</v>
      </c>
      <c r="AA11">
        <v>9750</v>
      </c>
      <c r="AB11" t="s">
        <v>202</v>
      </c>
      <c r="AC11">
        <v>3</v>
      </c>
      <c r="AD11">
        <v>2012</v>
      </c>
      <c r="AE11">
        <v>13</v>
      </c>
      <c r="AF11" t="s">
        <v>203</v>
      </c>
      <c r="AG11">
        <v>-28</v>
      </c>
      <c r="AH11">
        <v>12.976817238772901</v>
      </c>
      <c r="AI11">
        <v>0.44747645650941298</v>
      </c>
      <c r="AJ11" t="s">
        <v>61</v>
      </c>
      <c r="AK11" t="s">
        <v>204</v>
      </c>
      <c r="AL11">
        <v>13</v>
      </c>
      <c r="AM11">
        <v>2</v>
      </c>
      <c r="AN11">
        <v>27</v>
      </c>
      <c r="AO11">
        <v>7.0000000000000007E-2</v>
      </c>
      <c r="AP11" t="s">
        <v>63</v>
      </c>
      <c r="AQ11" t="s">
        <v>63</v>
      </c>
    </row>
    <row r="12" spans="1:43" x14ac:dyDescent="0.2">
      <c r="A12">
        <v>82507</v>
      </c>
      <c r="B12" t="s">
        <v>205</v>
      </c>
      <c r="C12">
        <v>6.8659999999999997</v>
      </c>
      <c r="D12">
        <v>5799</v>
      </c>
      <c r="E12" t="s">
        <v>44</v>
      </c>
      <c r="F12" s="1">
        <v>40997</v>
      </c>
      <c r="G12">
        <v>82515113</v>
      </c>
      <c r="H12">
        <v>110</v>
      </c>
      <c r="I12">
        <v>3000000</v>
      </c>
      <c r="J12" t="s">
        <v>206</v>
      </c>
      <c r="K12" t="s">
        <v>46</v>
      </c>
      <c r="L12" t="s">
        <v>205</v>
      </c>
      <c r="M12" t="s">
        <v>207</v>
      </c>
      <c r="N12">
        <v>11.4053</v>
      </c>
      <c r="O12" t="s">
        <v>208</v>
      </c>
      <c r="P12" t="s">
        <v>209</v>
      </c>
      <c r="Q12" t="s">
        <v>210</v>
      </c>
      <c r="R12" t="s">
        <v>211</v>
      </c>
      <c r="S12" t="s">
        <v>212</v>
      </c>
      <c r="T12" t="s">
        <v>213</v>
      </c>
      <c r="U12" t="s">
        <v>214</v>
      </c>
      <c r="V12" t="s">
        <v>215</v>
      </c>
      <c r="W12" t="s">
        <v>216</v>
      </c>
      <c r="X12" t="s">
        <v>217</v>
      </c>
      <c r="Y12" t="s">
        <v>218</v>
      </c>
      <c r="Z12">
        <v>6.8</v>
      </c>
      <c r="AA12">
        <v>309217</v>
      </c>
      <c r="AB12" t="s">
        <v>219</v>
      </c>
      <c r="AC12">
        <v>3</v>
      </c>
      <c r="AD12">
        <v>2012</v>
      </c>
      <c r="AE12">
        <v>13</v>
      </c>
      <c r="AF12" t="s">
        <v>220</v>
      </c>
      <c r="AG12">
        <v>-27</v>
      </c>
      <c r="AH12">
        <v>18.2284920345258</v>
      </c>
      <c r="AI12">
        <v>0.65101757266163696</v>
      </c>
      <c r="AJ12" t="s">
        <v>61</v>
      </c>
      <c r="AK12" t="s">
        <v>221</v>
      </c>
      <c r="AL12">
        <v>51</v>
      </c>
      <c r="AM12">
        <v>1</v>
      </c>
      <c r="AN12">
        <v>62</v>
      </c>
      <c r="AO12">
        <v>0.02</v>
      </c>
      <c r="AP12" t="s">
        <v>63</v>
      </c>
      <c r="AQ12" t="s">
        <v>63</v>
      </c>
    </row>
    <row r="13" spans="1:43" x14ac:dyDescent="0.2">
      <c r="A13">
        <v>88273</v>
      </c>
      <c r="B13" t="s">
        <v>222</v>
      </c>
      <c r="C13">
        <v>7.4</v>
      </c>
      <c r="D13">
        <v>909</v>
      </c>
      <c r="E13" t="s">
        <v>44</v>
      </c>
      <c r="F13" s="1">
        <v>40997</v>
      </c>
      <c r="G13">
        <v>14800000</v>
      </c>
      <c r="H13">
        <v>137</v>
      </c>
      <c r="I13">
        <v>8000000</v>
      </c>
      <c r="J13" t="s">
        <v>223</v>
      </c>
      <c r="K13" t="s">
        <v>224</v>
      </c>
      <c r="L13" t="s">
        <v>225</v>
      </c>
      <c r="M13" t="s">
        <v>226</v>
      </c>
      <c r="N13">
        <v>1.6236999999999999</v>
      </c>
      <c r="O13" t="s">
        <v>227</v>
      </c>
      <c r="P13" t="s">
        <v>228</v>
      </c>
      <c r="Q13" t="s">
        <v>229</v>
      </c>
      <c r="R13" t="s">
        <v>230</v>
      </c>
      <c r="S13" t="s">
        <v>231</v>
      </c>
      <c r="T13" t="s">
        <v>232</v>
      </c>
      <c r="U13" t="s">
        <v>233</v>
      </c>
      <c r="V13" t="s">
        <v>234</v>
      </c>
      <c r="W13" t="s">
        <v>235</v>
      </c>
      <c r="X13" t="s">
        <v>236</v>
      </c>
      <c r="Y13" t="s">
        <v>237</v>
      </c>
      <c r="Z13">
        <v>7.5</v>
      </c>
      <c r="AA13">
        <v>53404</v>
      </c>
      <c r="AB13" t="s">
        <v>238</v>
      </c>
      <c r="AC13">
        <v>3</v>
      </c>
      <c r="AD13">
        <v>2012</v>
      </c>
      <c r="AE13">
        <v>13</v>
      </c>
      <c r="AF13" t="s">
        <v>239</v>
      </c>
      <c r="AG13">
        <v>-27</v>
      </c>
      <c r="AH13">
        <v>16.510137806301898</v>
      </c>
      <c r="AI13">
        <v>0.58964777879649599</v>
      </c>
      <c r="AJ13" t="s">
        <v>61</v>
      </c>
      <c r="AK13" t="s">
        <v>240</v>
      </c>
      <c r="AL13">
        <v>38</v>
      </c>
      <c r="AM13">
        <v>0</v>
      </c>
      <c r="AN13">
        <v>60</v>
      </c>
      <c r="AO13">
        <v>0</v>
      </c>
      <c r="AP13" t="s">
        <v>63</v>
      </c>
      <c r="AQ13" t="s">
        <v>63</v>
      </c>
    </row>
    <row r="14" spans="1:43" x14ac:dyDescent="0.2">
      <c r="A14">
        <v>97512</v>
      </c>
      <c r="B14" t="s">
        <v>241</v>
      </c>
      <c r="C14">
        <v>4.9189999999999996</v>
      </c>
      <c r="D14">
        <v>124</v>
      </c>
      <c r="E14" t="s">
        <v>44</v>
      </c>
      <c r="F14" s="1">
        <v>40997</v>
      </c>
      <c r="G14">
        <v>58387</v>
      </c>
      <c r="H14">
        <v>91</v>
      </c>
      <c r="I14">
        <v>15500000</v>
      </c>
      <c r="J14" t="s">
        <v>242</v>
      </c>
      <c r="K14" t="s">
        <v>46</v>
      </c>
      <c r="L14" t="s">
        <v>241</v>
      </c>
      <c r="M14" t="s">
        <v>243</v>
      </c>
      <c r="N14">
        <v>1.2607999999999999</v>
      </c>
      <c r="O14" t="s">
        <v>244</v>
      </c>
      <c r="P14" t="s">
        <v>245</v>
      </c>
      <c r="Q14" t="s">
        <v>246</v>
      </c>
      <c r="R14" t="s">
        <v>51</v>
      </c>
      <c r="S14" t="s">
        <v>52</v>
      </c>
      <c r="T14" t="s">
        <v>247</v>
      </c>
      <c r="U14" t="s">
        <v>248</v>
      </c>
      <c r="V14" t="s">
        <v>249</v>
      </c>
      <c r="W14" t="s">
        <v>250</v>
      </c>
      <c r="X14" t="s">
        <v>251</v>
      </c>
      <c r="Y14" t="s">
        <v>252</v>
      </c>
      <c r="Z14">
        <v>4.5</v>
      </c>
      <c r="AA14">
        <v>5394</v>
      </c>
      <c r="AB14" t="s">
        <v>253</v>
      </c>
      <c r="AC14">
        <v>3</v>
      </c>
      <c r="AD14">
        <v>2012</v>
      </c>
      <c r="AE14">
        <v>13</v>
      </c>
      <c r="AF14" t="s">
        <v>254</v>
      </c>
      <c r="AG14">
        <v>-27</v>
      </c>
      <c r="AH14">
        <v>10.9748656682504</v>
      </c>
      <c r="AI14">
        <v>0.39195948815180198</v>
      </c>
      <c r="AJ14" t="s">
        <v>61</v>
      </c>
      <c r="AK14" t="s">
        <v>255</v>
      </c>
      <c r="AL14">
        <v>2</v>
      </c>
      <c r="AM14">
        <v>0</v>
      </c>
      <c r="AN14">
        <v>10</v>
      </c>
      <c r="AO14">
        <v>0</v>
      </c>
      <c r="AP14" t="s">
        <v>63</v>
      </c>
      <c r="AQ14" t="s">
        <v>63</v>
      </c>
    </row>
    <row r="15" spans="1:43" x14ac:dyDescent="0.2">
      <c r="A15">
        <v>80280</v>
      </c>
      <c r="B15" t="s">
        <v>256</v>
      </c>
      <c r="C15">
        <v>5.3</v>
      </c>
      <c r="D15">
        <v>1559</v>
      </c>
      <c r="E15" t="s">
        <v>44</v>
      </c>
      <c r="F15" s="1">
        <v>40998</v>
      </c>
      <c r="G15">
        <v>11019975</v>
      </c>
      <c r="H15">
        <v>80</v>
      </c>
      <c r="I15">
        <v>6400000</v>
      </c>
      <c r="J15" t="s">
        <v>257</v>
      </c>
      <c r="K15" t="s">
        <v>258</v>
      </c>
      <c r="L15" t="s">
        <v>259</v>
      </c>
      <c r="M15" t="s">
        <v>260</v>
      </c>
      <c r="N15">
        <v>5.5376000000000003</v>
      </c>
      <c r="O15" t="s">
        <v>261</v>
      </c>
      <c r="P15" t="s">
        <v>262</v>
      </c>
      <c r="Q15" t="s">
        <v>263</v>
      </c>
      <c r="R15" t="s">
        <v>264</v>
      </c>
      <c r="S15" t="s">
        <v>265</v>
      </c>
      <c r="T15" t="s">
        <v>266</v>
      </c>
      <c r="U15" t="s">
        <v>267</v>
      </c>
      <c r="V15" t="s">
        <v>268</v>
      </c>
      <c r="W15" t="s">
        <v>269</v>
      </c>
      <c r="X15" t="s">
        <v>270</v>
      </c>
      <c r="Y15" t="s">
        <v>271</v>
      </c>
      <c r="Z15">
        <v>5</v>
      </c>
      <c r="AA15">
        <v>40602</v>
      </c>
      <c r="AB15" t="s">
        <v>272</v>
      </c>
      <c r="AC15">
        <v>3</v>
      </c>
      <c r="AD15">
        <v>2012</v>
      </c>
      <c r="AE15">
        <v>13</v>
      </c>
      <c r="AF15" t="s">
        <v>273</v>
      </c>
      <c r="AG15">
        <v>-26</v>
      </c>
      <c r="AH15">
        <v>16.215220183828201</v>
      </c>
      <c r="AI15">
        <v>0.60056371051215596</v>
      </c>
      <c r="AJ15" t="s">
        <v>61</v>
      </c>
      <c r="AK15" t="s">
        <v>274</v>
      </c>
      <c r="AL15">
        <v>22</v>
      </c>
      <c r="AM15">
        <v>0</v>
      </c>
      <c r="AN15">
        <v>40</v>
      </c>
      <c r="AO15">
        <v>0</v>
      </c>
      <c r="AP15" t="s">
        <v>63</v>
      </c>
      <c r="AQ15" t="s">
        <v>63</v>
      </c>
    </row>
    <row r="16" spans="1:43" x14ac:dyDescent="0.2">
      <c r="A16">
        <v>352648</v>
      </c>
      <c r="B16" t="s">
        <v>275</v>
      </c>
      <c r="C16">
        <v>6.3330000000000002</v>
      </c>
      <c r="D16">
        <v>2</v>
      </c>
      <c r="E16" t="s">
        <v>44</v>
      </c>
      <c r="F16" s="1">
        <v>40998</v>
      </c>
      <c r="G16">
        <v>290000</v>
      </c>
      <c r="H16">
        <v>86</v>
      </c>
      <c r="I16">
        <v>300000</v>
      </c>
      <c r="J16" t="s">
        <v>276</v>
      </c>
      <c r="K16" t="s">
        <v>277</v>
      </c>
      <c r="L16" t="s">
        <v>278</v>
      </c>
      <c r="M16" t="s">
        <v>279</v>
      </c>
      <c r="N16">
        <v>1.413</v>
      </c>
      <c r="O16" t="s">
        <v>280</v>
      </c>
      <c r="P16" t="s">
        <v>281</v>
      </c>
      <c r="Q16" t="s">
        <v>282</v>
      </c>
      <c r="R16" t="s">
        <v>283</v>
      </c>
      <c r="S16" t="s">
        <v>284</v>
      </c>
      <c r="T16" t="s">
        <v>285</v>
      </c>
      <c r="U16" t="s">
        <v>286</v>
      </c>
      <c r="W16" t="s">
        <v>287</v>
      </c>
      <c r="X16" t="s">
        <v>288</v>
      </c>
      <c r="Y16" t="s">
        <v>289</v>
      </c>
      <c r="Z16">
        <v>5.5</v>
      </c>
      <c r="AA16">
        <v>192</v>
      </c>
      <c r="AB16" t="s">
        <v>290</v>
      </c>
      <c r="AC16">
        <v>3</v>
      </c>
      <c r="AD16">
        <v>2012</v>
      </c>
      <c r="AE16">
        <v>13</v>
      </c>
      <c r="AF16" t="s">
        <v>291</v>
      </c>
      <c r="AG16">
        <v>-26</v>
      </c>
      <c r="AH16">
        <v>12.5776396502325</v>
      </c>
      <c r="AI16">
        <v>0.465838505564169</v>
      </c>
      <c r="AJ16" t="s">
        <v>61</v>
      </c>
      <c r="AK16" t="s">
        <v>292</v>
      </c>
      <c r="AL16">
        <v>1</v>
      </c>
      <c r="AM16">
        <v>0</v>
      </c>
      <c r="AN16">
        <v>1</v>
      </c>
      <c r="AO16">
        <v>0</v>
      </c>
      <c r="AP16" t="s">
        <v>63</v>
      </c>
      <c r="AQ16" t="s">
        <v>63</v>
      </c>
    </row>
    <row r="17" spans="1:43" x14ac:dyDescent="0.2">
      <c r="A17">
        <v>77948</v>
      </c>
      <c r="B17" t="s">
        <v>293</v>
      </c>
      <c r="C17">
        <v>5.37</v>
      </c>
      <c r="D17">
        <v>960</v>
      </c>
      <c r="E17" t="s">
        <v>44</v>
      </c>
      <c r="F17" s="1">
        <v>41003</v>
      </c>
      <c r="G17">
        <v>16863583</v>
      </c>
      <c r="H17">
        <v>93</v>
      </c>
      <c r="I17">
        <v>20000000</v>
      </c>
      <c r="J17" t="s">
        <v>294</v>
      </c>
      <c r="K17" t="s">
        <v>46</v>
      </c>
      <c r="L17" t="s">
        <v>293</v>
      </c>
      <c r="M17" t="s">
        <v>295</v>
      </c>
      <c r="N17">
        <v>5.1292999999999997</v>
      </c>
      <c r="O17" t="s">
        <v>296</v>
      </c>
      <c r="P17" t="s">
        <v>297</v>
      </c>
      <c r="Q17" t="s">
        <v>298</v>
      </c>
      <c r="R17" t="s">
        <v>179</v>
      </c>
      <c r="S17" t="s">
        <v>132</v>
      </c>
      <c r="T17" t="s">
        <v>299</v>
      </c>
      <c r="U17" t="s">
        <v>300</v>
      </c>
      <c r="V17" t="s">
        <v>301</v>
      </c>
      <c r="W17" t="s">
        <v>302</v>
      </c>
      <c r="X17" t="s">
        <v>303</v>
      </c>
      <c r="Y17" t="s">
        <v>304</v>
      </c>
      <c r="Z17">
        <v>4.9000000000000004</v>
      </c>
      <c r="AA17">
        <v>41008</v>
      </c>
      <c r="AB17" t="s">
        <v>305</v>
      </c>
      <c r="AC17">
        <v>4</v>
      </c>
      <c r="AD17">
        <v>2012</v>
      </c>
      <c r="AE17">
        <v>14</v>
      </c>
      <c r="AF17" t="s">
        <v>306</v>
      </c>
      <c r="AG17">
        <v>-21</v>
      </c>
      <c r="AH17">
        <v>16.6406670620872</v>
      </c>
      <c r="AI17">
        <v>0.75639395736760295</v>
      </c>
      <c r="AJ17" t="s">
        <v>61</v>
      </c>
      <c r="AK17" t="s">
        <v>307</v>
      </c>
      <c r="AL17">
        <v>37</v>
      </c>
      <c r="AM17">
        <v>0</v>
      </c>
      <c r="AN17">
        <v>43</v>
      </c>
      <c r="AO17">
        <v>0</v>
      </c>
      <c r="AP17" t="s">
        <v>63</v>
      </c>
      <c r="AQ17" t="s">
        <v>63</v>
      </c>
    </row>
    <row r="18" spans="1:43" x14ac:dyDescent="0.2">
      <c r="A18">
        <v>44833</v>
      </c>
      <c r="B18" t="s">
        <v>308</v>
      </c>
      <c r="C18">
        <v>5.8789999999999996</v>
      </c>
      <c r="D18">
        <v>5736</v>
      </c>
      <c r="E18" t="s">
        <v>44</v>
      </c>
      <c r="F18" s="1">
        <v>41010</v>
      </c>
      <c r="G18">
        <v>303025485</v>
      </c>
      <c r="H18">
        <v>131</v>
      </c>
      <c r="I18">
        <v>209000000</v>
      </c>
      <c r="J18" t="s">
        <v>309</v>
      </c>
      <c r="K18" t="s">
        <v>46</v>
      </c>
      <c r="L18" t="s">
        <v>308</v>
      </c>
      <c r="M18" t="s">
        <v>310</v>
      </c>
      <c r="N18">
        <v>8.0518000000000001</v>
      </c>
      <c r="O18" t="s">
        <v>311</v>
      </c>
      <c r="P18" t="s">
        <v>312</v>
      </c>
      <c r="Q18" t="s">
        <v>313</v>
      </c>
      <c r="R18" t="s">
        <v>314</v>
      </c>
      <c r="S18" t="s">
        <v>315</v>
      </c>
      <c r="T18" t="s">
        <v>316</v>
      </c>
      <c r="U18" t="s">
        <v>317</v>
      </c>
      <c r="V18" t="s">
        <v>318</v>
      </c>
      <c r="W18" t="s">
        <v>319</v>
      </c>
      <c r="X18" t="s">
        <v>320</v>
      </c>
      <c r="Y18" t="s">
        <v>321</v>
      </c>
      <c r="Z18">
        <v>5.8</v>
      </c>
      <c r="AA18">
        <v>266664</v>
      </c>
      <c r="AB18" t="s">
        <v>322</v>
      </c>
      <c r="AC18">
        <v>4</v>
      </c>
      <c r="AD18">
        <v>2012</v>
      </c>
      <c r="AE18">
        <v>15</v>
      </c>
      <c r="AF18" t="s">
        <v>323</v>
      </c>
      <c r="AG18">
        <v>-14</v>
      </c>
      <c r="AH18">
        <v>19.5293274721476</v>
      </c>
      <c r="AI18">
        <v>1.30195516480984</v>
      </c>
      <c r="AJ18" t="s">
        <v>61</v>
      </c>
      <c r="AK18" t="s">
        <v>324</v>
      </c>
      <c r="AL18">
        <v>62</v>
      </c>
      <c r="AM18">
        <v>1</v>
      </c>
      <c r="AN18">
        <v>71</v>
      </c>
      <c r="AO18">
        <v>0.01</v>
      </c>
      <c r="AP18" t="s">
        <v>63</v>
      </c>
      <c r="AQ18" t="s">
        <v>63</v>
      </c>
    </row>
    <row r="19" spans="1:43" x14ac:dyDescent="0.2">
      <c r="A19">
        <v>22970</v>
      </c>
      <c r="B19" t="s">
        <v>325</v>
      </c>
      <c r="C19">
        <v>6.64</v>
      </c>
      <c r="D19">
        <v>8241</v>
      </c>
      <c r="E19" t="s">
        <v>44</v>
      </c>
      <c r="F19" s="1">
        <v>41011</v>
      </c>
      <c r="G19">
        <v>71038838</v>
      </c>
      <c r="H19">
        <v>95</v>
      </c>
      <c r="I19">
        <v>30000000</v>
      </c>
      <c r="J19" t="s">
        <v>326</v>
      </c>
      <c r="K19" t="s">
        <v>46</v>
      </c>
      <c r="L19" t="s">
        <v>325</v>
      </c>
      <c r="M19" t="s">
        <v>327</v>
      </c>
      <c r="N19">
        <v>12.256600000000001</v>
      </c>
      <c r="O19" t="s">
        <v>328</v>
      </c>
      <c r="P19" t="s">
        <v>329</v>
      </c>
      <c r="Q19" t="s">
        <v>330</v>
      </c>
      <c r="R19" t="s">
        <v>51</v>
      </c>
      <c r="S19" t="s">
        <v>315</v>
      </c>
      <c r="T19" t="s">
        <v>331</v>
      </c>
      <c r="U19" t="s">
        <v>332</v>
      </c>
      <c r="V19" t="s">
        <v>333</v>
      </c>
      <c r="W19" t="s">
        <v>334</v>
      </c>
      <c r="X19" t="s">
        <v>335</v>
      </c>
      <c r="Y19" t="s">
        <v>336</v>
      </c>
      <c r="Z19">
        <v>7</v>
      </c>
      <c r="AA19">
        <v>482873</v>
      </c>
      <c r="AB19" t="s">
        <v>337</v>
      </c>
      <c r="AC19">
        <v>4</v>
      </c>
      <c r="AD19">
        <v>2012</v>
      </c>
      <c r="AE19">
        <v>15</v>
      </c>
      <c r="AF19" t="s">
        <v>338</v>
      </c>
      <c r="AG19">
        <v>-13</v>
      </c>
      <c r="AH19">
        <v>18.078737313609199</v>
      </c>
      <c r="AI19">
        <v>1.2913383795435101</v>
      </c>
      <c r="AJ19" t="s">
        <v>61</v>
      </c>
      <c r="AK19" t="s">
        <v>339</v>
      </c>
      <c r="AL19">
        <v>42</v>
      </c>
      <c r="AM19">
        <v>0</v>
      </c>
      <c r="AN19">
        <v>67</v>
      </c>
      <c r="AO19">
        <v>0</v>
      </c>
      <c r="AP19" t="s">
        <v>63</v>
      </c>
      <c r="AQ19" t="s">
        <v>63</v>
      </c>
    </row>
    <row r="20" spans="1:43" x14ac:dyDescent="0.2">
      <c r="A20">
        <v>81796</v>
      </c>
      <c r="B20" t="s">
        <v>340</v>
      </c>
      <c r="C20">
        <v>5.9349999999999996</v>
      </c>
      <c r="D20">
        <v>1910</v>
      </c>
      <c r="E20" t="s">
        <v>44</v>
      </c>
      <c r="F20" s="1">
        <v>41011</v>
      </c>
      <c r="G20">
        <v>32948113</v>
      </c>
      <c r="H20">
        <v>95</v>
      </c>
      <c r="I20">
        <v>20000000</v>
      </c>
      <c r="J20" t="s">
        <v>341</v>
      </c>
      <c r="K20" t="s">
        <v>46</v>
      </c>
      <c r="L20" t="s">
        <v>340</v>
      </c>
      <c r="M20" t="s">
        <v>342</v>
      </c>
      <c r="N20">
        <v>14.1511</v>
      </c>
      <c r="O20" t="s">
        <v>343</v>
      </c>
      <c r="P20" t="s">
        <v>344</v>
      </c>
      <c r="Q20" t="s">
        <v>345</v>
      </c>
      <c r="R20" t="s">
        <v>346</v>
      </c>
      <c r="S20" t="s">
        <v>52</v>
      </c>
      <c r="T20" t="s">
        <v>347</v>
      </c>
      <c r="U20" t="s">
        <v>348</v>
      </c>
      <c r="V20" t="s">
        <v>349</v>
      </c>
      <c r="W20" t="s">
        <v>350</v>
      </c>
      <c r="X20" t="s">
        <v>351</v>
      </c>
      <c r="Y20" t="s">
        <v>352</v>
      </c>
      <c r="Z20">
        <v>6</v>
      </c>
      <c r="AA20">
        <v>102838</v>
      </c>
      <c r="AB20" t="s">
        <v>353</v>
      </c>
      <c r="AC20">
        <v>4</v>
      </c>
      <c r="AD20">
        <v>2012</v>
      </c>
      <c r="AE20">
        <v>15</v>
      </c>
      <c r="AF20" t="s">
        <v>354</v>
      </c>
      <c r="AG20">
        <v>-13</v>
      </c>
      <c r="AH20">
        <v>17.310444579034801</v>
      </c>
      <c r="AI20">
        <v>1.2364603270739101</v>
      </c>
      <c r="AJ20" t="s">
        <v>61</v>
      </c>
      <c r="AK20" t="s">
        <v>355</v>
      </c>
      <c r="AL20">
        <v>36</v>
      </c>
      <c r="AM20">
        <v>1</v>
      </c>
      <c r="AN20">
        <v>46</v>
      </c>
      <c r="AO20">
        <v>0.02</v>
      </c>
      <c r="AP20" t="s">
        <v>63</v>
      </c>
      <c r="AQ20" t="s">
        <v>63</v>
      </c>
    </row>
    <row r="21" spans="1:43" x14ac:dyDescent="0.2">
      <c r="A21">
        <v>76489</v>
      </c>
      <c r="B21" t="s">
        <v>356</v>
      </c>
      <c r="C21">
        <v>5.8120000000000003</v>
      </c>
      <c r="D21">
        <v>616</v>
      </c>
      <c r="E21" t="s">
        <v>44</v>
      </c>
      <c r="F21" s="1">
        <v>41012</v>
      </c>
      <c r="G21">
        <v>54819301</v>
      </c>
      <c r="H21">
        <v>92</v>
      </c>
      <c r="I21">
        <v>30000000</v>
      </c>
      <c r="J21" t="s">
        <v>357</v>
      </c>
      <c r="K21" t="s">
        <v>46</v>
      </c>
      <c r="L21" t="s">
        <v>356</v>
      </c>
      <c r="M21" t="s">
        <v>358</v>
      </c>
      <c r="N21">
        <v>4.6782000000000004</v>
      </c>
      <c r="O21" t="s">
        <v>359</v>
      </c>
      <c r="P21" t="s">
        <v>360</v>
      </c>
      <c r="Q21" t="s">
        <v>361</v>
      </c>
      <c r="R21" t="s">
        <v>51</v>
      </c>
      <c r="S21" t="s">
        <v>52</v>
      </c>
      <c r="T21" t="s">
        <v>362</v>
      </c>
      <c r="U21" t="s">
        <v>363</v>
      </c>
      <c r="V21" t="s">
        <v>364</v>
      </c>
      <c r="W21" t="s">
        <v>365</v>
      </c>
      <c r="X21" t="s">
        <v>366</v>
      </c>
      <c r="Y21" t="s">
        <v>367</v>
      </c>
      <c r="Z21">
        <v>5.2</v>
      </c>
      <c r="AA21">
        <v>34307</v>
      </c>
      <c r="AB21" t="s">
        <v>368</v>
      </c>
      <c r="AC21">
        <v>4</v>
      </c>
      <c r="AD21">
        <v>2012</v>
      </c>
      <c r="AE21">
        <v>15</v>
      </c>
      <c r="AF21" t="s">
        <v>369</v>
      </c>
      <c r="AG21">
        <v>-12</v>
      </c>
      <c r="AH21">
        <v>17.819552916178498</v>
      </c>
      <c r="AI21">
        <v>1.3707348397060299</v>
      </c>
      <c r="AJ21" t="s">
        <v>61</v>
      </c>
      <c r="AK21" t="s">
        <v>370</v>
      </c>
      <c r="AL21">
        <v>39</v>
      </c>
      <c r="AM21">
        <v>0</v>
      </c>
      <c r="AN21">
        <v>48</v>
      </c>
      <c r="AO21">
        <v>0</v>
      </c>
      <c r="AP21" t="s">
        <v>63</v>
      </c>
      <c r="AQ21" t="s">
        <v>63</v>
      </c>
    </row>
    <row r="22" spans="1:43" x14ac:dyDescent="0.2">
      <c r="A22">
        <v>72387</v>
      </c>
      <c r="B22" t="s">
        <v>371</v>
      </c>
      <c r="C22">
        <v>6.5</v>
      </c>
      <c r="D22">
        <v>2572</v>
      </c>
      <c r="E22" t="s">
        <v>44</v>
      </c>
      <c r="F22" s="1">
        <v>41015</v>
      </c>
      <c r="G22">
        <v>40300000</v>
      </c>
      <c r="H22">
        <v>94</v>
      </c>
      <c r="I22">
        <v>30000000</v>
      </c>
      <c r="J22" t="s">
        <v>372</v>
      </c>
      <c r="K22" t="s">
        <v>46</v>
      </c>
      <c r="L22" t="s">
        <v>371</v>
      </c>
      <c r="M22" t="s">
        <v>373</v>
      </c>
      <c r="N22">
        <v>5.2337999999999996</v>
      </c>
      <c r="O22" t="s">
        <v>374</v>
      </c>
      <c r="P22" t="s">
        <v>375</v>
      </c>
      <c r="Q22" t="s">
        <v>376</v>
      </c>
      <c r="R22" t="s">
        <v>377</v>
      </c>
      <c r="S22" t="s">
        <v>378</v>
      </c>
      <c r="T22" t="s">
        <v>379</v>
      </c>
      <c r="U22" t="s">
        <v>380</v>
      </c>
      <c r="V22" t="s">
        <v>381</v>
      </c>
      <c r="W22" t="s">
        <v>380</v>
      </c>
      <c r="X22" t="s">
        <v>382</v>
      </c>
      <c r="Y22" t="s">
        <v>90</v>
      </c>
      <c r="Z22">
        <v>6.5</v>
      </c>
      <c r="AA22">
        <v>123345</v>
      </c>
      <c r="AB22" t="s">
        <v>383</v>
      </c>
      <c r="AC22">
        <v>4</v>
      </c>
      <c r="AD22">
        <v>2012</v>
      </c>
      <c r="AE22">
        <v>16</v>
      </c>
      <c r="AF22" t="s">
        <v>384</v>
      </c>
      <c r="AG22">
        <v>-9</v>
      </c>
      <c r="AH22">
        <v>17.511862051730802</v>
      </c>
      <c r="AI22">
        <v>1.75118620517308</v>
      </c>
      <c r="AJ22" t="s">
        <v>61</v>
      </c>
      <c r="AK22" t="s">
        <v>385</v>
      </c>
      <c r="AL22">
        <v>50</v>
      </c>
      <c r="AM22">
        <v>0</v>
      </c>
      <c r="AN22">
        <v>62</v>
      </c>
      <c r="AO22">
        <v>0</v>
      </c>
      <c r="AP22" t="s">
        <v>63</v>
      </c>
      <c r="AQ22" t="s">
        <v>63</v>
      </c>
    </row>
    <row r="23" spans="1:43" x14ac:dyDescent="0.2">
      <c r="A23">
        <v>67660</v>
      </c>
      <c r="B23" t="s">
        <v>386</v>
      </c>
      <c r="C23">
        <v>6.8</v>
      </c>
      <c r="D23">
        <v>858</v>
      </c>
      <c r="E23" t="s">
        <v>44</v>
      </c>
      <c r="F23" s="1">
        <v>41019</v>
      </c>
      <c r="G23">
        <v>96070507</v>
      </c>
      <c r="H23">
        <v>122</v>
      </c>
      <c r="I23">
        <v>12000000</v>
      </c>
      <c r="J23" t="s">
        <v>387</v>
      </c>
      <c r="K23" t="s">
        <v>46</v>
      </c>
      <c r="L23" t="s">
        <v>386</v>
      </c>
      <c r="M23" t="s">
        <v>388</v>
      </c>
      <c r="N23">
        <v>2.7444999999999999</v>
      </c>
      <c r="O23" t="s">
        <v>389</v>
      </c>
      <c r="P23" t="s">
        <v>390</v>
      </c>
      <c r="Q23" t="s">
        <v>391</v>
      </c>
      <c r="R23" t="s">
        <v>51</v>
      </c>
      <c r="S23" t="s">
        <v>52</v>
      </c>
      <c r="T23" t="s">
        <v>392</v>
      </c>
      <c r="U23" t="s">
        <v>393</v>
      </c>
      <c r="V23" t="s">
        <v>394</v>
      </c>
      <c r="W23" t="s">
        <v>395</v>
      </c>
      <c r="X23" t="s">
        <v>396</v>
      </c>
      <c r="Y23" t="s">
        <v>397</v>
      </c>
      <c r="Z23">
        <v>6.5</v>
      </c>
      <c r="AA23">
        <v>52262</v>
      </c>
      <c r="AB23" t="s">
        <v>398</v>
      </c>
      <c r="AC23">
        <v>4</v>
      </c>
      <c r="AD23">
        <v>2012</v>
      </c>
      <c r="AE23">
        <v>16</v>
      </c>
      <c r="AF23" t="s">
        <v>399</v>
      </c>
      <c r="AG23">
        <v>-5</v>
      </c>
      <c r="AH23">
        <v>18.3805929381829</v>
      </c>
      <c r="AI23">
        <v>3.0634321563638101</v>
      </c>
      <c r="AJ23" t="s">
        <v>61</v>
      </c>
      <c r="AK23" t="s">
        <v>400</v>
      </c>
      <c r="AL23">
        <v>18</v>
      </c>
      <c r="AM23">
        <v>3</v>
      </c>
      <c r="AN23">
        <v>36</v>
      </c>
      <c r="AO23">
        <v>0.08</v>
      </c>
      <c r="AP23" t="s">
        <v>63</v>
      </c>
      <c r="AQ23" t="s">
        <v>63</v>
      </c>
    </row>
    <row r="24" spans="1:43" hidden="1" x14ac:dyDescent="0.2">
      <c r="A24">
        <v>109907</v>
      </c>
      <c r="B24" t="s">
        <v>401</v>
      </c>
      <c r="C24">
        <v>5.3</v>
      </c>
      <c r="D24">
        <v>39</v>
      </c>
      <c r="E24" t="s">
        <v>44</v>
      </c>
      <c r="F24" s="1">
        <v>41019</v>
      </c>
      <c r="G24">
        <v>2300000</v>
      </c>
      <c r="H24">
        <v>140</v>
      </c>
      <c r="I24">
        <v>1300000</v>
      </c>
      <c r="J24" t="s">
        <v>402</v>
      </c>
      <c r="K24" t="s">
        <v>403</v>
      </c>
      <c r="L24" t="s">
        <v>401</v>
      </c>
      <c r="M24" t="s">
        <v>404</v>
      </c>
      <c r="N24">
        <v>3.4740000000000002</v>
      </c>
      <c r="O24" t="s">
        <v>405</v>
      </c>
      <c r="P24" t="s">
        <v>406</v>
      </c>
      <c r="Q24" t="s">
        <v>407</v>
      </c>
      <c r="R24" t="s">
        <v>408</v>
      </c>
      <c r="S24" t="s">
        <v>409</v>
      </c>
      <c r="T24" t="s">
        <v>410</v>
      </c>
      <c r="U24" t="s">
        <v>411</v>
      </c>
      <c r="V24" t="s">
        <v>412</v>
      </c>
      <c r="W24" t="s">
        <v>413</v>
      </c>
      <c r="X24" t="s">
        <v>414</v>
      </c>
      <c r="Y24" t="s">
        <v>415</v>
      </c>
      <c r="Z24">
        <v>5.3</v>
      </c>
      <c r="AA24">
        <v>4169</v>
      </c>
      <c r="AB24" t="s">
        <v>416</v>
      </c>
      <c r="AC24">
        <v>4</v>
      </c>
      <c r="AD24">
        <v>2012</v>
      </c>
      <c r="AE24">
        <v>16</v>
      </c>
      <c r="AF24" t="s">
        <v>417</v>
      </c>
      <c r="AG24">
        <v>-5</v>
      </c>
      <c r="AH24">
        <v>14.6484201156818</v>
      </c>
      <c r="AI24">
        <v>2.4414033526136398</v>
      </c>
      <c r="AJ24" t="s">
        <v>61</v>
      </c>
      <c r="AK24" t="s">
        <v>418</v>
      </c>
      <c r="AL24">
        <v>1</v>
      </c>
      <c r="AM24">
        <v>2</v>
      </c>
      <c r="AN24">
        <v>3</v>
      </c>
      <c r="AO24">
        <v>0.67</v>
      </c>
      <c r="AP24" t="s">
        <v>419</v>
      </c>
      <c r="AQ24" t="s">
        <v>63</v>
      </c>
    </row>
    <row r="25" spans="1:43" x14ac:dyDescent="0.2">
      <c r="A25">
        <v>72207</v>
      </c>
      <c r="B25" t="s">
        <v>420</v>
      </c>
      <c r="C25">
        <v>5.8570000000000002</v>
      </c>
      <c r="D25">
        <v>1375</v>
      </c>
      <c r="E25" t="s">
        <v>44</v>
      </c>
      <c r="F25" s="1">
        <v>41026</v>
      </c>
      <c r="G25">
        <v>54169363</v>
      </c>
      <c r="H25">
        <v>124</v>
      </c>
      <c r="I25">
        <v>30000000</v>
      </c>
      <c r="J25" t="s">
        <v>421</v>
      </c>
      <c r="K25" t="s">
        <v>46</v>
      </c>
      <c r="L25" t="s">
        <v>420</v>
      </c>
      <c r="M25" t="s">
        <v>422</v>
      </c>
      <c r="N25">
        <v>1.9382999999999999</v>
      </c>
      <c r="O25" t="s">
        <v>423</v>
      </c>
      <c r="P25" t="s">
        <v>390</v>
      </c>
      <c r="Q25" t="s">
        <v>424</v>
      </c>
      <c r="R25" t="s">
        <v>51</v>
      </c>
      <c r="S25" t="s">
        <v>52</v>
      </c>
      <c r="T25" t="s">
        <v>425</v>
      </c>
      <c r="U25" t="s">
        <v>426</v>
      </c>
      <c r="V25" t="s">
        <v>427</v>
      </c>
      <c r="W25" t="s">
        <v>428</v>
      </c>
      <c r="X25" t="s">
        <v>429</v>
      </c>
      <c r="Y25" t="s">
        <v>152</v>
      </c>
      <c r="Z25">
        <v>6.2</v>
      </c>
      <c r="AA25">
        <v>104648</v>
      </c>
      <c r="AB25" t="s">
        <v>430</v>
      </c>
      <c r="AC25">
        <v>4</v>
      </c>
      <c r="AD25">
        <v>2012</v>
      </c>
      <c r="AE25">
        <v>17</v>
      </c>
      <c r="AF25" t="s">
        <v>431</v>
      </c>
      <c r="AG25">
        <v>2</v>
      </c>
      <c r="AH25">
        <v>17.807626066749201</v>
      </c>
      <c r="AI25">
        <v>5.9358753555830601</v>
      </c>
      <c r="AJ25" t="s">
        <v>61</v>
      </c>
      <c r="AK25" t="s">
        <v>432</v>
      </c>
      <c r="AL25">
        <v>30</v>
      </c>
      <c r="AM25">
        <v>1</v>
      </c>
      <c r="AN25">
        <v>43</v>
      </c>
      <c r="AO25">
        <v>0.02</v>
      </c>
      <c r="AP25" t="s">
        <v>63</v>
      </c>
      <c r="AQ25" t="s">
        <v>63</v>
      </c>
    </row>
    <row r="26" spans="1:43" x14ac:dyDescent="0.2">
      <c r="A26">
        <v>92591</v>
      </c>
      <c r="B26" t="s">
        <v>433</v>
      </c>
      <c r="C26">
        <v>6.5880000000000001</v>
      </c>
      <c r="D26">
        <v>972</v>
      </c>
      <c r="E26" t="s">
        <v>44</v>
      </c>
      <c r="F26" s="1">
        <v>41026</v>
      </c>
      <c r="G26">
        <v>9206470</v>
      </c>
      <c r="H26">
        <v>99</v>
      </c>
      <c r="I26">
        <v>5000000</v>
      </c>
      <c r="J26" t="s">
        <v>434</v>
      </c>
      <c r="K26" t="s">
        <v>46</v>
      </c>
      <c r="L26" t="s">
        <v>433</v>
      </c>
      <c r="M26" t="s">
        <v>435</v>
      </c>
      <c r="N26">
        <v>2.0209999999999999</v>
      </c>
      <c r="O26" t="s">
        <v>436</v>
      </c>
      <c r="P26" t="s">
        <v>437</v>
      </c>
      <c r="Q26" t="s">
        <v>438</v>
      </c>
      <c r="R26" t="s">
        <v>51</v>
      </c>
      <c r="S26" t="s">
        <v>52</v>
      </c>
      <c r="T26" t="s">
        <v>439</v>
      </c>
      <c r="U26" t="s">
        <v>440</v>
      </c>
      <c r="V26" t="s">
        <v>441</v>
      </c>
      <c r="W26" t="s">
        <v>442</v>
      </c>
      <c r="X26" t="s">
        <v>443</v>
      </c>
      <c r="Y26" t="s">
        <v>444</v>
      </c>
      <c r="Z26">
        <v>6.8</v>
      </c>
      <c r="AA26">
        <v>66492</v>
      </c>
      <c r="AB26" t="s">
        <v>445</v>
      </c>
      <c r="AC26">
        <v>4</v>
      </c>
      <c r="AD26">
        <v>2012</v>
      </c>
      <c r="AE26">
        <v>17</v>
      </c>
      <c r="AF26" t="s">
        <v>446</v>
      </c>
      <c r="AG26">
        <v>2</v>
      </c>
      <c r="AH26">
        <v>16.035417164336</v>
      </c>
      <c r="AI26">
        <v>5.3451390547786799</v>
      </c>
      <c r="AJ26" t="s">
        <v>61</v>
      </c>
      <c r="AK26" t="s">
        <v>447</v>
      </c>
      <c r="AL26">
        <v>14</v>
      </c>
      <c r="AM26">
        <v>1</v>
      </c>
      <c r="AN26">
        <v>33</v>
      </c>
      <c r="AO26">
        <v>0.03</v>
      </c>
      <c r="AP26" t="s">
        <v>63</v>
      </c>
      <c r="AQ26" t="s">
        <v>63</v>
      </c>
    </row>
    <row r="27" spans="1:43" x14ac:dyDescent="0.2">
      <c r="A27">
        <v>97003</v>
      </c>
      <c r="B27" t="s">
        <v>448</v>
      </c>
      <c r="C27">
        <v>9</v>
      </c>
      <c r="D27">
        <v>1</v>
      </c>
      <c r="E27" t="s">
        <v>44</v>
      </c>
      <c r="F27" s="1">
        <v>41030</v>
      </c>
      <c r="G27">
        <v>100</v>
      </c>
      <c r="H27">
        <v>90</v>
      </c>
      <c r="I27">
        <v>50</v>
      </c>
      <c r="J27" t="s">
        <v>449</v>
      </c>
      <c r="K27" t="s">
        <v>46</v>
      </c>
      <c r="L27" t="s">
        <v>448</v>
      </c>
      <c r="M27" t="s">
        <v>450</v>
      </c>
      <c r="N27">
        <v>0.25879999999999997</v>
      </c>
      <c r="O27" t="s">
        <v>451</v>
      </c>
      <c r="P27" t="s">
        <v>146</v>
      </c>
      <c r="Q27" t="s">
        <v>452</v>
      </c>
      <c r="R27" t="s">
        <v>51</v>
      </c>
      <c r="S27" t="s">
        <v>52</v>
      </c>
      <c r="T27" t="s">
        <v>453</v>
      </c>
      <c r="U27" t="s">
        <v>454</v>
      </c>
      <c r="W27" t="s">
        <v>455</v>
      </c>
      <c r="X27" t="s">
        <v>456</v>
      </c>
      <c r="Y27" t="s">
        <v>457</v>
      </c>
      <c r="Z27">
        <v>8.1</v>
      </c>
      <c r="AA27">
        <v>61</v>
      </c>
      <c r="AB27" t="s">
        <v>458</v>
      </c>
      <c r="AC27">
        <v>5</v>
      </c>
      <c r="AD27">
        <v>2012</v>
      </c>
      <c r="AE27">
        <v>18</v>
      </c>
      <c r="AF27" t="s">
        <v>459</v>
      </c>
      <c r="AG27">
        <v>6</v>
      </c>
      <c r="AH27">
        <v>4.6151205168412597</v>
      </c>
      <c r="AI27">
        <v>0.65930293097732195</v>
      </c>
      <c r="AJ27" t="s">
        <v>61</v>
      </c>
      <c r="AL27">
        <v>0</v>
      </c>
      <c r="AM27">
        <v>0</v>
      </c>
      <c r="AN27">
        <v>0</v>
      </c>
      <c r="AO27">
        <v>0</v>
      </c>
      <c r="AP27" t="s">
        <v>63</v>
      </c>
      <c r="AQ27" t="s">
        <v>63</v>
      </c>
    </row>
    <row r="28" spans="1:43" x14ac:dyDescent="0.2">
      <c r="A28">
        <v>113947</v>
      </c>
      <c r="B28" t="s">
        <v>460</v>
      </c>
      <c r="C28">
        <v>6.8789999999999996</v>
      </c>
      <c r="D28">
        <v>580</v>
      </c>
      <c r="E28" t="s">
        <v>44</v>
      </c>
      <c r="F28" s="1">
        <v>41031</v>
      </c>
      <c r="G28">
        <v>9138338</v>
      </c>
      <c r="H28">
        <v>95</v>
      </c>
      <c r="I28">
        <v>1000000</v>
      </c>
      <c r="J28" t="s">
        <v>461</v>
      </c>
      <c r="K28" t="s">
        <v>46</v>
      </c>
      <c r="L28" t="s">
        <v>460</v>
      </c>
      <c r="M28" t="s">
        <v>462</v>
      </c>
      <c r="N28">
        <v>2.0238999999999998</v>
      </c>
      <c r="O28" t="s">
        <v>463</v>
      </c>
      <c r="P28" t="s">
        <v>464</v>
      </c>
      <c r="Q28" t="s">
        <v>465</v>
      </c>
      <c r="R28" t="s">
        <v>51</v>
      </c>
      <c r="S28" t="s">
        <v>52</v>
      </c>
      <c r="T28" t="s">
        <v>466</v>
      </c>
      <c r="U28" t="s">
        <v>467</v>
      </c>
      <c r="V28" t="s">
        <v>468</v>
      </c>
      <c r="W28" t="s">
        <v>467</v>
      </c>
      <c r="X28" t="s">
        <v>469</v>
      </c>
      <c r="Y28" t="s">
        <v>470</v>
      </c>
      <c r="Z28">
        <v>7.2</v>
      </c>
      <c r="AA28">
        <v>44806</v>
      </c>
      <c r="AB28" t="s">
        <v>471</v>
      </c>
      <c r="AC28">
        <v>5</v>
      </c>
      <c r="AD28">
        <v>2012</v>
      </c>
      <c r="AE28">
        <v>18</v>
      </c>
      <c r="AF28" t="s">
        <v>472</v>
      </c>
      <c r="AG28">
        <v>7</v>
      </c>
      <c r="AH28">
        <v>16.027989198250399</v>
      </c>
      <c r="AI28">
        <v>2.0034986497812999</v>
      </c>
      <c r="AJ28" t="s">
        <v>61</v>
      </c>
      <c r="AK28" t="s">
        <v>473</v>
      </c>
      <c r="AL28">
        <v>43</v>
      </c>
      <c r="AM28">
        <v>1</v>
      </c>
      <c r="AN28">
        <v>63</v>
      </c>
      <c r="AO28">
        <v>0.02</v>
      </c>
      <c r="AP28" t="s">
        <v>63</v>
      </c>
      <c r="AQ28" t="s">
        <v>63</v>
      </c>
    </row>
    <row r="29" spans="1:43" x14ac:dyDescent="0.2">
      <c r="A29">
        <v>111237</v>
      </c>
      <c r="B29" t="s">
        <v>474</v>
      </c>
      <c r="C29">
        <v>5.7</v>
      </c>
      <c r="D29">
        <v>101</v>
      </c>
      <c r="E29" t="s">
        <v>44</v>
      </c>
      <c r="F29" s="1">
        <v>41032</v>
      </c>
      <c r="G29">
        <v>7200000</v>
      </c>
      <c r="H29">
        <v>105</v>
      </c>
      <c r="I29">
        <v>11000000</v>
      </c>
      <c r="J29" t="s">
        <v>475</v>
      </c>
      <c r="K29" t="s">
        <v>476</v>
      </c>
      <c r="L29" t="s">
        <v>477</v>
      </c>
      <c r="M29" t="s">
        <v>478</v>
      </c>
      <c r="N29">
        <v>2.1377000000000002</v>
      </c>
      <c r="O29" t="s">
        <v>479</v>
      </c>
      <c r="P29" t="s">
        <v>480</v>
      </c>
      <c r="Q29" t="s">
        <v>481</v>
      </c>
      <c r="R29" t="s">
        <v>482</v>
      </c>
      <c r="S29" t="s">
        <v>483</v>
      </c>
      <c r="T29" t="s">
        <v>484</v>
      </c>
      <c r="U29" t="s">
        <v>485</v>
      </c>
      <c r="V29" t="s">
        <v>486</v>
      </c>
      <c r="W29" t="s">
        <v>487</v>
      </c>
      <c r="X29" t="s">
        <v>485</v>
      </c>
      <c r="Y29" t="s">
        <v>488</v>
      </c>
      <c r="Z29">
        <v>6.1</v>
      </c>
      <c r="AA29">
        <v>5232</v>
      </c>
      <c r="AB29" t="s">
        <v>489</v>
      </c>
      <c r="AC29">
        <v>5</v>
      </c>
      <c r="AD29">
        <v>2012</v>
      </c>
      <c r="AE29">
        <v>18</v>
      </c>
      <c r="AF29" t="s">
        <v>490</v>
      </c>
      <c r="AG29">
        <v>8</v>
      </c>
      <c r="AH29">
        <v>15.7895917228751</v>
      </c>
      <c r="AI29">
        <v>1.75439908031946</v>
      </c>
      <c r="AJ29" t="s">
        <v>61</v>
      </c>
      <c r="AK29" t="s">
        <v>491</v>
      </c>
      <c r="AL29">
        <v>4</v>
      </c>
      <c r="AM29">
        <v>0</v>
      </c>
      <c r="AN29">
        <v>23</v>
      </c>
      <c r="AO29">
        <v>0</v>
      </c>
      <c r="AP29" t="s">
        <v>63</v>
      </c>
      <c r="AQ29" t="s">
        <v>63</v>
      </c>
    </row>
    <row r="30" spans="1:43" x14ac:dyDescent="0.2">
      <c r="A30">
        <v>112318</v>
      </c>
      <c r="B30" t="s">
        <v>492</v>
      </c>
      <c r="C30">
        <v>5.2</v>
      </c>
      <c r="D30">
        <v>5</v>
      </c>
      <c r="E30" t="s">
        <v>44</v>
      </c>
      <c r="F30" s="1">
        <v>41033</v>
      </c>
      <c r="G30">
        <v>41197</v>
      </c>
      <c r="H30">
        <v>97</v>
      </c>
      <c r="I30">
        <v>1685336</v>
      </c>
      <c r="J30" t="s">
        <v>493</v>
      </c>
      <c r="K30" t="s">
        <v>403</v>
      </c>
      <c r="L30" t="s">
        <v>492</v>
      </c>
      <c r="M30" t="s">
        <v>494</v>
      </c>
      <c r="N30">
        <v>0.27079999999999999</v>
      </c>
      <c r="O30" t="s">
        <v>495</v>
      </c>
      <c r="P30" t="s">
        <v>496</v>
      </c>
      <c r="Q30" t="s">
        <v>497</v>
      </c>
      <c r="R30" t="s">
        <v>408</v>
      </c>
      <c r="S30" t="s">
        <v>498</v>
      </c>
      <c r="T30" t="s">
        <v>499</v>
      </c>
      <c r="U30" t="s">
        <v>500</v>
      </c>
      <c r="V30" t="s">
        <v>501</v>
      </c>
      <c r="W30" t="s">
        <v>502</v>
      </c>
      <c r="X30" t="s">
        <v>503</v>
      </c>
      <c r="Y30" t="s">
        <v>504</v>
      </c>
      <c r="Z30">
        <v>5.8</v>
      </c>
      <c r="AA30">
        <v>505</v>
      </c>
      <c r="AB30" t="s">
        <v>505</v>
      </c>
      <c r="AC30">
        <v>5</v>
      </c>
      <c r="AD30">
        <v>2012</v>
      </c>
      <c r="AE30">
        <v>18</v>
      </c>
      <c r="AF30" t="s">
        <v>506</v>
      </c>
      <c r="AG30">
        <v>9</v>
      </c>
      <c r="AH30">
        <v>10.626144990469999</v>
      </c>
      <c r="AI30">
        <v>1.0626144990469999</v>
      </c>
      <c r="AJ30" t="s">
        <v>61</v>
      </c>
      <c r="AK30" t="s">
        <v>507</v>
      </c>
      <c r="AL30">
        <v>1</v>
      </c>
      <c r="AM30">
        <v>1</v>
      </c>
      <c r="AN30">
        <v>5</v>
      </c>
      <c r="AO30">
        <v>0.2</v>
      </c>
      <c r="AP30" t="s">
        <v>63</v>
      </c>
      <c r="AQ30" t="s">
        <v>63</v>
      </c>
    </row>
    <row r="31" spans="1:43" x14ac:dyDescent="0.2">
      <c r="A31">
        <v>62213</v>
      </c>
      <c r="B31" t="s">
        <v>508</v>
      </c>
      <c r="C31">
        <v>6.0960000000000001</v>
      </c>
      <c r="D31">
        <v>7438</v>
      </c>
      <c r="E31" t="s">
        <v>44</v>
      </c>
      <c r="F31" s="1">
        <v>41038</v>
      </c>
      <c r="G31">
        <v>245527149</v>
      </c>
      <c r="H31">
        <v>113</v>
      </c>
      <c r="I31">
        <v>150000000</v>
      </c>
      <c r="J31" t="s">
        <v>509</v>
      </c>
      <c r="K31" t="s">
        <v>46</v>
      </c>
      <c r="L31" t="s">
        <v>508</v>
      </c>
      <c r="M31" t="s">
        <v>510</v>
      </c>
      <c r="N31">
        <v>27.259699999999999</v>
      </c>
      <c r="O31" t="s">
        <v>511</v>
      </c>
      <c r="P31" t="s">
        <v>512</v>
      </c>
      <c r="Q31" t="s">
        <v>513</v>
      </c>
      <c r="R31" t="s">
        <v>514</v>
      </c>
      <c r="S31" t="s">
        <v>52</v>
      </c>
      <c r="T31" t="s">
        <v>515</v>
      </c>
      <c r="U31" t="s">
        <v>516</v>
      </c>
      <c r="V31" t="s">
        <v>517</v>
      </c>
      <c r="W31" t="s">
        <v>518</v>
      </c>
      <c r="X31" t="s">
        <v>519</v>
      </c>
      <c r="Y31" t="s">
        <v>520</v>
      </c>
      <c r="Z31">
        <v>6.2</v>
      </c>
      <c r="AA31">
        <v>291646</v>
      </c>
      <c r="AB31" t="s">
        <v>521</v>
      </c>
      <c r="AC31">
        <v>5</v>
      </c>
      <c r="AD31">
        <v>2012</v>
      </c>
      <c r="AE31">
        <v>19</v>
      </c>
      <c r="AF31" t="s">
        <v>522</v>
      </c>
      <c r="AG31">
        <v>14</v>
      </c>
      <c r="AH31">
        <v>19.318918089715499</v>
      </c>
      <c r="AI31">
        <v>1.2879278726476999</v>
      </c>
      <c r="AJ31" t="s">
        <v>61</v>
      </c>
      <c r="AK31" t="s">
        <v>523</v>
      </c>
      <c r="AL31">
        <v>58</v>
      </c>
      <c r="AM31">
        <v>0</v>
      </c>
      <c r="AN31">
        <v>61</v>
      </c>
      <c r="AO31">
        <v>0</v>
      </c>
      <c r="AP31" t="s">
        <v>63</v>
      </c>
      <c r="AQ31" t="s">
        <v>63</v>
      </c>
    </row>
    <row r="32" spans="1:43" x14ac:dyDescent="0.2">
      <c r="A32">
        <v>71668</v>
      </c>
      <c r="B32" t="s">
        <v>524</v>
      </c>
      <c r="C32">
        <v>4.3230000000000004</v>
      </c>
      <c r="D32">
        <v>1107</v>
      </c>
      <c r="E32" t="s">
        <v>44</v>
      </c>
      <c r="F32" s="1">
        <v>41040</v>
      </c>
      <c r="G32">
        <v>8493728</v>
      </c>
      <c r="H32">
        <v>83</v>
      </c>
      <c r="I32">
        <v>5000000</v>
      </c>
      <c r="J32" t="s">
        <v>525</v>
      </c>
      <c r="K32" t="s">
        <v>46</v>
      </c>
      <c r="L32" t="s">
        <v>524</v>
      </c>
      <c r="M32" t="s">
        <v>526</v>
      </c>
      <c r="N32">
        <v>5.6703999999999999</v>
      </c>
      <c r="O32" t="s">
        <v>527</v>
      </c>
      <c r="P32" t="s">
        <v>528</v>
      </c>
      <c r="Q32" t="s">
        <v>529</v>
      </c>
      <c r="R32" t="s">
        <v>51</v>
      </c>
      <c r="S32" t="s">
        <v>52</v>
      </c>
      <c r="T32" t="s">
        <v>530</v>
      </c>
      <c r="U32" t="s">
        <v>531</v>
      </c>
      <c r="V32" t="s">
        <v>532</v>
      </c>
      <c r="W32" t="s">
        <v>533</v>
      </c>
      <c r="X32" t="s">
        <v>534</v>
      </c>
      <c r="Y32" t="s">
        <v>535</v>
      </c>
      <c r="Z32">
        <v>3.8</v>
      </c>
      <c r="AA32">
        <v>47435</v>
      </c>
      <c r="AB32" t="s">
        <v>536</v>
      </c>
      <c r="AC32">
        <v>5</v>
      </c>
      <c r="AD32">
        <v>2012</v>
      </c>
      <c r="AE32">
        <v>19</v>
      </c>
      <c r="AF32" t="s">
        <v>537</v>
      </c>
      <c r="AG32">
        <v>16</v>
      </c>
      <c r="AH32">
        <v>15.9548386844723</v>
      </c>
      <c r="AI32">
        <v>0.93851992261602002</v>
      </c>
      <c r="AJ32" t="s">
        <v>61</v>
      </c>
      <c r="AK32" t="s">
        <v>538</v>
      </c>
      <c r="AL32">
        <v>33</v>
      </c>
      <c r="AM32">
        <v>1</v>
      </c>
      <c r="AN32">
        <v>56</v>
      </c>
      <c r="AO32">
        <v>0.02</v>
      </c>
      <c r="AP32" t="s">
        <v>63</v>
      </c>
      <c r="AQ32" t="s">
        <v>63</v>
      </c>
    </row>
    <row r="33" spans="1:43" x14ac:dyDescent="0.2">
      <c r="A33">
        <v>82618</v>
      </c>
      <c r="B33" t="s">
        <v>539</v>
      </c>
      <c r="C33">
        <v>5.665</v>
      </c>
      <c r="D33">
        <v>118</v>
      </c>
      <c r="E33" t="s">
        <v>44</v>
      </c>
      <c r="F33" s="1">
        <v>41040</v>
      </c>
      <c r="G33">
        <v>4709246</v>
      </c>
      <c r="H33">
        <v>93</v>
      </c>
      <c r="I33">
        <v>5000000</v>
      </c>
      <c r="J33" t="s">
        <v>540</v>
      </c>
      <c r="K33" t="s">
        <v>46</v>
      </c>
      <c r="L33" t="s">
        <v>539</v>
      </c>
      <c r="M33" t="s">
        <v>541</v>
      </c>
      <c r="N33">
        <v>1.0640000000000001</v>
      </c>
      <c r="O33" t="s">
        <v>542</v>
      </c>
      <c r="P33" t="s">
        <v>543</v>
      </c>
      <c r="Q33" t="s">
        <v>544</v>
      </c>
      <c r="R33" t="s">
        <v>51</v>
      </c>
      <c r="S33" t="s">
        <v>545</v>
      </c>
      <c r="T33" t="s">
        <v>546</v>
      </c>
      <c r="U33" t="s">
        <v>547</v>
      </c>
      <c r="W33" t="s">
        <v>548</v>
      </c>
      <c r="X33" t="s">
        <v>549</v>
      </c>
      <c r="Y33" t="s">
        <v>397</v>
      </c>
      <c r="Z33">
        <v>5.6</v>
      </c>
      <c r="AA33">
        <v>7144</v>
      </c>
      <c r="AB33" t="s">
        <v>550</v>
      </c>
      <c r="AC33">
        <v>5</v>
      </c>
      <c r="AD33">
        <v>2012</v>
      </c>
      <c r="AE33">
        <v>19</v>
      </c>
      <c r="AF33" t="s">
        <v>551</v>
      </c>
      <c r="AG33">
        <v>16</v>
      </c>
      <c r="AH33">
        <v>15.3650385806001</v>
      </c>
      <c r="AI33">
        <v>0.90382579885883196</v>
      </c>
      <c r="AJ33" t="s">
        <v>61</v>
      </c>
      <c r="AK33" t="s">
        <v>552</v>
      </c>
      <c r="AL33">
        <v>5</v>
      </c>
      <c r="AM33">
        <v>1</v>
      </c>
      <c r="AN33">
        <v>11</v>
      </c>
      <c r="AO33">
        <v>0.09</v>
      </c>
      <c r="AP33" t="s">
        <v>63</v>
      </c>
      <c r="AQ33" t="s">
        <v>63</v>
      </c>
    </row>
    <row r="34" spans="1:43" x14ac:dyDescent="0.2">
      <c r="A34">
        <v>111836</v>
      </c>
      <c r="B34" t="s">
        <v>553</v>
      </c>
      <c r="C34">
        <v>5.9</v>
      </c>
      <c r="D34">
        <v>23</v>
      </c>
      <c r="E34" t="s">
        <v>44</v>
      </c>
      <c r="F34" s="1">
        <v>41040</v>
      </c>
      <c r="G34">
        <v>16000000</v>
      </c>
      <c r="H34">
        <v>153</v>
      </c>
      <c r="I34">
        <v>7000000</v>
      </c>
      <c r="J34" t="s">
        <v>554</v>
      </c>
      <c r="K34" t="s">
        <v>555</v>
      </c>
      <c r="L34" t="s">
        <v>556</v>
      </c>
      <c r="M34" t="s">
        <v>557</v>
      </c>
      <c r="N34">
        <v>2.0606</v>
      </c>
      <c r="O34" t="s">
        <v>558</v>
      </c>
      <c r="P34" t="s">
        <v>559</v>
      </c>
      <c r="Q34" t="s">
        <v>560</v>
      </c>
      <c r="R34" t="s">
        <v>408</v>
      </c>
      <c r="S34" t="s">
        <v>561</v>
      </c>
      <c r="T34" t="s">
        <v>562</v>
      </c>
      <c r="U34" t="s">
        <v>563</v>
      </c>
      <c r="V34" t="s">
        <v>564</v>
      </c>
      <c r="W34" t="s">
        <v>565</v>
      </c>
      <c r="X34" t="s">
        <v>566</v>
      </c>
      <c r="Y34" t="s">
        <v>567</v>
      </c>
      <c r="Z34">
        <v>7.1</v>
      </c>
      <c r="AA34">
        <v>7750</v>
      </c>
      <c r="AB34" t="s">
        <v>568</v>
      </c>
      <c r="AC34">
        <v>5</v>
      </c>
      <c r="AD34">
        <v>2012</v>
      </c>
      <c r="AE34">
        <v>19</v>
      </c>
      <c r="AF34" t="s">
        <v>569</v>
      </c>
      <c r="AG34">
        <v>16</v>
      </c>
      <c r="AH34">
        <v>16.588099342704002</v>
      </c>
      <c r="AI34">
        <v>0.97577054957082598</v>
      </c>
      <c r="AJ34" t="s">
        <v>61</v>
      </c>
      <c r="AK34" t="s">
        <v>570</v>
      </c>
      <c r="AL34">
        <v>3</v>
      </c>
      <c r="AM34">
        <v>0</v>
      </c>
      <c r="AN34">
        <v>3</v>
      </c>
      <c r="AO34">
        <v>0</v>
      </c>
      <c r="AP34" t="s">
        <v>63</v>
      </c>
      <c r="AQ34" t="s">
        <v>63</v>
      </c>
    </row>
    <row r="35" spans="1:43" x14ac:dyDescent="0.2">
      <c r="A35">
        <v>76493</v>
      </c>
      <c r="B35" t="s">
        <v>571</v>
      </c>
      <c r="C35">
        <v>6.2</v>
      </c>
      <c r="D35">
        <v>6162</v>
      </c>
      <c r="E35" t="s">
        <v>44</v>
      </c>
      <c r="F35" s="1">
        <v>41044</v>
      </c>
      <c r="G35">
        <v>179379533</v>
      </c>
      <c r="H35">
        <v>83</v>
      </c>
      <c r="I35">
        <v>65000000</v>
      </c>
      <c r="J35" t="s">
        <v>572</v>
      </c>
      <c r="K35" t="s">
        <v>46</v>
      </c>
      <c r="L35" t="s">
        <v>571</v>
      </c>
      <c r="M35" t="s">
        <v>573</v>
      </c>
      <c r="N35">
        <v>7.0496999999999996</v>
      </c>
      <c r="O35" t="s">
        <v>574</v>
      </c>
      <c r="P35" t="s">
        <v>360</v>
      </c>
      <c r="Q35" t="s">
        <v>575</v>
      </c>
      <c r="R35" t="s">
        <v>51</v>
      </c>
      <c r="S35" t="s">
        <v>576</v>
      </c>
      <c r="T35" t="s">
        <v>577</v>
      </c>
      <c r="U35" t="s">
        <v>578</v>
      </c>
      <c r="V35" t="s">
        <v>579</v>
      </c>
      <c r="W35" t="s">
        <v>580</v>
      </c>
      <c r="X35" t="s">
        <v>581</v>
      </c>
      <c r="Y35" t="s">
        <v>582</v>
      </c>
      <c r="Z35">
        <v>6.5</v>
      </c>
      <c r="AA35">
        <v>358489</v>
      </c>
      <c r="AB35" t="s">
        <v>583</v>
      </c>
      <c r="AC35">
        <v>5</v>
      </c>
      <c r="AD35">
        <v>2012</v>
      </c>
      <c r="AE35">
        <v>20</v>
      </c>
      <c r="AF35" t="s">
        <v>584</v>
      </c>
      <c r="AG35">
        <v>20</v>
      </c>
      <c r="AH35">
        <v>19.005014420813701</v>
      </c>
      <c r="AI35">
        <v>0.905000686705417</v>
      </c>
      <c r="AJ35" t="s">
        <v>61</v>
      </c>
      <c r="AK35" t="s">
        <v>585</v>
      </c>
      <c r="AL35">
        <v>64</v>
      </c>
      <c r="AM35">
        <v>2</v>
      </c>
      <c r="AN35">
        <v>74</v>
      </c>
      <c r="AO35">
        <v>0.03</v>
      </c>
      <c r="AP35" t="s">
        <v>63</v>
      </c>
      <c r="AQ35" t="s">
        <v>63</v>
      </c>
    </row>
    <row r="36" spans="1:43" x14ac:dyDescent="0.2">
      <c r="A36">
        <v>76494</v>
      </c>
      <c r="B36" t="s">
        <v>586</v>
      </c>
      <c r="C36">
        <v>5.9969999999999999</v>
      </c>
      <c r="D36">
        <v>1828</v>
      </c>
      <c r="E36" t="s">
        <v>44</v>
      </c>
      <c r="F36" s="1">
        <v>41046</v>
      </c>
      <c r="G36">
        <v>79700000</v>
      </c>
      <c r="H36">
        <v>110</v>
      </c>
      <c r="I36">
        <v>40000000</v>
      </c>
      <c r="J36" t="s">
        <v>587</v>
      </c>
      <c r="K36" t="s">
        <v>46</v>
      </c>
      <c r="L36" t="s">
        <v>586</v>
      </c>
      <c r="M36" t="s">
        <v>588</v>
      </c>
      <c r="N36">
        <v>23.610099999999999</v>
      </c>
      <c r="O36" t="s">
        <v>589</v>
      </c>
      <c r="P36" t="s">
        <v>590</v>
      </c>
      <c r="Q36" t="s">
        <v>591</v>
      </c>
      <c r="R36" t="s">
        <v>51</v>
      </c>
      <c r="S36" t="s">
        <v>52</v>
      </c>
      <c r="T36" t="s">
        <v>592</v>
      </c>
      <c r="U36" t="s">
        <v>593</v>
      </c>
      <c r="V36" t="s">
        <v>594</v>
      </c>
      <c r="W36" t="s">
        <v>595</v>
      </c>
      <c r="X36" t="s">
        <v>596</v>
      </c>
      <c r="Y36" t="s">
        <v>90</v>
      </c>
      <c r="Z36">
        <v>5.7</v>
      </c>
      <c r="AA36">
        <v>77557</v>
      </c>
      <c r="AB36" t="s">
        <v>597</v>
      </c>
      <c r="AC36">
        <v>5</v>
      </c>
      <c r="AD36">
        <v>2012</v>
      </c>
      <c r="AE36">
        <v>20</v>
      </c>
      <c r="AF36" t="s">
        <v>598</v>
      </c>
      <c r="AG36">
        <v>22</v>
      </c>
      <c r="AH36">
        <v>18.193780156307401</v>
      </c>
      <c r="AI36">
        <v>0.79103391983945603</v>
      </c>
      <c r="AJ36" t="s">
        <v>61</v>
      </c>
      <c r="AK36" t="s">
        <v>599</v>
      </c>
      <c r="AL36">
        <v>55</v>
      </c>
      <c r="AM36">
        <v>1</v>
      </c>
      <c r="AN36">
        <v>59</v>
      </c>
      <c r="AO36">
        <v>0.02</v>
      </c>
      <c r="AP36" t="s">
        <v>63</v>
      </c>
      <c r="AQ36" t="s">
        <v>63</v>
      </c>
    </row>
    <row r="37" spans="1:43" x14ac:dyDescent="0.2">
      <c r="A37">
        <v>83125</v>
      </c>
      <c r="B37" t="s">
        <v>600</v>
      </c>
      <c r="C37">
        <v>6.2</v>
      </c>
      <c r="D37">
        <v>47</v>
      </c>
      <c r="E37" t="s">
        <v>44</v>
      </c>
      <c r="F37" s="1">
        <v>41047</v>
      </c>
      <c r="G37">
        <v>12400</v>
      </c>
      <c r="H37">
        <v>83</v>
      </c>
      <c r="I37">
        <v>19000</v>
      </c>
      <c r="J37" t="s">
        <v>601</v>
      </c>
      <c r="K37" t="s">
        <v>46</v>
      </c>
      <c r="L37" t="s">
        <v>600</v>
      </c>
      <c r="M37" t="s">
        <v>602</v>
      </c>
      <c r="N37">
        <v>0.24010000000000001</v>
      </c>
      <c r="O37" t="s">
        <v>603</v>
      </c>
      <c r="P37" t="s">
        <v>390</v>
      </c>
      <c r="Q37" t="s">
        <v>604</v>
      </c>
      <c r="R37" t="s">
        <v>51</v>
      </c>
      <c r="S37" t="s">
        <v>52</v>
      </c>
      <c r="T37" t="s">
        <v>605</v>
      </c>
      <c r="U37" t="s">
        <v>606</v>
      </c>
      <c r="V37" t="s">
        <v>607</v>
      </c>
      <c r="W37" t="s">
        <v>608</v>
      </c>
      <c r="X37" t="s">
        <v>606</v>
      </c>
      <c r="Y37" t="s">
        <v>609</v>
      </c>
      <c r="Z37">
        <v>6.6</v>
      </c>
      <c r="AA37">
        <v>2114</v>
      </c>
      <c r="AB37" t="s">
        <v>610</v>
      </c>
      <c r="AC37">
        <v>5</v>
      </c>
      <c r="AD37">
        <v>2012</v>
      </c>
      <c r="AE37">
        <v>20</v>
      </c>
      <c r="AF37" t="s">
        <v>611</v>
      </c>
      <c r="AG37">
        <v>23</v>
      </c>
      <c r="AH37">
        <v>9.4255323935027704</v>
      </c>
      <c r="AI37">
        <v>0.39273051639594803</v>
      </c>
      <c r="AJ37" t="s">
        <v>61</v>
      </c>
      <c r="AK37" t="s">
        <v>612</v>
      </c>
      <c r="AL37">
        <v>2</v>
      </c>
      <c r="AM37">
        <v>1</v>
      </c>
      <c r="AN37">
        <v>19</v>
      </c>
      <c r="AO37">
        <v>0.05</v>
      </c>
      <c r="AP37" t="s">
        <v>63</v>
      </c>
      <c r="AQ37" t="s">
        <v>63</v>
      </c>
    </row>
    <row r="38" spans="1:43" x14ac:dyDescent="0.2">
      <c r="A38">
        <v>117784</v>
      </c>
      <c r="B38" t="s">
        <v>613</v>
      </c>
      <c r="C38">
        <v>6.3</v>
      </c>
      <c r="D38">
        <v>9</v>
      </c>
      <c r="E38" t="s">
        <v>44</v>
      </c>
      <c r="F38" s="1">
        <v>41047</v>
      </c>
      <c r="G38">
        <v>4800000</v>
      </c>
      <c r="H38">
        <v>141</v>
      </c>
      <c r="I38">
        <v>3200000</v>
      </c>
      <c r="J38" t="s">
        <v>614</v>
      </c>
      <c r="K38" t="s">
        <v>403</v>
      </c>
      <c r="L38" t="s">
        <v>613</v>
      </c>
      <c r="M38" t="s">
        <v>615</v>
      </c>
      <c r="N38">
        <v>0.85460000000000003</v>
      </c>
      <c r="O38" t="s">
        <v>616</v>
      </c>
      <c r="P38" t="s">
        <v>98</v>
      </c>
      <c r="Q38" t="s">
        <v>617</v>
      </c>
      <c r="R38" t="s">
        <v>408</v>
      </c>
      <c r="S38" t="s">
        <v>409</v>
      </c>
      <c r="T38" t="s">
        <v>618</v>
      </c>
      <c r="U38" t="s">
        <v>619</v>
      </c>
      <c r="V38" t="s">
        <v>620</v>
      </c>
      <c r="W38" t="s">
        <v>621</v>
      </c>
      <c r="X38" t="s">
        <v>622</v>
      </c>
      <c r="Y38" t="s">
        <v>623</v>
      </c>
      <c r="Z38">
        <v>3.2</v>
      </c>
      <c r="AA38">
        <v>1181</v>
      </c>
      <c r="AB38" t="s">
        <v>624</v>
      </c>
      <c r="AC38">
        <v>5</v>
      </c>
      <c r="AD38">
        <v>2012</v>
      </c>
      <c r="AE38">
        <v>20</v>
      </c>
      <c r="AF38" t="s">
        <v>625</v>
      </c>
      <c r="AG38">
        <v>23</v>
      </c>
      <c r="AH38">
        <v>15.384126684211401</v>
      </c>
      <c r="AI38">
        <v>0.64100527850880895</v>
      </c>
      <c r="AJ38" t="s">
        <v>61</v>
      </c>
      <c r="AK38" t="s">
        <v>570</v>
      </c>
      <c r="AL38">
        <v>3</v>
      </c>
      <c r="AM38">
        <v>0</v>
      </c>
      <c r="AN38">
        <v>3</v>
      </c>
      <c r="AO38">
        <v>0</v>
      </c>
      <c r="AP38" t="s">
        <v>63</v>
      </c>
      <c r="AQ38" t="s">
        <v>63</v>
      </c>
    </row>
    <row r="39" spans="1:43" x14ac:dyDescent="0.2">
      <c r="A39">
        <v>83770</v>
      </c>
      <c r="B39" t="s">
        <v>626</v>
      </c>
      <c r="C39">
        <v>5.6</v>
      </c>
      <c r="D39">
        <v>869</v>
      </c>
      <c r="E39" t="s">
        <v>44</v>
      </c>
      <c r="F39" s="1">
        <v>41051</v>
      </c>
      <c r="G39">
        <v>8784318</v>
      </c>
      <c r="H39">
        <v>142</v>
      </c>
      <c r="I39">
        <v>25000000</v>
      </c>
      <c r="J39" t="s">
        <v>627</v>
      </c>
      <c r="K39" t="s">
        <v>46</v>
      </c>
      <c r="L39" t="s">
        <v>626</v>
      </c>
      <c r="M39" t="s">
        <v>628</v>
      </c>
      <c r="N39">
        <v>2.8978000000000002</v>
      </c>
      <c r="O39" t="s">
        <v>629</v>
      </c>
      <c r="P39" t="s">
        <v>630</v>
      </c>
      <c r="Q39" t="s">
        <v>631</v>
      </c>
      <c r="R39" t="s">
        <v>632</v>
      </c>
      <c r="S39" t="s">
        <v>633</v>
      </c>
      <c r="T39" t="s">
        <v>634</v>
      </c>
      <c r="U39" t="s">
        <v>635</v>
      </c>
      <c r="V39" t="s">
        <v>636</v>
      </c>
      <c r="W39" t="s">
        <v>637</v>
      </c>
      <c r="X39" t="s">
        <v>638</v>
      </c>
      <c r="Y39" t="s">
        <v>639</v>
      </c>
      <c r="Z39">
        <v>6</v>
      </c>
      <c r="AA39">
        <v>44444</v>
      </c>
      <c r="AB39" t="s">
        <v>640</v>
      </c>
      <c r="AC39">
        <v>5</v>
      </c>
      <c r="AD39">
        <v>2012</v>
      </c>
      <c r="AE39">
        <v>21</v>
      </c>
      <c r="AF39" t="s">
        <v>641</v>
      </c>
      <c r="AG39">
        <v>27</v>
      </c>
      <c r="AH39">
        <v>15.988478758101101</v>
      </c>
      <c r="AI39">
        <v>0.57101709850361304</v>
      </c>
      <c r="AJ39" t="s">
        <v>61</v>
      </c>
      <c r="AK39" t="s">
        <v>642</v>
      </c>
      <c r="AL39">
        <v>40</v>
      </c>
      <c r="AM39">
        <v>1</v>
      </c>
      <c r="AN39">
        <v>67</v>
      </c>
      <c r="AO39">
        <v>0.01</v>
      </c>
      <c r="AP39" t="s">
        <v>63</v>
      </c>
      <c r="AQ39" t="s">
        <v>63</v>
      </c>
    </row>
    <row r="40" spans="1:43" x14ac:dyDescent="0.2">
      <c r="A40">
        <v>41154</v>
      </c>
      <c r="B40" t="s">
        <v>643</v>
      </c>
      <c r="C40">
        <v>6.5369999999999999</v>
      </c>
      <c r="D40">
        <v>10664</v>
      </c>
      <c r="E40" t="s">
        <v>44</v>
      </c>
      <c r="F40" s="1">
        <v>41052</v>
      </c>
      <c r="G40">
        <v>654213485</v>
      </c>
      <c r="H40">
        <v>106</v>
      </c>
      <c r="I40">
        <v>225000000</v>
      </c>
      <c r="J40" t="s">
        <v>644</v>
      </c>
      <c r="K40" t="s">
        <v>46</v>
      </c>
      <c r="L40" t="s">
        <v>643</v>
      </c>
      <c r="M40" t="s">
        <v>645</v>
      </c>
      <c r="N40">
        <v>8.0730000000000004</v>
      </c>
      <c r="O40" t="s">
        <v>646</v>
      </c>
      <c r="P40" t="s">
        <v>647</v>
      </c>
      <c r="Q40" t="s">
        <v>648</v>
      </c>
      <c r="R40" t="s">
        <v>649</v>
      </c>
      <c r="S40" t="s">
        <v>52</v>
      </c>
      <c r="T40" t="s">
        <v>650</v>
      </c>
      <c r="U40" t="s">
        <v>651</v>
      </c>
      <c r="V40" t="s">
        <v>652</v>
      </c>
      <c r="W40" t="s">
        <v>653</v>
      </c>
      <c r="X40" t="s">
        <v>654</v>
      </c>
      <c r="Y40" t="s">
        <v>520</v>
      </c>
      <c r="Z40">
        <v>6.8</v>
      </c>
      <c r="AA40">
        <v>406169</v>
      </c>
      <c r="AB40" t="s">
        <v>655</v>
      </c>
      <c r="AC40">
        <v>5</v>
      </c>
      <c r="AD40">
        <v>2012</v>
      </c>
      <c r="AE40">
        <v>21</v>
      </c>
      <c r="AF40" t="s">
        <v>656</v>
      </c>
      <c r="AG40">
        <v>28</v>
      </c>
      <c r="AH40">
        <v>20.298944287346998</v>
      </c>
      <c r="AI40">
        <v>0.69996359611541503</v>
      </c>
      <c r="AJ40" t="s">
        <v>61</v>
      </c>
      <c r="AK40" t="s">
        <v>657</v>
      </c>
      <c r="AL40">
        <v>63</v>
      </c>
      <c r="AM40">
        <v>3</v>
      </c>
      <c r="AN40">
        <v>71</v>
      </c>
      <c r="AO40">
        <v>0.04</v>
      </c>
      <c r="AP40" t="s">
        <v>63</v>
      </c>
      <c r="AQ40" t="s">
        <v>63</v>
      </c>
    </row>
    <row r="41" spans="1:43" x14ac:dyDescent="0.2">
      <c r="A41">
        <v>49014</v>
      </c>
      <c r="B41" t="s">
        <v>658</v>
      </c>
      <c r="C41">
        <v>5.7</v>
      </c>
      <c r="D41">
        <v>1307</v>
      </c>
      <c r="E41" t="s">
        <v>44</v>
      </c>
      <c r="F41" s="1">
        <v>41054</v>
      </c>
      <c r="G41">
        <v>6063556</v>
      </c>
      <c r="H41">
        <v>109</v>
      </c>
      <c r="I41">
        <v>20500000</v>
      </c>
      <c r="J41" t="s">
        <v>659</v>
      </c>
      <c r="K41" t="s">
        <v>46</v>
      </c>
      <c r="L41" t="s">
        <v>658</v>
      </c>
      <c r="M41" t="s">
        <v>660</v>
      </c>
      <c r="N41">
        <v>1.3016000000000001</v>
      </c>
      <c r="O41" t="s">
        <v>661</v>
      </c>
      <c r="P41" t="s">
        <v>662</v>
      </c>
      <c r="Q41" t="s">
        <v>663</v>
      </c>
      <c r="R41" t="s">
        <v>664</v>
      </c>
      <c r="S41" t="s">
        <v>52</v>
      </c>
      <c r="T41" t="s">
        <v>665</v>
      </c>
      <c r="U41" t="s">
        <v>666</v>
      </c>
      <c r="V41" t="s">
        <v>667</v>
      </c>
      <c r="W41" t="s">
        <v>668</v>
      </c>
      <c r="X41" t="s">
        <v>669</v>
      </c>
      <c r="Y41" t="s">
        <v>670</v>
      </c>
      <c r="Z41">
        <v>5.0999999999999996</v>
      </c>
      <c r="AA41">
        <v>51773</v>
      </c>
      <c r="AB41" t="s">
        <v>671</v>
      </c>
      <c r="AC41">
        <v>5</v>
      </c>
      <c r="AD41">
        <v>2012</v>
      </c>
      <c r="AE41">
        <v>21</v>
      </c>
      <c r="AF41" t="s">
        <v>672</v>
      </c>
      <c r="AG41">
        <v>30</v>
      </c>
      <c r="AH41">
        <v>15.617807149546</v>
      </c>
      <c r="AI41">
        <v>0.50380023063051704</v>
      </c>
      <c r="AJ41" t="s">
        <v>61</v>
      </c>
      <c r="AK41" t="s">
        <v>673</v>
      </c>
      <c r="AL41">
        <v>42</v>
      </c>
      <c r="AM41">
        <v>0</v>
      </c>
      <c r="AN41">
        <v>67</v>
      </c>
      <c r="AO41">
        <v>0</v>
      </c>
      <c r="AP41" t="s">
        <v>63</v>
      </c>
      <c r="AQ41" t="s">
        <v>63</v>
      </c>
    </row>
    <row r="42" spans="1:43" x14ac:dyDescent="0.2">
      <c r="A42">
        <v>58595</v>
      </c>
      <c r="B42" t="s">
        <v>674</v>
      </c>
      <c r="C42">
        <v>6</v>
      </c>
      <c r="D42">
        <v>8047</v>
      </c>
      <c r="E42" t="s">
        <v>44</v>
      </c>
      <c r="F42" s="1">
        <v>41059</v>
      </c>
      <c r="G42">
        <v>396600000</v>
      </c>
      <c r="H42">
        <v>127</v>
      </c>
      <c r="I42">
        <v>170000000</v>
      </c>
      <c r="J42" t="s">
        <v>675</v>
      </c>
      <c r="K42" t="s">
        <v>46</v>
      </c>
      <c r="L42" t="s">
        <v>674</v>
      </c>
      <c r="M42" t="s">
        <v>676</v>
      </c>
      <c r="N42">
        <v>8.0620999999999992</v>
      </c>
      <c r="O42" t="s">
        <v>677</v>
      </c>
      <c r="P42" t="s">
        <v>678</v>
      </c>
      <c r="Q42" t="s">
        <v>679</v>
      </c>
      <c r="R42" t="s">
        <v>51</v>
      </c>
      <c r="S42" t="s">
        <v>52</v>
      </c>
      <c r="T42" t="s">
        <v>680</v>
      </c>
      <c r="U42" t="s">
        <v>681</v>
      </c>
      <c r="V42" t="s">
        <v>682</v>
      </c>
      <c r="W42" t="s">
        <v>683</v>
      </c>
      <c r="X42" t="s">
        <v>684</v>
      </c>
      <c r="Y42" t="s">
        <v>58</v>
      </c>
      <c r="Z42">
        <v>6.1</v>
      </c>
      <c r="AA42">
        <v>312473</v>
      </c>
      <c r="AB42" t="s">
        <v>685</v>
      </c>
      <c r="AC42">
        <v>5</v>
      </c>
      <c r="AD42">
        <v>2012</v>
      </c>
      <c r="AE42">
        <v>22</v>
      </c>
      <c r="AF42" t="s">
        <v>686</v>
      </c>
      <c r="AG42">
        <v>35</v>
      </c>
      <c r="AH42">
        <v>19.798438776571398</v>
      </c>
      <c r="AI42">
        <v>0.54995663268253803</v>
      </c>
      <c r="AJ42" t="s">
        <v>61</v>
      </c>
      <c r="AK42" t="s">
        <v>687</v>
      </c>
      <c r="AL42">
        <v>72</v>
      </c>
      <c r="AM42">
        <v>0</v>
      </c>
      <c r="AN42">
        <v>79</v>
      </c>
      <c r="AO42">
        <v>0</v>
      </c>
      <c r="AP42" t="s">
        <v>63</v>
      </c>
      <c r="AQ42" t="s">
        <v>63</v>
      </c>
    </row>
    <row r="43" spans="1:43" x14ac:dyDescent="0.2">
      <c r="A43">
        <v>70981</v>
      </c>
      <c r="B43" t="s">
        <v>688</v>
      </c>
      <c r="C43">
        <v>6.5839999999999996</v>
      </c>
      <c r="D43">
        <v>12824</v>
      </c>
      <c r="E43" t="s">
        <v>44</v>
      </c>
      <c r="F43" s="1">
        <v>41059</v>
      </c>
      <c r="G43">
        <v>403354469</v>
      </c>
      <c r="H43">
        <v>124</v>
      </c>
      <c r="I43">
        <v>130000000</v>
      </c>
      <c r="J43" t="s">
        <v>689</v>
      </c>
      <c r="K43" t="s">
        <v>46</v>
      </c>
      <c r="L43" t="s">
        <v>688</v>
      </c>
      <c r="M43" t="s">
        <v>690</v>
      </c>
      <c r="N43">
        <v>10.8925</v>
      </c>
      <c r="O43" t="s">
        <v>691</v>
      </c>
      <c r="P43" t="s">
        <v>692</v>
      </c>
      <c r="Q43" t="s">
        <v>693</v>
      </c>
      <c r="R43" t="s">
        <v>694</v>
      </c>
      <c r="S43" t="s">
        <v>695</v>
      </c>
      <c r="T43" t="s">
        <v>696</v>
      </c>
      <c r="U43" t="s">
        <v>697</v>
      </c>
      <c r="V43" t="s">
        <v>698</v>
      </c>
      <c r="W43" t="s">
        <v>699</v>
      </c>
      <c r="X43" t="s">
        <v>700</v>
      </c>
      <c r="Y43" t="s">
        <v>701</v>
      </c>
      <c r="Z43">
        <v>7</v>
      </c>
      <c r="AA43">
        <v>688032</v>
      </c>
      <c r="AB43" t="s">
        <v>702</v>
      </c>
      <c r="AC43">
        <v>5</v>
      </c>
      <c r="AD43">
        <v>2012</v>
      </c>
      <c r="AE43">
        <v>22</v>
      </c>
      <c r="AF43" t="s">
        <v>703</v>
      </c>
      <c r="AG43">
        <v>35</v>
      </c>
      <c r="AH43">
        <v>19.8153263114725</v>
      </c>
      <c r="AI43">
        <v>0.55042573087423696</v>
      </c>
      <c r="AJ43" t="s">
        <v>61</v>
      </c>
      <c r="AK43" t="s">
        <v>704</v>
      </c>
      <c r="AL43">
        <v>73</v>
      </c>
      <c r="AM43">
        <v>0</v>
      </c>
      <c r="AN43">
        <v>86</v>
      </c>
      <c r="AO43">
        <v>0</v>
      </c>
      <c r="AP43" t="s">
        <v>63</v>
      </c>
      <c r="AQ43" t="s">
        <v>63</v>
      </c>
    </row>
    <row r="44" spans="1:43" x14ac:dyDescent="0.2">
      <c r="A44">
        <v>96399</v>
      </c>
      <c r="B44" t="s">
        <v>705</v>
      </c>
      <c r="C44">
        <v>6.8</v>
      </c>
      <c r="D44">
        <v>162</v>
      </c>
      <c r="E44" t="s">
        <v>44</v>
      </c>
      <c r="F44" s="1">
        <v>41061</v>
      </c>
      <c r="G44">
        <v>10173682</v>
      </c>
      <c r="H44">
        <v>145</v>
      </c>
      <c r="I44">
        <v>12000000</v>
      </c>
      <c r="J44" t="s">
        <v>706</v>
      </c>
      <c r="K44" t="s">
        <v>46</v>
      </c>
      <c r="L44" t="s">
        <v>707</v>
      </c>
      <c r="M44" t="s">
        <v>708</v>
      </c>
      <c r="N44">
        <v>2.3895</v>
      </c>
      <c r="O44" t="s">
        <v>709</v>
      </c>
      <c r="P44" t="s">
        <v>710</v>
      </c>
      <c r="Q44" t="s">
        <v>711</v>
      </c>
      <c r="R44" t="s">
        <v>712</v>
      </c>
      <c r="S44" t="s">
        <v>545</v>
      </c>
      <c r="T44" t="s">
        <v>713</v>
      </c>
      <c r="U44" t="s">
        <v>714</v>
      </c>
      <c r="W44" t="s">
        <v>715</v>
      </c>
      <c r="X44" t="s">
        <v>716</v>
      </c>
      <c r="Y44" t="s">
        <v>717</v>
      </c>
      <c r="Z44">
        <v>6.6</v>
      </c>
      <c r="AA44">
        <v>5546</v>
      </c>
      <c r="AB44" t="s">
        <v>718</v>
      </c>
      <c r="AC44">
        <v>6</v>
      </c>
      <c r="AD44">
        <v>2012</v>
      </c>
      <c r="AE44">
        <v>22</v>
      </c>
      <c r="AF44" t="s">
        <v>719</v>
      </c>
      <c r="AG44">
        <v>37</v>
      </c>
      <c r="AH44">
        <v>16.135314846025999</v>
      </c>
      <c r="AI44">
        <v>0.42461354857963302</v>
      </c>
      <c r="AJ44" t="s">
        <v>61</v>
      </c>
      <c r="AK44" t="s">
        <v>720</v>
      </c>
      <c r="AL44">
        <v>8</v>
      </c>
      <c r="AM44">
        <v>0</v>
      </c>
      <c r="AN44">
        <v>14</v>
      </c>
      <c r="AO44">
        <v>0</v>
      </c>
      <c r="AP44" t="s">
        <v>63</v>
      </c>
      <c r="AQ44" t="s">
        <v>63</v>
      </c>
    </row>
    <row r="45" spans="1:43" x14ac:dyDescent="0.2">
      <c r="A45">
        <v>102632</v>
      </c>
      <c r="B45" t="s">
        <v>721</v>
      </c>
      <c r="C45">
        <v>5.8840000000000003</v>
      </c>
      <c r="D45">
        <v>99</v>
      </c>
      <c r="E45" t="s">
        <v>44</v>
      </c>
      <c r="F45" s="1">
        <v>41061</v>
      </c>
      <c r="G45">
        <v>31000000</v>
      </c>
      <c r="H45">
        <v>143</v>
      </c>
      <c r="I45">
        <v>6700000</v>
      </c>
      <c r="J45" t="s">
        <v>722</v>
      </c>
      <c r="K45" t="s">
        <v>403</v>
      </c>
      <c r="L45" t="s">
        <v>721</v>
      </c>
      <c r="M45" t="s">
        <v>723</v>
      </c>
      <c r="N45">
        <v>1.3948</v>
      </c>
      <c r="O45" t="s">
        <v>724</v>
      </c>
      <c r="P45" t="s">
        <v>83</v>
      </c>
      <c r="Q45" t="s">
        <v>725</v>
      </c>
      <c r="R45" t="s">
        <v>408</v>
      </c>
      <c r="S45" t="s">
        <v>409</v>
      </c>
      <c r="T45" t="s">
        <v>726</v>
      </c>
      <c r="U45" t="s">
        <v>727</v>
      </c>
      <c r="V45" t="s">
        <v>728</v>
      </c>
      <c r="W45" t="s">
        <v>729</v>
      </c>
      <c r="X45" t="s">
        <v>730</v>
      </c>
      <c r="Y45" t="s">
        <v>731</v>
      </c>
      <c r="Z45">
        <v>5.8</v>
      </c>
      <c r="AA45">
        <v>26145</v>
      </c>
      <c r="AB45" t="s">
        <v>732</v>
      </c>
      <c r="AC45">
        <v>6</v>
      </c>
      <c r="AD45">
        <v>2012</v>
      </c>
      <c r="AE45">
        <v>22</v>
      </c>
      <c r="AF45" t="s">
        <v>733</v>
      </c>
      <c r="AG45">
        <v>37</v>
      </c>
      <c r="AH45">
        <v>17.249497794707398</v>
      </c>
      <c r="AI45">
        <v>0.45393415249230201</v>
      </c>
      <c r="AJ45" t="s">
        <v>61</v>
      </c>
      <c r="AK45" t="s">
        <v>734</v>
      </c>
      <c r="AL45">
        <v>8</v>
      </c>
      <c r="AM45">
        <v>2</v>
      </c>
      <c r="AN45">
        <v>13</v>
      </c>
      <c r="AO45">
        <v>0.15</v>
      </c>
      <c r="AP45" t="s">
        <v>63</v>
      </c>
      <c r="AQ45" t="s">
        <v>63</v>
      </c>
    </row>
    <row r="46" spans="1:43" x14ac:dyDescent="0.2">
      <c r="A46">
        <v>80321</v>
      </c>
      <c r="B46" t="s">
        <v>735</v>
      </c>
      <c r="C46">
        <v>6.6</v>
      </c>
      <c r="D46">
        <v>6379</v>
      </c>
      <c r="E46" t="s">
        <v>44</v>
      </c>
      <c r="F46" s="1">
        <v>41066</v>
      </c>
      <c r="G46">
        <v>746921274</v>
      </c>
      <c r="H46">
        <v>93</v>
      </c>
      <c r="I46">
        <v>145000000</v>
      </c>
      <c r="J46" t="s">
        <v>736</v>
      </c>
      <c r="K46" t="s">
        <v>46</v>
      </c>
      <c r="L46" t="s">
        <v>735</v>
      </c>
      <c r="M46" t="s">
        <v>737</v>
      </c>
      <c r="N46">
        <v>5.9219999999999997</v>
      </c>
      <c r="O46" t="s">
        <v>738</v>
      </c>
      <c r="P46" t="s">
        <v>739</v>
      </c>
      <c r="Q46" t="s">
        <v>740</v>
      </c>
      <c r="R46" t="s">
        <v>51</v>
      </c>
      <c r="S46" t="s">
        <v>52</v>
      </c>
      <c r="T46" t="s">
        <v>741</v>
      </c>
      <c r="U46" t="s">
        <v>742</v>
      </c>
      <c r="W46" t="s">
        <v>743</v>
      </c>
      <c r="X46" t="s">
        <v>744</v>
      </c>
      <c r="Y46" t="s">
        <v>745</v>
      </c>
      <c r="Z46">
        <v>6.8</v>
      </c>
      <c r="AA46">
        <v>212534</v>
      </c>
      <c r="AB46" t="s">
        <v>746</v>
      </c>
      <c r="AC46">
        <v>6</v>
      </c>
      <c r="AD46">
        <v>2012</v>
      </c>
      <c r="AE46">
        <v>23</v>
      </c>
      <c r="AF46" t="s">
        <v>747</v>
      </c>
      <c r="AG46">
        <v>42</v>
      </c>
      <c r="AH46">
        <v>20.431470349323799</v>
      </c>
      <c r="AI46">
        <v>0.47515047324008802</v>
      </c>
      <c r="AJ46" t="s">
        <v>61</v>
      </c>
      <c r="AK46" t="s">
        <v>748</v>
      </c>
      <c r="AL46">
        <v>74</v>
      </c>
      <c r="AM46">
        <v>0</v>
      </c>
      <c r="AN46">
        <v>76</v>
      </c>
      <c r="AO46">
        <v>0</v>
      </c>
      <c r="AP46" t="s">
        <v>63</v>
      </c>
      <c r="AQ46" t="s">
        <v>63</v>
      </c>
    </row>
    <row r="47" spans="1:43" x14ac:dyDescent="0.2">
      <c r="A47">
        <v>73567</v>
      </c>
      <c r="B47" t="s">
        <v>749</v>
      </c>
      <c r="C47">
        <v>6.5279999999999996</v>
      </c>
      <c r="D47">
        <v>1490</v>
      </c>
      <c r="E47" t="s">
        <v>44</v>
      </c>
      <c r="F47" s="1">
        <v>41067</v>
      </c>
      <c r="G47">
        <v>4633668</v>
      </c>
      <c r="H47">
        <v>102</v>
      </c>
      <c r="I47">
        <v>10000000</v>
      </c>
      <c r="J47" t="s">
        <v>750</v>
      </c>
      <c r="K47" t="s">
        <v>46</v>
      </c>
      <c r="L47" t="s">
        <v>749</v>
      </c>
      <c r="M47" t="s">
        <v>751</v>
      </c>
      <c r="N47">
        <v>2.6541000000000001</v>
      </c>
      <c r="O47" t="s">
        <v>752</v>
      </c>
      <c r="P47" t="s">
        <v>753</v>
      </c>
      <c r="Q47" t="s">
        <v>754</v>
      </c>
      <c r="R47" t="s">
        <v>51</v>
      </c>
      <c r="S47" t="s">
        <v>52</v>
      </c>
      <c r="T47" t="s">
        <v>755</v>
      </c>
      <c r="U47" t="s">
        <v>756</v>
      </c>
      <c r="V47" t="s">
        <v>757</v>
      </c>
      <c r="W47" t="s">
        <v>758</v>
      </c>
      <c r="X47" t="s">
        <v>759</v>
      </c>
      <c r="Y47" t="s">
        <v>760</v>
      </c>
      <c r="Z47">
        <v>6.7</v>
      </c>
      <c r="AA47">
        <v>86942</v>
      </c>
      <c r="AB47" t="s">
        <v>761</v>
      </c>
      <c r="AC47">
        <v>6</v>
      </c>
      <c r="AD47">
        <v>2012</v>
      </c>
      <c r="AE47">
        <v>23</v>
      </c>
      <c r="AF47" t="s">
        <v>762</v>
      </c>
      <c r="AG47">
        <v>43</v>
      </c>
      <c r="AH47">
        <v>15.348859552851801</v>
      </c>
      <c r="AI47">
        <v>0.34883771711027001</v>
      </c>
      <c r="AJ47" t="s">
        <v>61</v>
      </c>
      <c r="AK47" t="s">
        <v>763</v>
      </c>
      <c r="AL47">
        <v>18</v>
      </c>
      <c r="AM47">
        <v>0</v>
      </c>
      <c r="AN47">
        <v>61</v>
      </c>
      <c r="AO47">
        <v>0</v>
      </c>
      <c r="AP47" t="s">
        <v>63</v>
      </c>
      <c r="AQ47" t="s">
        <v>63</v>
      </c>
    </row>
    <row r="48" spans="1:43" x14ac:dyDescent="0.2">
      <c r="A48">
        <v>84332</v>
      </c>
      <c r="B48" t="s">
        <v>764</v>
      </c>
      <c r="C48">
        <v>6.7770000000000001</v>
      </c>
      <c r="D48">
        <v>1532</v>
      </c>
      <c r="E48" t="s">
        <v>44</v>
      </c>
      <c r="F48" s="1">
        <v>41068</v>
      </c>
      <c r="G48">
        <v>4424699</v>
      </c>
      <c r="H48">
        <v>86</v>
      </c>
      <c r="I48">
        <v>750000</v>
      </c>
      <c r="J48" t="s">
        <v>765</v>
      </c>
      <c r="K48" t="s">
        <v>46</v>
      </c>
      <c r="L48" t="s">
        <v>764</v>
      </c>
      <c r="M48" t="s">
        <v>766</v>
      </c>
      <c r="N48">
        <v>2.4603999999999999</v>
      </c>
      <c r="O48" t="s">
        <v>767</v>
      </c>
      <c r="P48" t="s">
        <v>768</v>
      </c>
      <c r="Q48" t="s">
        <v>769</v>
      </c>
      <c r="R48" t="s">
        <v>51</v>
      </c>
      <c r="S48" t="s">
        <v>52</v>
      </c>
      <c r="T48" t="s">
        <v>770</v>
      </c>
      <c r="U48" t="s">
        <v>771</v>
      </c>
      <c r="V48" t="s">
        <v>772</v>
      </c>
      <c r="W48" t="s">
        <v>773</v>
      </c>
      <c r="X48" t="s">
        <v>774</v>
      </c>
      <c r="Y48" t="s">
        <v>775</v>
      </c>
      <c r="Z48">
        <v>6.9</v>
      </c>
      <c r="AA48">
        <v>134186</v>
      </c>
      <c r="AB48" t="s">
        <v>776</v>
      </c>
      <c r="AC48">
        <v>6</v>
      </c>
      <c r="AD48">
        <v>2012</v>
      </c>
      <c r="AE48">
        <v>23</v>
      </c>
      <c r="AF48" t="s">
        <v>777</v>
      </c>
      <c r="AG48">
        <v>44</v>
      </c>
      <c r="AH48">
        <v>15.3027130375157</v>
      </c>
      <c r="AI48">
        <v>0.34006028972257102</v>
      </c>
      <c r="AJ48" t="s">
        <v>61</v>
      </c>
      <c r="AK48" t="s">
        <v>778</v>
      </c>
      <c r="AL48">
        <v>12</v>
      </c>
      <c r="AM48">
        <v>0</v>
      </c>
      <c r="AN48">
        <v>38</v>
      </c>
      <c r="AO48">
        <v>0</v>
      </c>
      <c r="AP48" t="s">
        <v>63</v>
      </c>
      <c r="AQ48" t="s">
        <v>63</v>
      </c>
    </row>
    <row r="49" spans="1:43" x14ac:dyDescent="0.2">
      <c r="A49">
        <v>151708</v>
      </c>
      <c r="B49" t="s">
        <v>779</v>
      </c>
      <c r="C49">
        <v>6.9880000000000004</v>
      </c>
      <c r="D49">
        <v>40</v>
      </c>
      <c r="E49" t="s">
        <v>44</v>
      </c>
      <c r="F49" s="1">
        <v>41068</v>
      </c>
      <c r="G49">
        <v>4346138</v>
      </c>
      <c r="H49">
        <v>100</v>
      </c>
      <c r="I49">
        <v>4615385</v>
      </c>
      <c r="J49" t="s">
        <v>780</v>
      </c>
      <c r="K49" t="s">
        <v>258</v>
      </c>
      <c r="L49" t="s">
        <v>781</v>
      </c>
      <c r="M49" t="s">
        <v>782</v>
      </c>
      <c r="N49">
        <v>0.60860000000000003</v>
      </c>
      <c r="O49" t="s">
        <v>783</v>
      </c>
      <c r="P49" t="s">
        <v>784</v>
      </c>
      <c r="Q49" t="s">
        <v>785</v>
      </c>
      <c r="R49" t="s">
        <v>786</v>
      </c>
      <c r="S49" t="s">
        <v>787</v>
      </c>
      <c r="T49" t="s">
        <v>788</v>
      </c>
      <c r="U49" t="s">
        <v>789</v>
      </c>
      <c r="V49" t="s">
        <v>790</v>
      </c>
      <c r="W49" t="s">
        <v>791</v>
      </c>
      <c r="X49" t="s">
        <v>792</v>
      </c>
      <c r="Y49" t="s">
        <v>793</v>
      </c>
      <c r="Z49">
        <v>7.2</v>
      </c>
      <c r="AA49">
        <v>1365</v>
      </c>
      <c r="AB49" t="s">
        <v>794</v>
      </c>
      <c r="AC49">
        <v>6</v>
      </c>
      <c r="AD49">
        <v>2012</v>
      </c>
      <c r="AE49">
        <v>23</v>
      </c>
      <c r="AF49" t="s">
        <v>795</v>
      </c>
      <c r="AG49">
        <v>44</v>
      </c>
      <c r="AH49">
        <v>15.28479842272</v>
      </c>
      <c r="AI49">
        <v>0.339662187171557</v>
      </c>
      <c r="AJ49" t="s">
        <v>61</v>
      </c>
      <c r="AK49" t="s">
        <v>796</v>
      </c>
      <c r="AL49">
        <v>2</v>
      </c>
      <c r="AM49">
        <v>0</v>
      </c>
      <c r="AN49">
        <v>2</v>
      </c>
      <c r="AO49">
        <v>0</v>
      </c>
      <c r="AP49" t="s">
        <v>63</v>
      </c>
      <c r="AQ49" t="s">
        <v>63</v>
      </c>
    </row>
    <row r="50" spans="1:43" x14ac:dyDescent="0.2">
      <c r="A50" t="s">
        <v>797</v>
      </c>
      <c r="AI50">
        <f>SUBTOTAL(109,Table1[score])</f>
        <v>46.84074386967189</v>
      </c>
      <c r="AQ50">
        <f>SUBTOTAL(103,Table1[error])</f>
        <v>47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The_Avengers_attributes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2026-02-17T17:18:28Z</dcterms:created>
  <dcterms:modified xsi:type="dcterms:W3CDTF">2026-02-17T18:04:49Z</dcterms:modified>
</cp:coreProperties>
</file>