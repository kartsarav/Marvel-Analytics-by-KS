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3/xlsx/attributed/"/>
    </mc:Choice>
  </mc:AlternateContent>
  <xr:revisionPtr revIDLastSave="0" documentId="13_ncr:1_{1AF6F86B-0906-5B4F-A046-27475FA94FEA}" xr6:coauthVersionLast="47" xr6:coauthVersionMax="47" xr10:uidLastSave="{00000000-0000-0000-0000-000000000000}"/>
  <bookViews>
    <workbookView xWindow="780" yWindow="580" windowWidth="27640" windowHeight="16680" xr2:uid="{7ED408A1-06DC-3B43-8165-C65B0B02B83B}"/>
  </bookViews>
  <sheets>
    <sheet name="Shang-Chi_and_the_Legend_of_th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39" i="1" l="1"/>
  <c r="AQ39" i="1"/>
</calcChain>
</file>

<file path=xl/sharedStrings.xml><?xml version="1.0" encoding="utf-8"?>
<sst xmlns="http://schemas.openxmlformats.org/spreadsheetml/2006/main" count="893" uniqueCount="642">
  <si>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</si>
  <si>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</si>
  <si>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</si>
  <si>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</si>
  <si>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</si>
  <si>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</si>
  <si>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</si>
  <si>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</si>
  <si>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</si>
  <si>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</si>
  <si>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</si>
  <si>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</si>
  <si>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</si>
  <si>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</si>
  <si>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</si>
  <si>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</si>
  <si>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</si>
  <si>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</si>
  <si>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</si>
  <si>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</si>
  <si>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</si>
  <si>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</si>
  <si>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</si>
  <si>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</si>
  <si>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</si>
  <si>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</si>
  <si>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</si>
  <si>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</si>
  <si>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</si>
  <si>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</si>
  <si>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</si>
  <si>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</si>
  <si>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</si>
  <si>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</si>
  <si>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</si>
  <si>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</si>
  <si>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</si>
  <si>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</si>
  <si>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</si>
  <si>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</si>
  <si>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</si>
  <si>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</si>
  <si>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</si>
  <si>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Kaamelott: The First Chapter</t>
  </si>
  <si>
    <t>Released</t>
  </si>
  <si>
    <t>tt9844322</t>
  </si>
  <si>
    <t>fr</t>
  </si>
  <si>
    <t>Kaamelott - Premier volet</t>
  </si>
  <si>
    <t>Hidden in Rome, King Arthur is planning his return to oppose the army of his former friend Lancelot.</t>
  </si>
  <si>
    <t>Patience is better served with sauce</t>
  </si>
  <si>
    <t>Adventure, Fantasy, Comedy</t>
  </si>
  <si>
    <t>snd, cnc, sacem, m6 films, calt production, dies irae, belga productions, auvergne-rh‚àö¬•ne-alpes cin‚àö¬©ma, r‚àö¬©gion auvergne-rh‚àö¬•ne-alpes, regular production</t>
  </si>
  <si>
    <t>France</t>
  </si>
  <si>
    <t>Fran‚àö√üais</t>
  </si>
  <si>
    <t>Neil Astier, Louy Valy, Clovis Cornillac, Guillaume Briat, Oc‚àö¬©ane Slim, Sandra Cheyssial, Reggie Vermeulen, Fran‚àö√üois Rollin, Ethan Astier, Guillaume Gallienne, Alain le Bars, Jacques Chambon, G‚àö¬©raldine Nakache, Enzo Pirat, Mathieu Duboclard, Jo‚àö¬¥lle Sevilla, Marie-Christine Orry, Anne Girouard, Sting, St‚àö¬©phane Margot, Caroline Ferrus, Pascal Vincent, Lionnel Astier, Anthony Martin, Audrey Fleurot, H‚àö¬©l‚àö¬Æne Rudermann, Mehdi Rahim-Silvioli, Isabelle Mattiussi, Yazan Al-Mashni, Thomas Neyret, Mark Eacersall, Alexandre Astier, Salwa Al Hajri, Antoine Bordes, J‚àö¬©r‚àö¬•me Palmer, Fran‚àö√üois Morel, Ayman El Kadhi, Gilles Graveleau, Franck Pitiot, Brice Fournier, David Ayala, Chlo‚àö¬© Guillot, Tigran Mekhitarian, Charlie Konat‚àö¬©-D‚àö¬©courchalle, Lamari Amine, Lo‚àö√òc Varraut, Serge Papagalli, ‚àö√¢tienne Fague, Cyrille Coton-Bonacchi, Jean-Robert Lombard, Sakir Uyar, Alain Chabat, Ariane Astier, Alban Lenoir, Carlo Brandt, Val‚àö¬©rie K‚àö¬©ruzor‚àö¬©, Thomas Cousseau, Jehnny Beth, Christophe Mazi‚àö¬Ære, Patricia Darr‚àö¬©, Bruno Fontaine, Nicolas Gabion, Antoine de Caunes, Aur‚àö¬©lien Portehaut, Jean-Charles Simon, Christian Clavier, Jean-Christophe Hembert, Achile de San Nicolas, Damien Roux, Jeanne Astier, Yoann Vellaud</t>
  </si>
  <si>
    <t>Alexandre Astier</t>
  </si>
  <si>
    <t>Jean-Marie Dreujou</t>
  </si>
  <si>
    <t>Agathe Sofer, Henri Deneubourg, Alexandre Astier</t>
  </si>
  <si>
    <t>/hfq2Wgm86DeXGxcBrrpk9EShAZ8.jpg</t>
  </si>
  <si>
    <t>kaamelott: the first chapter</t>
  </si>
  <si>
    <t>shang-chi and the legend of the ten rings</t>
  </si>
  <si>
    <t>limited (1), blank (20), french speaking region (1), internet (13), qu√©bec (1), german speaking region (1), english subtitled version (2), french film festival (1), dvd premiere (1), geneva international film festival (1)</t>
  </si>
  <si>
    <t>no</t>
  </si>
  <si>
    <t>Old</t>
  </si>
  <si>
    <t>tt10954652</t>
  </si>
  <si>
    <t>en</t>
  </si>
  <si>
    <t>A group of families on a tropical holiday discover that the secluded beach where they are staying is somehow causing them to age rapidly ‚Äö√Ñ√¨ reducing their entire lives into a single day.</t>
  </si>
  <si>
    <t>It's only a matter of time.</t>
  </si>
  <si>
    <t>Thriller, Mystery, Horror</t>
  </si>
  <si>
    <t>universal pictures, perfect world pictures, blinding edge pictures</t>
  </si>
  <si>
    <t>China, United States of America</t>
  </si>
  <si>
    <t>English</t>
  </si>
  <si>
    <t>Jeffrey Holsman, Margaux Da Silva, Louise Walter, Embeth Davidtz, Daniel Ison, Abbey Lee, Luca Faustino Rodriguez, Aaron Pierre, Gustaf Hammarsten, Eliza Scanlen, Kathleen Chalfant, Deidra Ciolko, Julietta Rodr‚àö‚â†guez, Matthew Shear, Nikki Amuka-Bird, Emun Elliott, Rufus Sewell, Nolan River, Vicky Krieps, Alejandra Useche, Mikaya Fisher, Arturo A. Baez, Kailen Jude, Francesca Eastwood, Alexa Swinton, Kylie Begley, Ken Leung, John Twohy, Gael Garc‚àö‚â†a Bernal, Thomasin McKenzie, Alex Wolff, M. Night Shyamalan</t>
  </si>
  <si>
    <t>M. Night Shyamalan</t>
  </si>
  <si>
    <t>Mike Gioulakis</t>
  </si>
  <si>
    <t>Pierre Oscar L‚àö¬©vy, Fr‚àö¬©d‚àö¬©rik Peeters, M. Night Shyamalan</t>
  </si>
  <si>
    <t>Steven Schneider, Ashwin Rajan, Marc Bienstock, M. Night Shyamalan</t>
  </si>
  <si>
    <t>Trevor Gureckis</t>
  </si>
  <si>
    <t>/vclShucpUmPhdAOmKgf3B3Z4POD.jpg</t>
  </si>
  <si>
    <t>old</t>
  </si>
  <si>
    <t>new york city, new york (1), premiere (2), blank (80), madrid (1), blu-ray release (1), dvd premiere (1)</t>
  </si>
  <si>
    <t>Snake Eyes: G.I. Joe Origins</t>
  </si>
  <si>
    <t>tt8404256</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</si>
  <si>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‚Äö√Ñ√¨ even if that means losing the trust of those closest to him.</t>
  </si>
  <si>
    <t>Every warrior has a beginning.</t>
  </si>
  <si>
    <t>Action, Adventure</t>
  </si>
  <si>
    <t>paramount pictures, metro-goldwyn-mayer, di bonaventura pictures, entertainment one, skydance media, hasbro</t>
  </si>
  <si>
    <t>Canada, Japan, United States of America</t>
  </si>
  <si>
    <t>√ø√ü≈∏√ë√øœÄ√ø¬±√ø¬Æ≈∏√§√ø¬©, English, Italiano, √ä√≥‚Ä¢√ä√∫¬®√ã‚Ñ¢√ª</t>
  </si>
  <si>
    <t>Henry Golding, Sean Owen Roberts, Ryan Klarenbach, Gui DaSilva-Greene, Brandon Melendy, Solomon Brende, Iko Uwais, Haruka Abe, ‚àö√∂rsula Corber‚àö‚â•, Samara Weaving, Nicholas Dohy, Simon Chin, Kojun Notsu, Steven Allerick, Kento Matsunami, Max Archibald, Dean Muhtadi, Samuel Finzi, James Hiroyuki Liao, Derrick DeVilliers, Neal Honda, Kenji Tanigaki, Owen Szabo, Andrew Koji, Shota Kakibata, Hugh Aodh O'Brien, Jason William Day, Peter Mensah, Eri Ishida, Takehiro Hira</t>
  </si>
  <si>
    <t>Robert Schwentke</t>
  </si>
  <si>
    <t>Bojan Bazelli</t>
  </si>
  <si>
    <t>Joe Shrapnel, Evan Spiliotopoulos, Anna Waterhouse</t>
  </si>
  <si>
    <t>Don Granger, David Ellison, Jeff G. Waxman, Dana Goldberg, Greg Mooradian, Erik Howsam, Brian Goldner, Lorenzo di Bonaventura</t>
  </si>
  <si>
    <t>Martin Todsharow</t>
  </si>
  <si>
    <t>/uIXF0sQGXOxQhbaEaKOi2VYlIL0.jpg</t>
  </si>
  <si>
    <t>snake eyes: g.i. joe origins</t>
  </si>
  <si>
    <t>internet (2), blank (53), dvd and blu-ray premiere (2), night visions international film festival (1)</t>
  </si>
  <si>
    <t>Midnight in the Switchgrass</t>
  </si>
  <si>
    <t>tt11656220</t>
  </si>
  <si>
    <t>FBI Agent Karl Helter and his partner Rebecca Lombardo are very close to busting a sex-trafficking ring. When they realize their investigation has crossed the path of a brutal serial killer, they team up with a FDLE agent to put an end to the infamous 'Truck Stop Killer'.</t>
  </si>
  <si>
    <t>Can they stop a serial killer who can't stop himself?</t>
  </si>
  <si>
    <t>Crime, Mystery, Thriller, Action</t>
  </si>
  <si>
    <t>pimienta, bondit media capital, efo films, lionsgate, river bay films, verdi productions</t>
  </si>
  <si>
    <t>Puerto Rico, United States of America</t>
  </si>
  <si>
    <t>Alex Eckert, Samiah Alexander, Celeste Fianna, David M Sandoval Jr., Bobbie Shaw Chance, Charlie Alvarado, mgk, Donovan W. Carter, Tyler Jon Olson, Christopher Gehrman, Megan Fox, Emile Hirsch, Jean Pierre Prats, Swen Temmel, Bruce Willis, Katalina Viteri, Welker White, Daniel Cates, Sergio Rizzuto, Jackie Cruz, Omar Cruz Soto, Lukas Haas, Eric Halem, Michael Beach, Lydia Hull, Harvey B. Jackson, Adam Huel Potter, Jason Trawick, Caitlin Carmichael, Olive Elise Abercrombie, Nick Koskoff, Sistine Rose Stallone, Alec Monopoly</t>
  </si>
  <si>
    <t>Randall Emmett</t>
  </si>
  <si>
    <t>Duane Manwiller, Bradley Stonesifer</t>
  </si>
  <si>
    <t>Alan Horsnail</t>
  </si>
  <si>
    <t>Chad A. Verdi, Alexander Eckert, Walter Josten, Tyler Gould, Ceasar Richbow, Delphine Perrier, Arianne Fraser, Matthew Helderman, Timothy C. Sullivan, Stan Wertlieb, Mark Stewart, Luillo Ruiz, Ted Fox, Arnaud Lannic, Diana Pr‚àö‚â†ncipe, Shaun S. Sanghani, George Furla, Luke Taylor, Randall Emmett, Barry Brooker, Alastair Burlingham, Ryan S. Black, Lydia Hull, Marily Reyes, Henry Winterstern, Nick Koskoff, Cyril Megret, Gary Raskin, Joe Listhaus</t>
  </si>
  <si>
    <t>Liam Westbrook, Robin Stout</t>
  </si>
  <si>
    <t>/1OTSuh2HNcTRfme8caU8DjgJ39K.jpg</t>
  </si>
  <si>
    <t>midnight in the switchgrass</t>
  </si>
  <si>
    <t>gasparilla international film festival (1), blank (9), internet (9), limited (1), dvd premiere (3), dvd and blu-ray premiere (2), tv premiere (1), tv release (1)</t>
  </si>
  <si>
    <t>The Suicide Squad</t>
  </si>
  <si>
    <t>tt6334354</t>
  </si>
  <si>
    <t>Supervillains Harley Quinn, Bloodsport, Peacemaker and a collection of nutty cons at Belle Reve prison join the super-secret, super-shady Task Force X as they are dropped off at the remote, enemy-infused island of Corto Maltese.</t>
  </si>
  <si>
    <t>They‚Äö√Ñ√¥re dying to save the world.</t>
  </si>
  <si>
    <t>Action, Comedy, Adventure</t>
  </si>
  <si>
    <t>dc films, atlas entertainment, the safran company, warner bros. pictures</t>
  </si>
  <si>
    <t>United States of America</t>
  </si>
  <si>
    <t>English, Fran‚àö√üais, Espa‚àö¬±ol</t>
  </si>
  <si>
    <t>Natalia Safran, Taika Waititi, Edgar Zanabria, Peter Capaldi, Viola Davis, Terence Rosemore, Rey Hernandez, Sergio Carlo, Daniela Melchior, Alice Braga, Bridget Taylor, Kenneth Trujillo, Flula Borg, Victoria Paige Watkins, Ray Benitez, Pete Davidson, Sean Gunn, Michael Rooker, Michelle Civile, Idris Elba, Reinaldo Faberlle, Curtis Lyons Jr., Storm Reid, Jared Leland Gore, Andrea Andrade, Teresita Mans, Giovanni Rodriguez, Gabrielle Manning, Elideusa Gomes Almeida, Josh Ventura, Margot Robbie, John Cena, Sylvester Stallone, Maya Le Clark, Diany Rodriguez, Gerardo Davila, Lynne Ashe, J.R. Adduci, Shanna Kernan, Mikaela Hoover, David Dastmalchian, Giovannie Cruz, Jai Courtney, Mayling Ng, Fernando Martinez, Nathan Fillion, Jonathan Fritschi, Michael Aaron Milligan, Steve Agee, Stephen Blackehart, Tinashe Kajese, Lloyd Kaufman, Julio Cesar Ruiz, John Ostrander, Joel Kinnaman, Grecia Balboa, Dee Bradley Baker, Monica Rivera, Jennifer Holland, Randy Havens, Juan Diego Botto, Joaqu‚àö‚â†n Cos‚àö‚â†o, Pom Klementieff</t>
  </si>
  <si>
    <t>James Gunn</t>
  </si>
  <si>
    <t>Henry Braham</t>
  </si>
  <si>
    <t>Walter Hamada, Charles Roven, Zack Snyder, Deborah Snyder, Nik Korda, Chantal Nong Vo, Richard Suckle, Peter Safran</t>
  </si>
  <si>
    <t>John Murphy</t>
  </si>
  <si>
    <t>/q61qEyssk2ku3okWICKArlAdhBn.jpg</t>
  </si>
  <si>
    <t>the suicide squad</t>
  </si>
  <si>
    <t>blank (54), fantasia international film festival (1), internet (2), blu-ray release (2), imax version (1), shanghai international film festival (1), tv premiere (1)</t>
  </si>
  <si>
    <t>Jungle Cruise</t>
  </si>
  <si>
    <t>tt0870154</t>
  </si>
  <si>
    <t>Dr. Lily Houghton enlists the aid of wisecracking skipper Frank Wolff to take her down the Amazon in his dilapidated boat. Together, they search for an ancient tree that holds the power to heal ‚Äö√Ñ√¨ a discovery that will change the future of medicine.</t>
  </si>
  <si>
    <t>The myth is real.</t>
  </si>
  <si>
    <t>Fantasy, Adventure</t>
  </si>
  <si>
    <t>walt disney pictures, seven bucks productions, davis entertainment, flynn picture company</t>
  </si>
  <si>
    <t>Deutsch, Fran‚àö√üais, English, Espa‚àö¬±ol, Italiano, Latin, Polski, Portugu‚àö‚Ñ¢s</t>
  </si>
  <si>
    <t>Sebastian Blunt, Simone Lockhart, Michael H. Cole, Dwayne Johnson, Justin Randell Brooke, Caroline Paige, Keith Arthur Bolden, Travis Gomez, Mark Ashworth, James Quattrochi, Pedro Lopez, Dan Dargan Carter, Veronica Falc‚àö‚â•n, Christina Souza, Philipp Maximilian, Edgar Ram‚àö‚â†rez, Quim Guti‚àö¬©rrez, Marcus Young, Romualdo Castillo, Tanya Wheelock, Hector Banos, Allan Poppleton, Sulem Calderon, Robert Tinsley, David Lengel, Stephen Dunlevy, Raphael Alejandro, Pedro Haro, Peter Luis Zimmerman, Paul Giamatti, Andy Nyman, Piper Collins, Dani Rovira, Emily Blunt, Jesse Plemons, Jack Whitehall</t>
  </si>
  <si>
    <t>Jaume Collet-Serra</t>
  </si>
  <si>
    <t>Flavio Mart‚àö‚â†nez Labiano</t>
  </si>
  <si>
    <t>Michael Green, John Requa, John Norville, Josh Goldstein, Glenn Ficarra</t>
  </si>
  <si>
    <t>Dany Garcia, Scott Sheldon, Douglas C. Merrifield, Dwayne Johnson, John Fox, Beau Flynn, John Davis, Hiram Garcia</t>
  </si>
  <si>
    <t>James Newton Howard</t>
  </si>
  <si>
    <t>/3UPz63cGsAQlYQnkOHfAbUhl1O3.jpg</t>
  </si>
  <si>
    <t>jungle cruise</t>
  </si>
  <si>
    <t>anaheim, california (1), premiere (1), giffoni film festival (1), blank (50), internet (5), blu-ray release (1)</t>
  </si>
  <si>
    <t>The Green Knight</t>
  </si>
  <si>
    <t>tt9243804</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</si>
  <si>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</si>
  <si>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When honor was everything.</t>
  </si>
  <si>
    <t>Adventure, Drama, Fantasy</t>
  </si>
  <si>
    <t>a24, bron studios, sailor bear, ley line entertainment, wild atlantic pictures</t>
  </si>
  <si>
    <t>Canada, Ireland, United States of America</t>
  </si>
  <si>
    <t>Lucy Waters, Kate Dickie, Megan Tiernan, Emmet O'Brien, Sarita Choudhury, Isabel Friosi, Emilie Hetland, Patrick Duffy, Noelle Brown, Joe Anderson, Tom Leavey, Dev Patel, Youssef Quinn, Sam Uppal Lynch, Ralph Ineson, Helena Browne, Janet Grene, Stuart Mackey, Joel Edgerton, Hannah Sjoden, Tara Mae, Alicia Vikander, Chris McHallem, Brendan Conroy, Atheena Frizzell, Anthony Morris, Ethan Dillion, Nita Mishra, Rose Patel, Rachel Quinn, Donncha Crowley, Aaron Edo, Andrea Deaskovic, Melinda Dempsey, Erin Kellyman, Aoife Gaffney, Ruth Patel, Ana‚àö√òs Rizzo, Barry Keoghan, Adam Karim, Sean Harris, Aoibheann Garry</t>
  </si>
  <si>
    <t>David Lowery</t>
  </si>
  <si>
    <t>Andrew Droz Palermo</t>
  </si>
  <si>
    <t>Jason Cloth, Tim Headington, Tomas Deckaj, James M. Johnston, Eoin Egan, Theresa Page, Macdara Kelleher, Edmund Sampson, David Lowery, Aaron L. Gilbert, Toby Halbrooks</t>
  </si>
  <si>
    <t>Daniel Hart</t>
  </si>
  <si>
    <t>/if4hw3Ou5Sav9Em7WWHj66mnywp.jpg</t>
  </si>
  <si>
    <t>the green knight</t>
  </si>
  <si>
    <t>blank (38), internet (9), odesa international film festival (1), karlovy vary international film festival (1), helsinki international film festival (1), blu-ray release (1), closing film (1), sitges film festival (1), camerimage international film festival (1), film festival ghent (1), limited (1)</t>
  </si>
  <si>
    <t>Stillwater</t>
  </si>
  <si>
    <t>tt10696896</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</si>
  <si>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</si>
  <si>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Secrets run deep.</t>
  </si>
  <si>
    <t>Drama, Crime, Thriller</t>
  </si>
  <si>
    <t>participant, dreamworks pictures, slow pony, anonymous content, 3dot productions, supernatural pictures, focus features, mandate international, firstep</t>
  </si>
  <si>
    <t>France, United States of America</t>
  </si>
  <si>
    <t>Pierre-Jean Ta‚àö√òeb-Renassia, Marc Boubli, Sophia Johnson, Idir Azougli, Carlos Ramirez, Jean-Marc Michelangeli, Abigail Breslin, Gr‚àö¬©gory Di Meglio, Hamza Baggour, Nicolas Dubus, J‚àö¬©rome Care-Aulanier, Lilou Siauvaud, Berth‚àö¬©l‚àö¬©my Giulj, Abdeljalil Belbrail, Sarah Brooks, Clarisse Tennessy, Gilbert Tra‚àö√òna, Chris Tomneer, Victor Sansano, Mohamed-Yassine Ferrat, Karim Traikia, Sabri Siad, Mama Bouras, Lakhdar Mouissette, Florine Mullard, Youghorta Mimouni, Jacques Kounta, Isabelle Tanakil, Pierre Piacentino, Guillaume Le-Xuan, Michel Bompoil, Leah McCormick, Olivier Ho Hio Hen, Mahia Zrouki, C‚àö¬©line Defay, Ludovic Marchand, Jean-Pierre Gourdain, Adel Ferrat, Messad Souane, Olivier Cruveiller, Alban Casterman, Paul Limonche, Leesa Neidel, Khalid Sabirh, Robert Peters, Mathilde Granguillot, Naidra Ayadi, Camille Cottin, Jacinto Segundo Rodriguez III, Kelly Bellacci, Laurent Perez, Anne Le Ny, Matt Damon, Eric Marcel, Philippe Callec, William Nadylam, Louise Desmullier, Kelly Martins, Justin France, Deanna Dunagan, Nassiriat Mohamed, Moussa Maaskri, Gilles Gontier, Jake Washburn, Bastien d'Asni‚àö¬Æres, Eric Starkey, Fabio Montale</t>
  </si>
  <si>
    <t>Tom McCarthy</t>
  </si>
  <si>
    <t>Masanobu Takayanagi</t>
  </si>
  <si>
    <t>Marcus Hinchey, Thomas Bidegain, No‚àö¬© Debr‚àö¬©, Tom McCarthy</t>
  </si>
  <si>
    <t>Jonathan King, Liza Chasin, Mari-Jo Winkler, No‚àö¬© Debr‚àö¬©, Steve Golin, Tom McCarthy, Jeff Skoll, David Linde, Robert Kessel, Thomas Bidegain</t>
  </si>
  <si>
    <t>Mychael Danna</t>
  </si>
  <si>
    <t>/1lrPR7ah1KElPKnCsxmIRE1OlIh.jpg</t>
  </si>
  <si>
    <t>stillwater</t>
  </si>
  <si>
    <t>cannes film festival (1), blank (25), internet (7), deauville american film festival (1), festival image de ville (1), s√£o paulo international film festival (1), blu-ray premiere (1), american film festival (1), geneva international film festival (1), blu-ray release (1), dvd premiere (1), tv premiere (1)</t>
  </si>
  <si>
    <t>Masquerade</t>
  </si>
  <si>
    <t>tt11448490</t>
  </si>
  <si>
    <t>A young girl struggles to survive after a group of home invaders break into her house to steal her family's priceless artwork.</t>
  </si>
  <si>
    <t>The ultimate disguise in terror.</t>
  </si>
  <si>
    <t>Thriller</t>
  </si>
  <si>
    <t>rider entertainment, xyz films, shout! studios</t>
  </si>
  <si>
    <t>Skyler Samuels, Austin Nichols, Ana Rodas, Michael Proctor, Bella Thorne, Alyvia Alyn Lind, Mircea Monroe, Joana Metrass</t>
  </si>
  <si>
    <t>Shane Dax Taylor</t>
  </si>
  <si>
    <t>Mark Rutledge</t>
  </si>
  <si>
    <t>Kenneth Burke, Roman Terrill, Corky Taylor, Shane Dax Taylor, Steven Schneider, Ronald J. Kirchhoff, Joe Heath, Stuart Manashil</t>
  </si>
  <si>
    <t>Ben Lovett</t>
  </si>
  <si>
    <t>/ylqaqBXsVsN3f7IeS9GOjJaPM0e.jpg</t>
  </si>
  <si>
    <t>masquerade</t>
  </si>
  <si>
    <t>blank (4), limited (1), dvd premiere (2), tv premiere (1), internet (6)</t>
  </si>
  <si>
    <t>yes</t>
  </si>
  <si>
    <t>PAW Patrol: The Movie</t>
  </si>
  <si>
    <t>tt11832046</t>
  </si>
  <si>
    <t>Ryder and the pups are called to Adventure City to stop Mayor Humdinger from turning the bustling metropolis into a state of chaos.</t>
  </si>
  <si>
    <t>No Job's too big, no Pup's too small.</t>
  </si>
  <si>
    <t>Family, Comedy, Adventure, Animation</t>
  </si>
  <si>
    <t>spin master, nickelodeon movies, paramount pictures, mikros image, mikros animation</t>
  </si>
  <si>
    <t>Canada, France, United States of America</t>
  </si>
  <si>
    <t>Callum Shoniker, Paul Braunstein, Christopher Marren, Charlie Gallant, Sophia Walker, Emily Hurson, Alex Paxton-Beesley, Rosa Laborde, Jimmy Kimmel, Neil Crone, Valentina Tronel, Yara Shahidi, Geoffrey Pounsett, Randall Park, Kingsley Marshall, Shayle Simons, Lindsay Owen Pierre, Patrick Kwok-Choon, Shazdeh Kapadia, Margot Brunker, Saara Chaudry, Humberly Gonz‚àö¬∞lez, Christie Stewart, Sunita Prasad, Derek Moran, Joe Pingue, Ron Pardo, Sumalee Montano, Isis Moore, Keegan Hedley, Dax Shepard, Marsai Martin, Jamillah Ross, Veena Sood, Monique Alvarez, Josh Robert Thompson, Ali Momen, Lilly Bartlam, James Larson, Richard Binsley, Cara Ricketts, Dwayne Hill, Joshua Graham, Raoul Bhaneja, Tyler Perry, Will Brisbin, Iain Armitage, Kim Roberts, Joan Faggianelli, Kim Kardashian</t>
  </si>
  <si>
    <t>Cal Brunker</t>
  </si>
  <si>
    <t>Billy Frolick, Bob Barlen, Cal Brunker</t>
  </si>
  <si>
    <t>Peter Schlessel, Ronnen Harary, Jennifer Dodge, Lisa A. Becker, Adam Beder</t>
  </si>
  <si>
    <t>Heitor Pereira</t>
  </si>
  <si>
    <t>/jXavWyam2VPR6bOhLwwuP3K2Hw4.jpg</t>
  </si>
  <si>
    <t>paw patrol: the movie</t>
  </si>
  <si>
    <t>london (1), premiere (1), blank (64), internet (3), blu-ray release (1)</t>
  </si>
  <si>
    <t>Free Guy</t>
  </si>
  <si>
    <t>tt6264654</t>
  </si>
  <si>
    <t>A bank teller discovers he is actually a background player in an open-world video game, and decides to become the hero of his own story. Now, in a world where there are no limits, he is determined to be the guy who saves his world his way before it's too late.</t>
  </si>
  <si>
    <t>Life's too short to be a background character.</t>
  </si>
  <si>
    <t>Comedy, Adventure, Science Fiction</t>
  </si>
  <si>
    <t>berlanti productions, 21 laps entertainment, maximum effort, lit entertainment group, 20th century studios</t>
  </si>
  <si>
    <t>Bob Gilliam, Jose Guns Alves, Lil Rel Howery, Anabel Graetz, Justin Johnston, Mike Devine, Ric Plamenco, Jonathan De Azevedo, Regina Taufen, Timothy John Smith, Gabrielle Lorthe, Briana Mitchell, Se‚àö¬∞n McLoughlin, Kenneth Israel, Colette Levy, Mariama Conde, Jodie Comer, Piper Acord, Brandon Scales, Owen Burke, Terri Schwartz, Joe Keery, Naheem Garcia, Aaron W Reed, Tyler Blevins, Eugene Nomura, Michael Malvesti, Lara Spencer, Francisco Marquez, Ella Faria, Lily Steven, Rosario Corso, Colin Allen, Vernon Scott, Lannan Eacott, Mark Lainer, Alex Trebek, Tina Fey, Jack McLaglen, Elainy Mata, Chris Evans, Charlotte Levy, Raj Jawa, Olivia Z. Cote, Patrick Vincent Curran, Michael Tow, Dwayne Johnson, Utkarsh Ambudkar, Channing Tatum, Destiny Claymore, Ryan Doyle, John Krasinski, Omar Ghonim, Taika Waititi, Hugh Jackman, Daniel Middleton, Brett Schneider, Liam Campos, Euri Nomura, Camille Kostek, Tait Fletcher, Octavia Chavez-Richmond, Imane Anys, Janelle Feigley, Matthew Cardarople, Sophie Levy, Charlie Lehmer, Minh-Anh Day, Britne Oldford, Ryan Reynolds</t>
  </si>
  <si>
    <t>Shawn Levy</t>
  </si>
  <si>
    <t>George Richmond</t>
  </si>
  <si>
    <t>Zak Penn, Matt Lieberman</t>
  </si>
  <si>
    <t>Dan Levine, Josh McLaglen, Mary McLaglen, George Dewey, Adam Kolbrenner, Sarah Schechter, Dan Cohen, Michael McGrath, Shawn Levy, Greg Berlanti, Ryan Reynolds</t>
  </si>
  <si>
    <t>Christophe Beck</t>
  </si>
  <si>
    <t>/6PFJrMvoQwBxQITLYHj09VeJ37q.jpg</t>
  </si>
  <si>
    <t>free guy</t>
  </si>
  <si>
    <t>locarno film festival (1), blank (70), imax (1), vod (1), internet (4), blu-ray release (1), dvd,4k uhd,blu-ray (1), tv release (1)</t>
  </si>
  <si>
    <t>Sinkhole</t>
  </si>
  <si>
    <t>tt12664618</t>
  </si>
  <si>
    <t>ko</t>
  </si>
  <si>
    <t>√è√£¬±√å√Ö¬®√å√¥√Ñ</t>
  </si>
  <si>
    <t>A working class family move into a new condo purchased after 11 years of hard work. They throw a housewarming party to show his co-workers when overnight a heavy downpour creates an extremely deep sinkhole that engulfs the entire building.</t>
  </si>
  <si>
    <t>A house earned after 11 years of effort falls deep into the ground in a minute.</t>
  </si>
  <si>
    <t>Comedy, Drama</t>
  </si>
  <si>
    <t>the tower pictures, showbox</t>
  </si>
  <si>
    <t>South Korea</t>
  </si>
  <si>
    <t>√å√Ø√∫√ç¬µ‚â†√è√±¬•/√è¬∞‚àû√è√ë‚Ä†√é√ü√™</t>
  </si>
  <si>
    <t>Kim Jae-hwa, Han Hye-rin, Na Chul, Park Ock-chool, Kim Sung-kyun, Kim Geon-u, Cha Seung-won, Kim Hong-pa, Nam Da-reum, Lee Hak-ju, Kim Hye-jun, Jung Yun-ha, Jung Seo-in, Jang Kwang, Lee Kwang-soo, Kim Byung-chul, Ko Chang-seok, Jung Young-sook, Kwon So-hyun, Oh Ja-hun</t>
  </si>
  <si>
    <t>Kim Ji-hoon</t>
  </si>
  <si>
    <t>Shin Tae-ho</t>
  </si>
  <si>
    <t>Jeon Cheol-hong, Kim Jeong-han</t>
  </si>
  <si>
    <t>Simon Lee, Kim Do-yeob, Lee Soo-nam</t>
  </si>
  <si>
    <t>Choi Jung-in, Kim Tae-seong</t>
  </si>
  <si>
    <t>/alBxLvZ5LkDRJPw4TX1PgkWLE8a.jpg</t>
  </si>
  <si>
    <t>sinkhole</t>
  </si>
  <si>
    <t>locarno film festival (1), premiere (1), blank (11), closing film (1), new york asian film festival (1), vancouver international film festival (1), busan international film festival (1), san diego asian film festival (1), internet (2), blu-ray release (1)</t>
  </si>
  <si>
    <t>Don't Breathe 2</t>
  </si>
  <si>
    <t>tt6246322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</si>
  <si>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</si>
  <si>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Bad things happen to bad people.</t>
  </si>
  <si>
    <t>Thriller, Horror</t>
  </si>
  <si>
    <t>ghost house pictures, stage 6 films, good universe, bad hombre, screen gems</t>
  </si>
  <si>
    <t>Stephanie Arcila, Ron Rogell, Stephen Lang, Sofija Stojanovic, Christian Zagia, Steffan Rhodri, Miodrag Cvetkovic, Madelyn Grace, Diaana Babnicova, Ibrahim Ishaq, Bobby Schofield, Brendan Sexton III, Fiona O'Shaughnessy, Rocci Williams, Eydel Francisco Balbuena, Adam Young</t>
  </si>
  <si>
    <t>Rodo Sayagues</t>
  </si>
  <si>
    <t>Pedro Luque</t>
  </si>
  <si>
    <t>Fede ‚àö√Ölvarez, Rodo Sayagues</t>
  </si>
  <si>
    <t>Nathan Kahane, Sam Raimi, Fede ‚àö√Ölvarez, Stephen Lang, Robert Tapert, Erin Westerman, Andrew Pfeffer, Joseph Drake, Rick Jacobson</t>
  </si>
  <si>
    <t>Roque Ba‚àö¬±os</t>
  </si>
  <si>
    <t>/r7HEBkkRN93d3eFBZgPJfRaob5p.jpg</t>
  </si>
  <si>
    <t>don't breathe 2</t>
  </si>
  <si>
    <t>blank (47), limited (1), internet (4)</t>
  </si>
  <si>
    <t>Respect</t>
  </si>
  <si>
    <t>tt2452150</t>
  </si>
  <si>
    <t>The rise of Aretha Franklin‚Äö√Ñ√¥s career from a child singing in her father‚Äö√Ñ√¥s church‚Äö√Ñ√¥s choir to her international superstardom.</t>
  </si>
  <si>
    <t>Find out what it means.</t>
  </si>
  <si>
    <t>Drama, Music, History</t>
  </si>
  <si>
    <t>metro-goldwyn-mayer, bron studios, one community, chislehurst entertainment, harvey mason media, glickmania</t>
  </si>
  <si>
    <t>United States of America, Canada</t>
  </si>
  <si>
    <t>Brandon Gilpin, Forest Whitaker, Mary J. Blige, Tate Donovan, Zach Strum, Heather Headley, Myk Watford, Lodric D. Collins, Kimberly Scott, Hailey Kilgore, Nevaeh Moore, Tituss Burgess, Albert Jones, Gilbert Glenn Brown, Audra McDonald, Skye Dakota Turner, Marc Maron, Jennifer Hudson, Tangela Large, Saycon Sengbloh, Brenda Nicole Moorer, Victoria Paige Watkins, Marlon Wayans, Christopher Daniel, Leroy McClain</t>
  </si>
  <si>
    <t>Liesl Tommy</t>
  </si>
  <si>
    <t>Kramer Morgenthau</t>
  </si>
  <si>
    <t>Tracey Scott Wilson, Callie Khouri</t>
  </si>
  <si>
    <t>Scott Bernstein, Aaron L. Gilbert, Jonathan Glickman, Jason Cloth, Harvey Mason Jr., Stacey Sher, Sue Baden-Powell, Jennifer Hudson</t>
  </si>
  <si>
    <t>Kris Bowers</t>
  </si>
  <si>
    <t>/iUtPwOBZJc8uJnDqlCXTibdgxKz.jpg</t>
  </si>
  <si>
    <t>respect</t>
  </si>
  <si>
    <t>blank (39), locarno film festival (1), helsinki international film festival (1), camerimage international film festival (1), tallinn black nights film festival (1), internet (1), tv premiere (1)</t>
  </si>
  <si>
    <t>Lamb</t>
  </si>
  <si>
    <t>tt9812474</t>
  </si>
  <si>
    <t>is</t>
  </si>
  <si>
    <t>D‚àöŒ©ri‚àö‚àû</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</si>
  <si>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</si>
  <si>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Mother. Nature.</t>
  </si>
  <si>
    <t>Drama, Fantasy, Horror</t>
  </si>
  <si>
    <t>go to sheep, film i v‚àö¬ßst, chimney sweden, chimney poland</t>
  </si>
  <si>
    <t>Iceland, Poland, Sweden</t>
  </si>
  <si>
    <t>‚àö√ßslenska</t>
  </si>
  <si>
    <t>Noomi Rapace, Ingvar E. Sigur‚àö‚àûsson, Gunnar ‚àö√ªor Karlsson, L‚àö¬∞ra Bj‚àö‚àÇrk Hall, Ester Bibi, Theod‚àö‚â•r Ingi ‚àö√¨lafsson, Sigur‚àö‚àûur Elvar Vi‚àö‚àûarson, Hilmir Sn‚àö¬∂r Gu‚àö‚àûnason, Arn‚àö√¶ru‚àö‚àûur D‚àö‚àÇgg Sigur‚àö‚àûard‚àö‚â•ttir, Bj‚àö‚àÇrn Hlynur Haraldsson</t>
  </si>
  <si>
    <t>Valdimar J‚àö‚â•hannsson</t>
  </si>
  <si>
    <t>Eli Arenson</t>
  </si>
  <si>
    <t>Valdimar J‚àö‚â•hannsson, Sj‚àö‚â•n</t>
  </si>
  <si>
    <t>Noomi Rapace, H‚àö‚Ä¢kan Pettersson, Peter Gustafsson, Jon Mankell, Erik Rydell, Jan Naszewski, Sara Nassim, Klaudia ‚âà√∂mieja-Rostworowska, Zuzanna Hencz, Marcin Drabi‚âà√ëski, Hr‚àö‚àÇnn Kristinsd‚àö‚â•ttir, Peter Possne, B‚àö¬©la Tarr</t>
  </si>
  <si>
    <t>T‚àö‚â•ti Gu‚àö‚àûnason</t>
  </si>
  <si>
    <t>/gP9yviboTGWGolqUZKIB1UkF1C2.jpg</t>
  </si>
  <si>
    <t>lamb</t>
  </si>
  <si>
    <t>cannes film festival (1), melbourne international film festival (1), blank (30), new horizons international film festival (1), karlovy vary international film festival (1), jerusalem film festival (1), zurich film festival (1), gdynia film festival (1), fantastic fest (1), beyond fest (1), parool film fest (1), festifreak - festival internacional de cine independiente de la plata (1), l'absurde s√©ance - nantes (1), internet (3), fest - new directors, new films festival (1), sitges film festival (1), limited (2), bfi london film festival (1), film fest gent (1), fantasy filmfest (1), riga international film festival (1), s√£o paulo film festival (1), trieste science+fiction festival (1), leiden international film festival (1), razor reel flanders film festival (1), cork international film festival (1), geneva international film festival (1), camerimage international film festival (1), splat!filmfest horror film festival (1), tallinn black nights film festival (1), maskoon fantastic film festival (1), les arcs international film festival (1), jos√© ignacio international film festival (1), g√∂teborg film festival (1), off camera film festival (1), blu-ray release (1), hong kong international film festival (1), espoo cine international film festival (1), helsinki international film festival (1), tv and internet (1), rtp 2 (1), tv premiere (1)</t>
  </si>
  <si>
    <t>CODA</t>
  </si>
  <si>
    <t>tt10366460</t>
  </si>
  <si>
    <t>As a CODA (Child of Deaf Adults), Ruby is the only hearing person in her deaf family. When the family's fishing business is threatened, Ruby finds herself torn between pursuing her love of music and her fear of abandoning her parents.</t>
  </si>
  <si>
    <t>Every family has its own language.</t>
  </si>
  <si>
    <t>Drama, Music, Romance</t>
  </si>
  <si>
    <t>vend‚àö¬•me pictures, path‚àö¬©, picture perfect entertainment</t>
  </si>
  <si>
    <t>English, Espa‚àö¬±ol</t>
  </si>
  <si>
    <t>Sarah Clarke, Kevin Chapman, Dominic Cannarella-Andersen, John Fiore, Jared Voss, Ayana Brown, Dominic Andersen, Amy Forsyth, Garrett McKechnie, Kiara Pichardo, Marlee Matlin, Kayla Caulfield, Nikki Kim, Amanda Bradshaw, Ferdia Walsh-Peelo, Troy Kotsur, Jason Pugatch, Melissa McMeekin, Lonnie Farmer, Charles Coan, Mark Pettograsso, Emilia Faucher, Armen Garo, Stephen Caliskan, Susan Halsey Singer, Eugenio Derbez, Marilyn Busch, Stone Martin, Gary Galone, Jose Guns Alves, Maeve Chapman, Tony Viveiros, Rena Maliszewski, Samidio DePina, Owen Burke, Pamela Jayne Morgan, Emilia Jones, Erica McDermott, Kyana Fanene, David Newsom, Elbert Kim, Bryan Sabbag, Daniel Durant, Cassandra Berta, Anilee List, Rebecca Gibel, Courtland Jones, Mary Ann Schaub, Molly B. Thomas, TJ Ciarametaro, Lance Norris</t>
  </si>
  <si>
    <t>Sian Heder</t>
  </si>
  <si>
    <t>Paula Huidobro</t>
  </si>
  <si>
    <t>Stanislas Carr‚àö¬© de Malberg, Victoria Bedos, Sian Heder, Eric Lartigau, Thomas Bidegain</t>
  </si>
  <si>
    <t>Philippe Rousselet, Sarah Borch-Jacobsen, Ardavan Safaee, Patrick Wachsberger, Fabrice Gianfermi, J‚àö¬©r‚àö¬•me Seydoux</t>
  </si>
  <si>
    <t>Marius de Vries</t>
  </si>
  <si>
    <t>/BzVjmm8l23rPsijLiNLUzuQtyd.jpg</t>
  </si>
  <si>
    <t>coda</t>
  </si>
  <si>
    <t>sundance film festival (2), nantucket film festival (1), sundance london film festival (1), melbourne international film festival (1), internet (24), limited (4), blank (15), norwegian international film festival (1), torino film festival (1), madrid (1), premiere (1), re-release (3), santa barbara international film festival (1), cambodia international film festival (1)</t>
  </si>
  <si>
    <t>Reminiscence</t>
  </si>
  <si>
    <t>tt3272066</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</si>
  <si>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</si>
  <si>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Don't look back.</t>
  </si>
  <si>
    <t>Mystery, Science Fiction</t>
  </si>
  <si>
    <t>filmnation entertainment, michael de luca productions, kilter films, warner bros. pictures</t>
  </si>
  <si>
    <t>Cliff Curtis, Angela Sarafyan, Jules Hartley, Renes Rivera, Roger Magee, Daniel Wu, Roxton Garcia, Aria Castillo, Norio Nishimura, Marina de Tavira, Hugh Jackman, Gabrielle Echols, Javier Molina, Autumn Dial, Ivan Mbakop, Myles Humphus, Enrique Abada, Claire Lanay, Andrew Masset, Barbara Bonilla, Thomas Francis Murphy, Ren‚àö¬© Mena, Giovannie Cruz, Teri Wyble, Brett Cullen, Michael Papajohn, Natalie Martinez, Laci Broussard, Shawn Carter Peterson, Sam Medina, Mojean Aria, Jorge Longoria, Nico Parker, Thandiwe Newton, Jean Claude Leuyer, Rey Hernandez, Rebecca Ferguson, Jeff Brockton, Woon Young Park, Han Soto</t>
  </si>
  <si>
    <t>Lisa Joy</t>
  </si>
  <si>
    <t>Paul Cameron</t>
  </si>
  <si>
    <t>Athena Wickham, Jonathan Nolan, Lisa Joy, Aaron Ryder, Michael De Luca, D. Scott Lumpkin, Elishia Holmes</t>
  </si>
  <si>
    <t>Ramin Djawadi</t>
  </si>
  <si>
    <t>/17siH6wJRQ2jZiqz9BWUhy1UtZ.jpg</t>
  </si>
  <si>
    <t>reminiscence</t>
  </si>
  <si>
    <t>london (1), premiere (2), hollywood, california (1), blank (50), limited (1), internet (3), dvd premiere (2), tv premiere (1)</t>
  </si>
  <si>
    <t>Hostage: Missing Celebrity</t>
  </si>
  <si>
    <t>tt14941222</t>
  </si>
  <si>
    <t>√è√π‚àè√è√ü√†</t>
  </si>
  <si>
    <t>A box office star has to prove his action credentials in the real world when he's kidnapped and held for ransom.</t>
  </si>
  <si>
    <t>There was no CCTV or witnesses of the kidnapping of Hwang Jung-min.</t>
  </si>
  <si>
    <t>Action</t>
  </si>
  <si>
    <t>filmmaker r&amp;k, next entertainment world, the sam company, library pictures international</t>
  </si>
  <si>
    <t>English, √å√Ø√∫√ç¬µ‚â†√è√±¬•/√è¬∞‚àû√è√ë‚Ä†√é√ü√™</t>
  </si>
  <si>
    <t>Yoo Hai-jin, Shin Hyeon-jong, Ju Ji-hoon, Lim Cheol-soo, Jung Jae-won, Kim Jae-beom, Lee Sung-min, Hwang Jung-min, Park Sung-woong, Baek Joo-hee, Ryoo Seung-bum, Lee Ho-jung, Choi Pil-sang, Jeon Do-yeon, Jo Kyung-hyun, Lee Gyu-woon, Lee You-mi, Park Kyeong-rim, Han Kyu-won, Eun Jung-wan, Ryu Kyung-soo</t>
  </si>
  <si>
    <t>Pil Gam-seong</t>
  </si>
  <si>
    <t>Choi Young-hwan</t>
  </si>
  <si>
    <t>Lee Jun-kyu, Kim Woo-taek, Kang Hye-jung, Ryoo Seung-wan, Cho Sung-min</t>
  </si>
  <si>
    <t>/friTd4TghctdY7raG8PjnoODAFo.jpg</t>
  </si>
  <si>
    <t>hostage: missing celebrity</t>
  </si>
  <si>
    <t>blank (5), fantastic fest, austin (1), udine far east film festival (1), five flavours asian film festival (1), internet (1), re-release (1)</t>
  </si>
  <si>
    <t>Drive My Car</t>
  </si>
  <si>
    <t>tt14039582</t>
  </si>
  <si>
    <t>ja</t>
  </si>
  <si>
    <t>‚Äû√â√¢‚Äû√â¬©‚Äû√á¬ß‚Äû√â√±‚Äû√â¬™‚Äû√â√ª‚Äû√á¬ß‚Äû√â¬™‚Äû√á¬¥‚Äû√â¬∫</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</si>
  <si>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</si>
  <si>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Go on living.</t>
  </si>
  <si>
    <t>Drama</t>
  </si>
  <si>
    <t>bitters end, c&amp;i entertainment, culture entertainment, j-lod, nekojarashi, quaras, bungeishunju, nippan group holdings, the asahi shimbun, l'espace vision</t>
  </si>
  <si>
    <t>Japan</t>
  </si>
  <si>
    <t xml:space="preserve">√ä√¥√Ü√à√Ñ√∂√ã√ò√π, English, Deutsch, Bahasa indonesia, √ä√≥‚Ä¢√ä√∫¬®√ã‚Ñ¢√ª, √å√Ø√∫√ç¬µ‚â†√è√±¬•/√è¬∞‚àû√è√ë‚Ä†√é√ü√™, Bahasa melayu, </t>
  </si>
  <si>
    <t>Saki Suzuki, Faisal Anwar, Keiko Nishi, Hidetoshi Nishijima, Ryo Iwase, Yoshinori Miyata, Masaki Okada, Satoko Abe, Reika Kirishima, Hiroko Matsuda, Ahn Hwi-tae, Toko Miura, Massimo Biondi, Sonia Yuan, Toshiaki Inomata, Takako Yamamura, Park Yu-rim, Perry Dizon, Jin Dae-yeon, Kamal Zharif, Shoichiro Tanigawa</t>
  </si>
  <si>
    <t>Ry‚âà¬¥suke Hamaguchi</t>
  </si>
  <si>
    <t>Hidetoshi Shinomiya</t>
  </si>
  <si>
    <t>Ry‚âà¬¥suke Hamaguchi, Takamasa Oe, Haruki Murakami</t>
  </si>
  <si>
    <t>Sachio Matsushita, Osamu Kubota, Kazuo Nakanishi, Teruhisa Yamamoto, Yuji Sadai, Jin Suzuki, Yoshito Nakabe, Keiji Okumura, Tsuyoshi Gor‚àö¬•</t>
  </si>
  <si>
    <t>Eiko Ishibashi, Yoshitaka Fujimoto</t>
  </si>
  <si>
    <t>/3cOsf5HBjPK2QCz9ebQlGHNnE7y.jpg</t>
  </si>
  <si>
    <t>drive my car</t>
  </si>
  <si>
    <t>cannes film festival (1), melbourne international film festival (1), new horizons international film festival (1), blank (30), karlovy vary international film festival (1), limited (4), toronto international film festival (1), donostia-san sebasti√°n international film festival (1), new york film festival (1), vancouver international film festival (1), reykjavik international film festival (1), busan international film festival (1), antalya golden orange film festival (1), bfi london film festival (1), hamptons international film festival (1), chicago international film festival (1), kyiv critics week (1), philadelphia international film festival (1), vienna international film festival (1), hong kong asian film festival (1), montclair film festival (1), san diego asian film festival (1), asian film festival barcelona (1), hawaii film festival (1), thessaloniki international film festival (1), ljubljana international film festival (1), sydney film festival (1), tallinn black nights film festival (1), afi fest (1), moma - the contenders (1), mar del plata film festival (1), new york city, new york (1), qcinema international film festival (1), cannes film festival week (1), human rights film festival (1), rio de janeiro international film festival (1), international film festival rotterdam (1), jos√© ignacio international film festival (1), g√∂teborg film festival (1), madrid - academia de cine (1), subtitled version (1), technical premiere (1), buenos aires (1), internet (3), festival internacional de cine del uruguay (1), blu-ray release (1), quito international film festival (1), helsinki international film festival (1), dvd premiere (1), re-release (1), taipei golden horse film festival (1)</t>
  </si>
  <si>
    <t>Candyman</t>
  </si>
  <si>
    <t>tt9347730</t>
  </si>
  <si>
    <t>A Chicago artist's sanity starts to unravel, unleashing a terrifying wave of violence when he begins to explore the macabre history of the Candyman.</t>
  </si>
  <si>
    <t>Dare to say his name.</t>
  </si>
  <si>
    <t>Horror, Thriller</t>
  </si>
  <si>
    <t>metro-goldwyn-mayer, monkeypaw productions, bron studios, universal pictures</t>
  </si>
  <si>
    <t>Canada, United States of America</t>
  </si>
  <si>
    <t>English, Fran‚àö√üais</t>
  </si>
  <si>
    <t>Johnny Westmoreland, Breanna Lind, Torrey Hanson, Hannah Love Jones, Pamela Jones, Michael Hargrove, Cedric Mays, Aaron Crippen, Rodney L Jones III, Dan Fierro, Katherine Purdie, Daejon Staeker, Ireon Roach, Alec Silver, Yahya Abdul-Mateen II, Sarah Wisterman, Mark Montgomery, Rebecca Spence, Nancy Pender, Tony Todd, Ben Marten, Miriam Moss, Sarah Lo, Virginia Madsen, Heidi Grace Engerman, Guy Spencer, Tien Tran, Kyle Kaminsky, Brian King, Mike Geraghty, Carl Clemons-Hopkins, Cassie Kramer, Genesis Denise Hale, Colman Domingo, Nadia Simms, Ro White, J. Nicole Brooks, Teyonah Parris, Vanessa Williams, Christiana Clark, Nathan Stewart-Jarrett</t>
  </si>
  <si>
    <t>Nia DaCosta</t>
  </si>
  <si>
    <t>John Guleserian</t>
  </si>
  <si>
    <t>Nia DaCosta, Win Rosenfeld, Bernard Rose, Clive Barker, Jordan Peele</t>
  </si>
  <si>
    <t>Jason Cloth, Shauna Bryan, David Kern, Win Rosenfeld, Ian Cooper, Aaron L. Gilbert, Jordan Peele</t>
  </si>
  <si>
    <t>Robert Aiki Aubrey Lowe</t>
  </si>
  <si>
    <t>/qeV15PpR8jFJA9TF9JPXIoqEgp1.jpg</t>
  </si>
  <si>
    <t>candyman</t>
  </si>
  <si>
    <t>s.o.u.l. fest (1), blank (51), vod (1), helsinki international film festival (1), dvd,4k uhd,blu-ray (1)</t>
  </si>
  <si>
    <t>Malignant</t>
  </si>
  <si>
    <t>tt3811906</t>
  </si>
  <si>
    <t>Madison is paralyzed by shocking visions of grisly murders, and her torment worsens as she discovers that these waking dreams are in fact terrifying realities with a mysterious tie to her past.</t>
  </si>
  <si>
    <t>A new vision of terror.</t>
  </si>
  <si>
    <t>Horror, Mystery</t>
  </si>
  <si>
    <t>new line cinema, atomic monster, starlight media, my entertainment</t>
  </si>
  <si>
    <t>Ruben Pla, Jesus Trujillo, Susanna Thompson, Danielle Nottingham, Josh Rutgers, Emir Garc‚àö‚â†a, Gregory Garcia, Halston Van Atta, Renee Harbek, Cord Walker, Christian Clemenson, Maddie Hasson, Janet Hsieh, Paula Marshall, Rachel Winfree, Louise Van Veenendaal, Mckenna Grace, Lisa Catara, Patrick Cox, Zo‚àö¬¥ Bell, Jacqueline McKenzie, Jon Lee Brody, Ingrid Bisu, Madison Wolfe, Patricia Vel‚àö¬∞squez, Gino Montesinos, Jake Abel, Amir Aboulela, Mercedes Colon, Jean Louisa Kelly, Paul Mabon, Christina Veronica, Kalina Vanska, Mike Mendez, Michole Briana White, Natalia Safran, Randy Haynie, Marina Mazepa, George Young, Ray Chase, Shaunte Lynette Johnson, Andy Bean, Annabelle Wallis</t>
  </si>
  <si>
    <t>James Wan</t>
  </si>
  <si>
    <t>Michael Burgess</t>
  </si>
  <si>
    <t>James Wan, Akela Cooper, Ingrid Bisu</t>
  </si>
  <si>
    <t>Ingrid Bisu, Peter Luo, Judson Scott, Hans Ritter, Eric McLeod, Michael Clear, James Wan</t>
  </si>
  <si>
    <t>Joseph Bishara</t>
  </si>
  <si>
    <t>/dGv2BWjzwAz6LB8a8JeRIZL8hSz.jpg</t>
  </si>
  <si>
    <t>malignant</t>
  </si>
  <si>
    <t>blank (50), internet (4), blu-ray release (1)</t>
  </si>
  <si>
    <t>The Tomorrow War</t>
  </si>
  <si>
    <t>tt9777666</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</si>
  <si>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</si>
  <si>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The fight for tomorrow begins today.</t>
  </si>
  <si>
    <t>Action, Science Fiction, Adventure</t>
  </si>
  <si>
    <t>skydance media, phantom four, lit entertainment group</t>
  </si>
  <si>
    <t>Bryan Metoyer, Olaolu Winfunke, Perry Zulu Jr., Tommy O'Brien, Chris TC Edge, Dean Feldman, Kasandra Bandfield, Betty Gilpin, Amanda Hatfield, Eeryn Falk Lubicich, Eric Graise, Sam Richardson, Nikki Mejia, Gary Weeks, Stacy Johnson, Shane Berengue, Alan Trong, Gregory Weeks, Angel Giuffria, Patrick Fleming, Chris Pratt, Rose Bianco, Shawn Ray Cartel, Seychelle Gabriel, Zachary James Rukavina, Yvonne Strahovski, Rad Daly, Keith Brooks, Melissa Saint-Amand, Chibuikem Uche, Jasmine Mathews, Mary Lynn Rajskub, Mia Naipaul, Jeannie Ledford, Chris Holloway, Keith Powers, Jason m Edwards, Joshua Israel, Caden Graham, Jim Palmer, Kiley Casciano, Piper Collins, Andrea Andrade, Adriana Catalano, Seth Schenall, Clark Sarullo, Alicia Cuthbertson, Robert Tinsley, Roger Barton, Kenneth Israel, Reese Giles, DJames Jones, Edwin Hodge, Amere Stewart, Conrad Carpenter, Alexis Louder, David Maldonado, Nathan W. Collins, Felisha Terrell, Clyde C Harris, Desiree Supernaugh, Mike Mitchell, J.K. Simmons, Nicole L. Campbell, Christina Bach, Darin Ferraro, Barb Willis, Matthew Cornwell, Ashlyn Moore, Ryan Kiera Armstrong, Gabrielle Byndloss, Dave Parra, Michelle Rivera Huckaby, La'Toya Kirkland, April Knox, Gissette Valentin, Jamie Urena, Patrick Malone, Jared Shaw, Terrence J. Smith</t>
  </si>
  <si>
    <t>Chris McKay</t>
  </si>
  <si>
    <t>Larry Fong</t>
  </si>
  <si>
    <t>Zach Dean</t>
  </si>
  <si>
    <t>Jules Daly, Don Granger, David S. Goyer, Rob Cowan, David Ellison, Adam Kolbrenner, Dana Goldberg, John Powers Middleton, Chris Pratt</t>
  </si>
  <si>
    <t>Lorne Balfe</t>
  </si>
  <si>
    <t>/34nDCQZwaEvsy4CFO5hkGRFDCVU.jpg</t>
  </si>
  <si>
    <t>the tomorrow war</t>
  </si>
  <si>
    <t>los angeles, california (1), premiere (1), internet (32), blank (1)</t>
  </si>
  <si>
    <t>Black Box</t>
  </si>
  <si>
    <t>tt10341034</t>
  </si>
  <si>
    <t>Bo‚àö√Üte noire</t>
  </si>
  <si>
    <t>Mathieu is a young and talented black box analyst on a mission to solve the reason behind the deadly crash of a brand new aircraft. Yet, when the case is closed by authorities, Mathieu cannot help but sense there is something wrong with the evidence. As he listens to the tracks again, he starts detecting some seriously disturbing details. Could the tape have been modified? Going against his boss' orders, Mathieu begins his own rogue investigation - an obsessional and dangerous quest for truth that will quickly threaten far more than his career...</t>
  </si>
  <si>
    <t>Some clues are better left unheard.</t>
  </si>
  <si>
    <t>Mystery, Thriller, Drama</t>
  </si>
  <si>
    <t>24 25 films, wy productions</t>
  </si>
  <si>
    <t>France, Belgium</t>
  </si>
  <si>
    <t>Fran‚àö√üais, English</t>
  </si>
  <si>
    <t>Claire Viville, Ga‚àö¬¥l Giraudeau, Julian Bugier, Olivier Rabourdin, Bruce Sherfield, Hassam Ghancy, Andr‚àö¬© Dussollier, Alexandre Guilbaud, Bruno Garc‚àö‚â†a, S‚àö¬©bastien Corona, Niki Zischka, Polo Anid, Jean-Luc Jacquot, Antoine Croset, Pierre Niney, Marie Dompnier, St‚àö¬©phane Boucher, Christophe Istier, Marl‚àö¬Æne Veyriras, Quentin D'Hainaut, Joshua Jones, Philippe Maymat, S‚àö¬©bastien Pouderoux, Clement Villatte, Ana‚àö√òs Weill, Ang‚àö¬©lique Lef‚àö¬Ævre, Mark Baris, Adeline Moreau, Axelle Laffont, Andr‚àö¬© Marcon, Jean-Christophe Batteria, Lou de La‚àö¬¢ge, Cl‚àö¬©mence de la Baume, David Sighicelli, Romain Fleury, Guillaume Marquet, Aur‚àö¬©lia Frachon, Lor‚àö¬Æne Devienne, Julien Benedetto, Sylvain Chiavaccini, Damien Zanoly, Anne Azoulay, Pablo Gallego, Boris Ravaine, Aur‚àö¬©lien Recoing, Octave Bossuet, Jean-Yves Freyburger, Mehdi Djaadi, Antony Hickling, Gr‚àö¬©gori Derang‚àö¬Ære</t>
  </si>
  <si>
    <t>Yann Gozlan</t>
  </si>
  <si>
    <t>Pierre Cottereau</t>
  </si>
  <si>
    <t>Simon Mouta‚àö√òrou, J‚àö¬©r‚àö¬©mie Guez, Yann Gozlan, Nicolas Bouvet</t>
  </si>
  <si>
    <t>Matthias Weber, Wassim B‚àö¬©ji, Thibault Gast</t>
  </si>
  <si>
    <t>Philippe Rombi</t>
  </si>
  <si>
    <t>/gIYxQoxQC78kQBxIKCR41hheqwb.jpg</t>
  </si>
  <si>
    <t>black box</t>
  </si>
  <si>
    <t>sydney (1), french film festival (3), french film festival, perth (1), internet (2), reims polar international thriller film festival (1), nice cin√©roman festival (1), festival quais du polar de lyon (1), festival du film francophone d'angoul√™me (1), blank (16), french speaking region (1), tapis rouge frans filmfestival (1), festival varilux de cinema fran√ßais (1), desert film society, palm springs, ca (1), limited (1), new york city, new york (1), los angeles, california (1), tv premiere (1), chichester (1)</t>
  </si>
  <si>
    <t>Copshop</t>
  </si>
  <si>
    <t>tt5748448</t>
  </si>
  <si>
    <t>On the run from a lethal assassin, a wily con artist devises a scheme to hide out inside a small-town police station. However, when the hit man turns up at the precinct, an unsuspecting rookie cop finds herself caught in the crosshairs.</t>
  </si>
  <si>
    <t>Someone's gotta take the hit.</t>
  </si>
  <si>
    <t>Thriller, Crime, Action</t>
  </si>
  <si>
    <t>warparty films, sculptor media, g-base, zero gravity management, raven capital management, stxfilms, open road films</t>
  </si>
  <si>
    <t>Vanita Kalra, Robert Walker Branchaud, Greg Fitzpatrick, Chad L. Coleman, Toby Huss, Danielle Goz, Jayson Merrill, Chris Kleckner, Ryan O'Nan, Keith Jardine, Marshall Cook, Diann Malcolm, Christopher Michael Holley, Jose Pablo Cantillo, Alex Rush, Marco Morales, Frank Grillo, Megan Schmidt, Tracey Bonner, Kaiwi Lyman, Alexis Louder, Karyn Greer, Armida Lopez, Gerard Butler, David Vaughn, Scott Putman, J.R. Adduci, Nicole Shatz, Nathan Reed</t>
  </si>
  <si>
    <t>Joe Carnahan</t>
  </si>
  <si>
    <t>Juan Miguel Azpiroz</t>
  </si>
  <si>
    <t>Mark Williams, Joe Carnahan, Kurt McLeod</t>
  </si>
  <si>
    <t>Frank Grillo, Matthew Sidari, Mark Williams, Eric Gold, Tom Ortenberg, Scott Putman, Tai Duncan, Joe Carnahan, Alan Siegel, Robert Simonds, Gerard Butler, Warren T. Goz, James Masciello, Adam Fogelson, John Friedberg</t>
  </si>
  <si>
    <t>Clinton Shorter</t>
  </si>
  <si>
    <t>/9LEWWWEhS7SZXFDuH1YYhs0VFct.jpg</t>
  </si>
  <si>
    <t>copshop</t>
  </si>
  <si>
    <t>blank (37), internet (8), blu-ray release (1), tv premiere (1)</t>
  </si>
  <si>
    <t>Dune</t>
  </si>
  <si>
    <t>tt1160419</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</si>
  <si>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</si>
  <si>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It begins.</t>
  </si>
  <si>
    <t>Science Fiction, Adventure</t>
  </si>
  <si>
    <t>legendary pictures</t>
  </si>
  <si>
    <t>√ä√¥√Ü√à√Ñ√∂√ã√ò√π, English</t>
  </si>
  <si>
    <t>Benjamin Dilloway, Ferenc Iv‚àö¬∞n Szab‚àö‚â•, Joelle, Zendaya, Dave Bautista, Ellen Dubin, Oscar Isaac, Charlotte Rampling, Roger Yuan, Benjamin Cl‚àö¬©mentine, Charlie Rawes, Elmi Rashid Elmi, Jason Momoa, Fehinti Balogun, Paul Bullion, J‚àö¬∞nos Timk‚àö‚â•, Babs Olusanmokun, Javier Bardem, Richard Carter, Stephen McKinley Henderson, Marianne Faithfull, Michael Nardone, Duncan Pow, Bal‚àö¬∞zs Megyeri, Rebecca Ferguson, Oliver Ryan, Elem‚àö¬©r Szatm‚àö¬∞ri, Istv‚àö¬∞n ‚àö√Öldott, Gloria Obianyo, Stellan Skarsg‚àö‚Ä¢rd, Milena Sidorova, Jean Gilpin, Dora K‚àö¬∞polnai-Schvab, Chang Chen, Timoth‚àö¬©e Chalamet, Stephen Collins, K‚àö¬∞roly Baksai, David Dastmalchian, Golda Rosheuvel, Jimmy Walker, Seun Shote, Neil Bell, Josh Brolin, Peter Sztojanov, Jr., Souad Faress, Tachia Newall, Bj‚àö‚àÇrn Freiberg, Sharon Duncan-Brewster</t>
  </si>
  <si>
    <t>Denis Villeneuve</t>
  </si>
  <si>
    <t>Greig Fraser</t>
  </si>
  <si>
    <t>Denis Villeneuve, Jon Spaihts, Eric Roth, Frank Herbert</t>
  </si>
  <si>
    <t>Herb Gains, Joseph M. Caracciolo Jr., Kim Herbert, John Harrison, Mary Parent, Richard P. Rubinstein, Brian Herbert, Byron Merritt, Cale Boyter, Jon Spaihts, Denis Villeneuve, Tanya Lapointe, Thomas Tull, Joshua Grode</t>
  </si>
  <si>
    <t>Hans Zimmer</t>
  </si>
  <si>
    <t>/d5NXSklXo0qyIYkgV94XAgMIckC.jpg</t>
  </si>
  <si>
    <t>dune</t>
  </si>
  <si>
    <t>venice film festival (1), premiere (1), deauville american film festival (1), toronto international film festival (1), blank (75), film by the sea film festival (1), bogota international film festival (1), new york film festival (1), mill valley film festival (1), festival du nouveau cin√©ma de montr√©al (1), chicago international film festival (1), sydney film festival (1), internet (1), g√∂teborg film festival (1), cambodia international film festival (1), re-release (20), imax (1), limited (1)</t>
  </si>
  <si>
    <t>Cry Macho</t>
  </si>
  <si>
    <t>tt1924245</t>
  </si>
  <si>
    <t>A one-time rodeo star and washed-up horse breeder takes a job from an ex-boss to bring the man's young son home from Mexico.</t>
  </si>
  <si>
    <t>A story of being lost... and found.</t>
  </si>
  <si>
    <t>Drama, Western</t>
  </si>
  <si>
    <t>malpaso productions, asr productions, warner bros. pictures</t>
  </si>
  <si>
    <t>Ruben Barela, Ramona Thornton, Natalia Traven, Rocko Reyes, Sebestien Soliz, Fausto Olmos Renter‚àö‚â†a, Brytnee Ratledge, Amber Lynn Ashley, Paul Alayo, Cesia Isabel Rosales, Gabriela Alicia Ortega, Horacio Garc‚àö‚â†a Rojas, Elida Munoz, Ana Rey, Darlene Kellum, Eduardo Minett, Juan Mendoza Solis, Abiah Martinez, Rob Estrada, Daniel V. Graulau, Alexander Alayon Jr., Lincoln A. Castellanos, Jorge-Luis Pallo, Alexandra Ruddy, Marco Rodr‚àö‚â†guez, Fernanda Urrejola, Clint Eastwood, Dwight Yoakam, Ivan Hernandez</t>
  </si>
  <si>
    <t>Clint Eastwood</t>
  </si>
  <si>
    <t>Ben Davis</t>
  </si>
  <si>
    <t>Nick Schenk, N. Richard Nash</t>
  </si>
  <si>
    <t>Jessica Meier, Tim Moore, Albert S. Ruddy, Clint Eastwood, David M. Bernstein</t>
  </si>
  <si>
    <t>Mark Mancina</t>
  </si>
  <si>
    <t>/esrzqq7Ud8yoslFTu3J5HqTJVOQ.jpg</t>
  </si>
  <si>
    <t>cry macho</t>
  </si>
  <si>
    <t>blank (28), internet (6), lumi√®re film festival (1), tokyo international film festival (1), torino film festival (1), blu-ray premiere (1), dvd premiere (1), tv premiere (1)</t>
  </si>
  <si>
    <t>Dear Evan Hansen</t>
  </si>
  <si>
    <t>tt9357050</t>
  </si>
  <si>
    <t>Evan Hansen, a high schooler with social anxiety, unintentionally gets caught up in a lie after the family of a classmate who committed suicide mistakes one of Hansen‚Äö√Ñ√¥s letters for their son‚Äö√Ñ√¥s suicide note.</t>
  </si>
  <si>
    <t>An honest and original story for those lost and then found.</t>
  </si>
  <si>
    <t>universal pictures, marc platt productions, perfect world pictures, dentsu</t>
  </si>
  <si>
    <t>Japan, United States of America</t>
  </si>
  <si>
    <t>DeMarius R. Copes, Dru Reel, Tommy Kane, Ben Platt, Shane Berengue, Julianne Moore, Colton Ryan, Amy Adams, Robin Segal Skolnik, Grace Lu, Kaitlynn Boyle, Ryan Basch, Amandla Stenberg, Gerald Caesar, Aymee Garcia, Nik Dodani, Tanushree Sekhri, Dominic Lauren, Naomi Rubin, Christopher Shea Hale, Avery Bederman, Gloria Bishop, Austin Scott Hunter, Zachary Willis, Maccie Margaret Chbosky, Danny Pino, Nathan W. Collins, Julia Chen Myers, Lio Mehiel, Amelia McArthur, Luis Waldstein-McCabe, Hadiya Eshe', Seth Fuentes, Swift Rice, Kaitlyn Dever, Kristin Clark, Zoey Luna, Marvin Leon, Mariana Alvarez, DaeSun Cupid, Isaac Powell, Liz Kate, Ceci Balagot, Tess Aubert, Deanna Crawford, Chris TC Edge, Raquel McPeek Rodriguez, J. Quinton Johnson, Luke Bambrick, Marcel Logan, Cameron J. Armstrong</t>
  </si>
  <si>
    <t>Stephen Chbosky</t>
  </si>
  <si>
    <t>Brandon Trost</t>
  </si>
  <si>
    <t>Benj Pasek, Steven Levenson, Justin Paul</t>
  </si>
  <si>
    <t>Marc Platt, Benj Pasek, Justin Paul, Michael Bederman, Steven Levenson, Adam Siegel</t>
  </si>
  <si>
    <t>Dan Romer, Benj Pasek, Justin Paul</t>
  </si>
  <si>
    <t>/hKjBQhsnCMt86kPKpPwV4meeFPo.jpg</t>
  </si>
  <si>
    <t>dear evan hansen</t>
  </si>
  <si>
    <t>toronto international film festival (1), blank (27), los angeles premiere (1), dvd premiere (2), rome film festival (1), internet (4), closing film (1), tokyo international film festival (1), sydney film festival (1), madrid (1), premiere (1), tv release (1)</t>
  </si>
  <si>
    <t>No Time to Die</t>
  </si>
  <si>
    <t>tt2382320</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</si>
  <si>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</si>
  <si>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The mission that changes everything begins‚Äö√Ñ¬∂</t>
  </si>
  <si>
    <t>Action, Thriller, Adventure</t>
  </si>
  <si>
    <t>eon productions, metro-goldwyn-mayer</t>
  </si>
  <si>
    <t>United Kingdom, United States of America</t>
  </si>
  <si>
    <t>Espa‚àö¬±ol, Fran‚àö√üais, P‚Äî√â‚Äî√Ö‚Äî√Ö‚Äì‚à´‚Äì‚àè‚ÄìœÄ, English, Italiano</t>
  </si>
  <si>
    <t>Eliot Sumner, Andrei Nova, Ross Donnelly, Christoph Waltz, Ralph Fiennes, Lisa-Dorah Sonnet, Chi Chan, Toby Sauerback, David Dencik, Svitlana Karabut, Daniel Craig, Gemmar Mcfarlane, Adnan Rashed, Rami Malek, Amy Morgan, Lizzie Winkler, Mathilde Bourbin, Michael Mercer, Gediminas Adomaitis, Giansalvatore Duca, Rod Hunt, Davina Moon, Pio Amato, Mattia Lacovone, Ernest Gromov, Rory Kinnear, Dali Benssalah, Priyanga Burford, Leighton Laing, L‚àö¬©a Seydoux, Naomie Harris, Jeffrey Wright, Nicola Olivieri, Joe Grossi, Brigitte Millar, Philip Philmar, Steve Barnett, Michael G. Wilson, Mark Addison, Lashana Lynch, Rae Lim, John Farrer, Winston Ellis, Dennis Good, Kimo Armstrong, Hugh Dennis, Tuncay Gunes, Douglas Bunn, Andy Cheung, Coline Defaud, Michael Herne, Raymond Waring, Clem So, Julian Ferro, Ana de Armas, Gordon Alexander, Billy Magnussen, Javone Prince, Lourdes Faberes, Paul O'Kelly, Hayden Phillips, David Olawale Ayinde, Ben Whishaw</t>
  </si>
  <si>
    <t>Cary Joji Fukunaga</t>
  </si>
  <si>
    <t>Linus Sandgren</t>
  </si>
  <si>
    <t>Robert Wade, Phoebe Waller-Bridge, Cary Joji Fukunaga, Ian Fleming, Neal Purvis</t>
  </si>
  <si>
    <t>Barbara Broccoli, Chris Brigham, Michael G. Wilson</t>
  </si>
  <si>
    <t>/iUgygt3fscRoKWCV1d0C7FbM9TP.jpg</t>
  </si>
  <si>
    <t>no time to die</t>
  </si>
  <si>
    <t>zurich film festival (1), premiere (3), london (1), blank (65), french speaking region (1), monte carlo (1), limited (1), stockholm international film festival (1), closing night film (1), energacamerimage international film festival (1), re-release (1), imax (1), internet (1)</t>
  </si>
  <si>
    <t>Venom: Let There Be Carnage</t>
  </si>
  <si>
    <t>tt7097896</t>
  </si>
  <si>
    <t>After finding a host body in investigative reporter Eddie Brock, the alien symbiote must face a new enemy, Carnage, the alter ego of serial killer Cletus Kasady.</t>
  </si>
  <si>
    <t>You are what you eat.</t>
  </si>
  <si>
    <t>Science Fiction, Action, Adventure</t>
  </si>
  <si>
    <t>columbia pictures, pascal pictures, matt tolmach productions, arad productions</t>
  </si>
  <si>
    <t>Espa‚àö¬±ol, English</t>
  </si>
  <si>
    <t>Reid Scott, Michelle Williams, Tiffanie Thomas, Vaughn Johseph, Jack Bandeira, Scroobius Pip, Stephen Graham, Otis Winston, James D. Weston II, Louis J Rhone, Jason McNab, Shaliz Afshar, Joshua Eldridge-Smith, Sean Delaney, Woody Harrelson, Eric Sigmundsson, Sam Robinson, Naomie Harris, Che Amaro, Peggy Lu, Brian Copeland, Rob Bowen, Greg Lockett, Miguel Angel Arreguin, Simon Connolly, Rachel Handshaw, Larry Olubamiwo, Rosie Marcel, Beau Sargent, Stewart Alexander, Akie Kotabe, Little Simz, Chabris Napier-Lawrence, Rocky Capella, Sonny Ashbourne Serkis, Amrou Al-Kadhi, Ed Kear, Ashlen Aquila, J.K. Simmons, Tom Holland, Reece Shearsmith, Elliot Cable, Kristen Simoes, Amanda Foster, Olumide Olorunfemi, Sian Webber, Christopher Godwin, Laurence Spellman, Jose Palma, Tom Hardy, David Zepeda, Michelle Greenidge, Jamal Ajala, Emma Lau</t>
  </si>
  <si>
    <t>Andy Serkis</t>
  </si>
  <si>
    <t>Robert Richardson</t>
  </si>
  <si>
    <t>Kelly Marcel, Mark Bagley, Tom DeFalco, Tom Hardy, David Michelinie, Todd McFarlane</t>
  </si>
  <si>
    <t>Kelly Marcel, Ruben Fleischer, Matt Tolmach, Amy Pascal, Hutch Parker, Tom Hardy, Barry H. Waldman, Avi Arad, Jonathan Cavendish</t>
  </si>
  <si>
    <t>Marco Beltrami</t>
  </si>
  <si>
    <t>/pzKsRuKLFmYrW5Q0q8E8G78Tcgo.jpg</t>
  </si>
  <si>
    <t>venom: let there be carnage</t>
  </si>
  <si>
    <t>london (1), premiere (1), blank (61), limited (1), internet (1), dvd premiere (1)</t>
  </si>
  <si>
    <t>The Battle at Lake Changjin</t>
  </si>
  <si>
    <t>tt13462900</t>
  </si>
  <si>
    <t>zh</t>
  </si>
  <si>
    <t>√à√Ø√∏√ä¬•‚Ä¢√äœÄ√±</t>
  </si>
  <si>
    <t>Korean War, winter 1950. In the frozen and snowy area of Changjin Lake, a bloody battle is about to begin between the elite troops of the United States and China.</t>
  </si>
  <si>
    <t>Do they fall out of the goddamn sky?</t>
  </si>
  <si>
    <t>Drama, War</t>
  </si>
  <si>
    <t>bona film group, shanghai film group, df pictures, alibaba pictures group, china film group corporation, distribution workshop, huaxia film distribution, just creative studio</t>
  </si>
  <si>
    <t>China, Hong Kong</t>
  </si>
  <si>
    <t>Yan Peng, Zhang Zhiqin, Tian Zheng, Liu Jintong, Chu Shuanzhong, Zhou Xiaobin, He Qiang, Wang Yanyang, Andy Friend, Zhu Yawen, Zhang Yue, Jia Xinggang, Wang Tonghui, Wu Weidong, Lin Jinglai, Zhang Lei, Jerry Lee, Liu Jin, Na Zhidong, Chen Zexuan, Zhang Zhikun, Han Bowei, Wang Hongtao, Tang Linsen, √Ç‚â†√¥√Ç√µŒ©√Ç‚àè√ñ, Zhuang Xiaolong, Li Bo, Zhang Xiu, Zhang Ningjiang, Kyrylo Shulga, Zhu Guangming, Gang Yi, Guo Jian, Yang Yiwei, Liu Sha, Xie Jingda, Huang Xiaohang, Quanbin Wang, Lu Wei, Zac Wang, Liu Xinjie, Tiger Xu, Cheng Yi, Elvis Han, √äŒ©√≤√Ç¬±√Ø√Ç¬±√Ø, Sun Boyang, Geng Le, Wang Guanqi, Zhang Yiming, √Ç√ñ√£√à√°√•√ä√±√ò√ä√¢√≤√Ç¬∫√≥¬¨‚àë√ä√¢√≤√Ç√¶‚àë¬¨‚àë√Ç√º√â√ä√±√°√ä√±√ò, Dai Lu, Ou Hao, Li Yize, Zhang Xiaojun, Rovaif Babar, Wang Zilong, Tang Guoqiang, √Å√©√£√Ç√Ö‚Ä¢, Yang Can, Shi Lei, Tang Zhiqiang, Cao Aorigele, √Å‚à´¬∂√Å√∏‚àû¬¨‚àë√Ç√ñ√£√à‚â§√Ö√Ç√ñœÄ, Duan Yihong, Lin Yongjian, Hu Jun, Wang Ning, Shi Haozheng, Shi Pengyuan, Li Xiaofeng, √à√º¬©√ä√±œÄ√ä√¥¬Æ, Diego Dati, Cai Xin, James Filbird, Zhao Yongzhan, Zhou Huilin, Zhang Xiaolei, Wu Jing, Zhang Hanyu, Zhang Chenyin, Wu Dongjian, He Yuefei, Hu Xueliang, Jackson Yee, Zhang Yubo, Wang Zhigang, Li Jun, Sun Yi, Li Mincheng, Yin Yuanzhang, √à¬™√©√ã√¢√¶√ã√≠√¥, Cheng Guodong, He Guangzhi, Huang Xuan, Liu Zhiwei, Jiang Xiaolin, √Ç√™¬•√ä√≤√©√ä√π‚â†, Xin Yubo, Cao Yang, Zhao Yihan, Li Zhuoyang, Wang Wufu, Song Yuchen, Lu Qi, Wu Tieliang, Matias Lorieri, Aimee Xu, √ä‚â•√Ø√ä√®√™</t>
  </si>
  <si>
    <t>Chen Kaige, Tsui Hark, Dante Lam Chiu-Yin</t>
  </si>
  <si>
    <t>Luo Pan, Tiger Gao, Horace Wong Wing-Hang, Peter Pau Tak-Hai, Ding Yu, Kenny Tse Chung-To</t>
  </si>
  <si>
    <t>Lan Xiaolong, Huang Jianxin</t>
  </si>
  <si>
    <t>Huang Jianxin, Chen Kaige, Yu Dong, Tsui Hark, Jiang Defu, Dante Lam Chiu-Yin, Shi Nansun, Chen Hong, Candy Leung Fung-Ying</t>
  </si>
  <si>
    <t>Elliot Leung Ho-Yat</t>
  </si>
  <si>
    <t>/iXvAlIo4DPLBiraC2KLu4977Wo2.jpg</t>
  </si>
  <si>
    <t>the battle at lake changjin</t>
  </si>
  <si>
    <t>beijing international film festival (1), premiere (2), blank (10), limited (2), internet (1), barcelona (2), madrid (2), subtitled version (3), technical premiere (1)</t>
  </si>
  <si>
    <t>Old Henry</t>
  </si>
  <si>
    <t>tt12731980</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</si>
  <si>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</si>
  <si>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You can't bury the past.</t>
  </si>
  <si>
    <t>Western, Action, Drama</t>
  </si>
  <si>
    <t>shout! studios, hideout pictures, blue swan entertainment, vmi worldwide</t>
  </si>
  <si>
    <t>Scott Haze, Brad Carter, Richard Speight Jr., Stephen Dorff, Trace Adkins, Gavin Lewis, Kent Shelton, Tim Blake Nelson, Max Arciniega</t>
  </si>
  <si>
    <t>Potsy Ponciroli</t>
  </si>
  <si>
    <t>John Matysiak</t>
  </si>
  <si>
    <t>Alex Siskin, Trevor O'Neil, Jordan Fields, Richard Foos, Garson Foos, Michael Hagerty, Bob Emmer, Shannon Houchins</t>
  </si>
  <si>
    <t>Jordan Lehning</t>
  </si>
  <si>
    <t>/eE1SL0QoDsvAMqQly56IkRtlN1W.jpg</t>
  </si>
  <si>
    <t>old henry</t>
  </si>
  <si>
    <t>venice film festival (1), woodstock film festival (1), blank (5), internet (10), blu-ray release (2), dvd premiere (3), stockholm international film festival (1), tv premiere (1), midnight sun film festival (1)</t>
  </si>
  <si>
    <t>Eiffel</t>
  </si>
  <si>
    <t>tt10366514</t>
  </si>
  <si>
    <t>The French government is asking Gustave Eiffel to design something spectacular for the 1889 Paris World Fair, but he simply wants to design the subway‚Äö√Ñ√Æuntil he crosses paths with a mysterious woman from his past.</t>
  </si>
  <si>
    <t>You will never look at it the same way again.</t>
  </si>
  <si>
    <t>Romance, Drama</t>
  </si>
  <si>
    <t>path‚àö¬©, vvz production, constantin film, scope pictures, m6 films, m6</t>
  </si>
  <si>
    <t>Belgium, France, Germany</t>
  </si>
  <si>
    <t>St‚àö¬©phane Page, Armande Boulanger, Matthieu Piriou, Cl‚àö¬©mence Bou‚àö¬©, Herv‚àö¬© Masquelier, Josselin Baillarguet, Romain Duris, Aur‚àö¬©lien Luzeux, Philippe Richardin, Beno‚àö√Üt de Gaulejac, Joseph Rezwin, Philippe Sa‚àö√òd, J‚àö¬©r‚àö¬©mie Petrus, Alexandre Steiger, Julien Sarazin, Emma Mackey, Mich‚àö¬Æle Cl‚àö¬©ment, Juliette Blanche, Damien Zanoly, Pierre Le Baleur, Dominique Pozzetto, Fr‚àö¬©d‚àö¬©ric Merlo, Philippe H‚àö¬©risson, J‚àö¬©r‚àö¬©my Lopez, Aur‚àö¬©lia Frachon, Pierre Deladonchamps, Sophie Foug‚àö¬Ære, Andranic Manet, David Olivier Fischer</t>
  </si>
  <si>
    <t>Martin Bourboulon</t>
  </si>
  <si>
    <t>Matias Boucard</t>
  </si>
  <si>
    <t>Martin Brossollet, Caroline Bongrand, Martin Bourboulon, Tatiana De Rosnay, Natalie Carter, Thomas Bidegain</t>
  </si>
  <si>
    <t>J‚àö¬©r‚àö¬•me Seydoux, Vanessa van Zuylen, Marie de Cenival, Genevi‚àö¬Æve Lemal, Ardavan Safaee, Martin Moszkowicz</t>
  </si>
  <si>
    <t>Alexandre Desplat</t>
  </si>
  <si>
    <t>/mrHx1eQpG7d0Qz3PUkt1ceEP6YK.jpg</t>
  </si>
  <si>
    <t>eiffel</t>
  </si>
  <si>
    <t>alliance fran√ßaise french film festival (1), opening film (1), festival du film francophone d'angoul√™me (1), blank (26), festival international du film francophone de namur (1), m√°laga - alb√©niz (1), subtitled version (1), premiere (2), alicante (1), madrid (1), camerimage international film festival (1), french film festival (1), internet (6), tv release (1), limited (1)</t>
  </si>
  <si>
    <t>Pleasure</t>
  </si>
  <si>
    <t>tt8550054</t>
  </si>
  <si>
    <t>sv</t>
  </si>
  <si>
    <t>19 year old Linn‚àö¬©a leaves her small town in Sweden and heads for Los Angeles with the aim of becoming the world's next big porn star, but the road to her goal turns out to be bumpier than she imagined.</t>
  </si>
  <si>
    <t>In the pursuit of fame, she discovers the price of pleasure.</t>
  </si>
  <si>
    <t>film i v‚àö¬ßst, flamboyance films, lemming film, plattform produktion, svt, logical pictures, grand slam film production, sf studios</t>
  </si>
  <si>
    <t>France, Netherlands, Sweden</t>
  </si>
  <si>
    <t>English, svenska</t>
  </si>
  <si>
    <t>Juliette March, Sean Stearley, Ex Libris, Peter Warren, Kendra Spade, Mick Blue, Claudio Bergamin, Ken Melvoin-Berg, Rusty Nails, Casey Calvert, Bill Bailey, Tommy Pistol, Anthony Elias Contreras, Xander Corvus, Sofia Kappel, Steve Holmes, Kelvin Batiste Jr., Eric John Grossbeck, David Freeman, Tee Reel, Ruckus, Abella Danger, Marc Kramer, Danielle Alexandria, Victor Siegel, Chris Cock, Reza Azar, Parker Stuart, Jules Jordan, John Strong, Evelyn Claire, Eva Melander, Kasia Szarek, Mana Afshar, Timi Mason, Zelda Morrison, Dana DeArmond, Yoshi Nurijumi, Alice Grey, Gina Valentina, Nathan Bronson, Mark Spiegler, Maja Kin, Small Hands, Devin McGee, Derrick Pierce, Axel Braun, Ryan McLane, Charlotte Cross, Pryde Pierce, Jason Toler, Jay Allan, Ivy Sherwood, Jack Blaque, Ester Udd‚àö¬©n, Michael Thompson, Cammy Ellis, Chanel Preston, Aiden Starr, Lucy Hart</t>
  </si>
  <si>
    <t>Ninja Thyberg</t>
  </si>
  <si>
    <t>Sophie Winqvist</t>
  </si>
  <si>
    <t>Ninja Thyberg, Peter Modestij, Sissel Dalsgaard Thomsen, Daniela Dahl, Josefine Adolfsson, Isabel Nylund, Sofia Kappel</t>
  </si>
  <si>
    <t>Pape Boye, Markus Walt‚àö‚Ä¢, Eliza Jones, Violaine Pichon, Erik Hemmendorff</t>
  </si>
  <si>
    <t>Karl Frid</t>
  </si>
  <si>
    <t>/TcOsu6iO5prSJbDn9oIQgIW655.jpg</t>
  </si>
  <si>
    <t>pleasure</t>
  </si>
  <si>
    <t>sundance film festival (1), internet (7), unknown (1), g√∂teborg film festival (1), art film fest kosice (1), new femininity film festival (1), sundance film festival: london (1), motovun film festival (1), melbourne international film festival (1), karlovy vary international film festival (1), deauville american film festival (1), helsinki international film festival (1), zurich film festival (1), parool film fest (1), blank (12), limited (2), film fest gent (1), riga international film festival (1), leiden international film festival (1), sydney film festival (1), thessaloniki international film festival (1), weekend (1), tallinn black nights film festival (1), afi fest (1), dvd and blu-ray premiere (1), dvd premiere (3), buenos aires international festival of independent cinema (1), biografilm festival (1), blu-ray release (3), gender border film festival (1)</t>
  </si>
  <si>
    <t>Encanto</t>
  </si>
  <si>
    <t>tt2953050</t>
  </si>
  <si>
    <t>The tale of an extraordinary family, the Madrigals, who live hidden in the mountains of Colombia, in a magical house, in a vibrant town, in a wondrous, charmed place called an Encanto. The magic of the Encanto has blessed every child in the family‚Äö√Ñ√Æevery child except one, Mirabel. But when she discovers that the magic surrounding the Encanto is in danger, Mirabel decides that she, the only ordinary Madrigal, might just be her exceptional family's last hope.</t>
  </si>
  <si>
    <t>There's a little magic in all of us...almost all of us.</t>
  </si>
  <si>
    <t>Animation, Comedy, Family, Fantasy</t>
  </si>
  <si>
    <t>walt disney animation studios</t>
  </si>
  <si>
    <t>Rose Portillo, Olga Merediz, Diane Guerrero, Ravi Cabot-Conyers, Juan Castano, Jorge E. Ruiz Cano, Sarah-Nicole Robles, Mauro Castillo, Angie Cepeda, John Leguizamo, Rhenzy Feliz, Mar‚àö‚â†a Cecilia Botero, Hector Elias, Noemi Josefina Flores, Ezra Rudulph, Wilmer Valderrama, Brooklyn Skylar Rodriguez, Paisley Day Herrera, Jessica Darrow, Maluma, Adassa, Carolina Gait‚àö¬∞n, Alyssa Bella Candiani, Stephanie Beatriz, Alan Tudyk</t>
  </si>
  <si>
    <t>Byron Howard, Jared Bush</t>
  </si>
  <si>
    <t>Nancy Kruse, Charise Castro Smith, Jared Bush, Lin-Manuel Miranda, Jason Hand, Byron Howard</t>
  </si>
  <si>
    <t>Clark Spencer, Jennifer Lee, Yvett Merino Flores</t>
  </si>
  <si>
    <t>Germaine Franco</t>
  </si>
  <si>
    <t>/4j0PNHkMr5ax3IA8tjtxcmPU3QT.jpg</t>
  </si>
  <si>
    <t>encanto</t>
  </si>
  <si>
    <t>hollywood, california (1), premiere (2), madrid (1), blank (90), french speaking region (1), limited (2), 3d re-release (1), internet (2)</t>
  </si>
  <si>
    <t>The Last Duel</t>
  </si>
  <si>
    <t>tt4244994</t>
  </si>
  <si>
    <t>King Charles VI declares that Knight Jean de Carrouges settle his dispute with his squire, Jacques Le Gris, by challenging him to a duel.</t>
  </si>
  <si>
    <t>The true story of a woman who defied a nation and made history.</t>
  </si>
  <si>
    <t>History, Drama, Action</t>
  </si>
  <si>
    <t>20th century studios, pearl street films, scott free productions</t>
  </si>
  <si>
    <t>Fran‚àö√üais, English, Rom‚àö¬¢n∆í√â</t>
  </si>
  <si>
    <t>John Kavanagh, Shane Lynch, Stephen Brennan, Martin Gogarty, Alex Blanchard, Jim Roche, Chloe Harris, Marton Csokas, Oliver Cotton, Kyle English, Bryony Hannah, Tassia Martin, Florian Hutter, Ronan Leonard, Adam Nagaitis, Lorris Chevalier, Matt Damon, Adam Driver, Sam Hazeldine, Brian Manning, Zo‚àö¬© Bruneau, Sylvain Labl‚àö¬©e, Julian Firth, Ian Pirie, Ben Affleck, Daniel Horn, C‚àö¬©cilia Steiner, Gin Minelli, Sam Chemoul, Janet Grene, Brian F. Mulvey, Simone Collins, Chlo‚àö¬© Lindau, Adam Goodwin, Thomas Silberstein, Peter Hudson, Jodie Comer, Kevin McGahern, William Houston, Clive Russell, Tallulah Haddon, Peter Kirkby, Aur‚àö¬©lien Lorgnier, Michael McElhatton, Bosco Hogan, Elise Caprice, Quentin Ogier, Fady Naguib, Fiona Maherault Valinski, Kyle Hixon, Brontis Jodorowsky, Nathaniel Parker, Martin Vaughan Lewis, Dimitri Michelsen, Caoimhe O'Malley, Paul Bandey, Camille Mutin, Alexander Pattie, Zeljko Ivanek, Karl Hogan, Clare Dunne, Colin David Reese, Serena Kennedy, Mark Atkin, Christian Erickson, Harriet Walter, Alex Lawther</t>
  </si>
  <si>
    <t>Ridley Scott</t>
  </si>
  <si>
    <t>Dariusz Wolski</t>
  </si>
  <si>
    <t>Eric Jager, Matt Damon, Ben Affleck, Nicole Holofcener</t>
  </si>
  <si>
    <t>Ridley Scott, Kevin Halloran, Jennifer Fox, Ben Affleck, Drew Vinton, James Flynn, Kevin J. Walsh, Madison Ainley, Matt Damon, Morgan O'Sullivan, Nicole Holofcener</t>
  </si>
  <si>
    <t>Harry Gregson-Williams</t>
  </si>
  <si>
    <t>/zjrJE0fpzPvX8saJXj8VNfcjBoU.jpg</t>
  </si>
  <si>
    <t>the last duel</t>
  </si>
  <si>
    <t>venice film festival (1), premiere (2), zurich film festival (1), new york city, new york (1), film fest gent (1), blank (49), chicago international film festival (1), internet (1), limited (1), blu-ray release (1)</t>
  </si>
  <si>
    <t>Halloween Kills</t>
  </si>
  <si>
    <t>tt10665338</t>
  </si>
  <si>
    <t>Michael manages to free himself from Laurie Strode's trap to resume his ritual bloodbath. As she fights for her life from injuries from their last encounter, she inspires her daughter Karen, her granddaughter Allyson, and all of Haddonfield to rise up against the unstoppable monster.</t>
  </si>
  <si>
    <t>Evil dies tonight.</t>
  </si>
  <si>
    <t>blumhouse productions, miramax, rough house pictures, trancas international films</t>
  </si>
  <si>
    <t>Brian Mays, Drew Scheid, Thomas Mann, Elaine Nalee, J. Gaven Wilde, Judy Greer, Salem Collins, Anthony Michael Hall, Michael Smallwood, Athena Levesque, Jonathan Bruce, James Northrup, Drew Broderick, Jibrail Nantambu, Mike Dupree, Scott MacArthur, Nancy Stephens, Ashley Pynn, Lauren Williams, Trenell Mooring, Damien Lee, Tatiyana Hill, Will Patton, Dylan Arnold, Ni'amoni Bagley, Nicholas Pryor, Brian F. Durkin, Willie Raysor, Craig Newkirk, Kelvin Hargrove, Lenny Clarke, Colin Mahan, Steven Foertsch, Carmela McNeal, Bob Odenkirk, Tristian Eggerling, Omar J. Dorsey, Jim Cummings, Robert Longstreet, Charles Cyphers, Arianna Levesque, Charlie Benton, Veronica Russell, Andi Matichak, Naomi Ansano, James Jude Courtney, Holli Saperstein, Shane Donovan Lewis, Jessica Arden Napier, Ella Dorsch, Ryan Lewis, Nancy Kyes, Kyle Richards, Aaron Ashlock, Michael Mercaldi, Josh Turner, Jamie Lee Curtis, Giselle Witt, Nick Castle, Jacob Keohane, P. J. Soles, Shayla Bagir, Troy Rudeseal, Christian Michael Pates, Michael McDonald, Ross Bacon, Diva Tyler, Angela Emerson, Jennifer Trudrung, Andrea Levesque, Salem Murphy, Jason Garay, Airon Armstrong, Mark Versnick, Beth Felice, Tom Jones Jr.</t>
  </si>
  <si>
    <t>David Gordon Green</t>
  </si>
  <si>
    <t>Michael Simmonds</t>
  </si>
  <si>
    <t>Danny McBride, Debra Hill, John Carpenter, David Gordon Green, Scott Teems</t>
  </si>
  <si>
    <t>Danny McBride, Jamie Lee Curtis, Couper Samuelson, Malek Akkad, Jason Blum, John Carpenter, David Gordon Green, Ryan Freimann, Jeanette Volturno, Bill Block</t>
  </si>
  <si>
    <t>John Carpenter, Cody Carpenter, Daniel Davies</t>
  </si>
  <si>
    <t>/4CclCDyQXBBgz62Qtp3CoflQE5g.jpg</t>
  </si>
  <si>
    <t>halloween kills</t>
  </si>
  <si>
    <t>venice film festival (1), beyond fest (1), sitges film festival (1), blank (60), internet (3), la roche-sur-yon international film festival (1), blu-ray release (1), tv premiere (1)</t>
  </si>
  <si>
    <t>The School of the Magical Animals</t>
  </si>
  <si>
    <t>tt11455260</t>
  </si>
  <si>
    <t>de</t>
  </si>
  <si>
    <t>Die Schule der magischen Tiere</t>
  </si>
  <si>
    <t>Ida Kronenberg must transfer to a new school, where she soon realizes the students are unkind to each other. However, that all changes when a new teacher, Miss Cornfield, begins to educate them on the value of friendship and magic.</t>
  </si>
  <si>
    <t>A magical adventure</t>
  </si>
  <si>
    <t>Family, Adventure, Fantasy</t>
  </si>
  <si>
    <t>kordes &amp; kordes film, wega film, clever production, schubert international filmproduktions, leonine studios</t>
  </si>
  <si>
    <t>Austria, Germany</t>
  </si>
  <si>
    <t>Deutsch</t>
  </si>
  <si>
    <t>Max von der Groeben, Heiko Pinkowski, Marleen Lohse, Charlotte Hagenbucher, Thilo Fridolin Matthes, Loris Sichrovsky, Lauri Kr‚àö‚àÇck, Justus von Dohn‚àö¬∞nyi, Emilia Maier, Jakob Weing‚àö¬ßrtner, Leonard Artur Conrads, Sophie Rois, Lilith Julie Johna, Katharina Thalbach, Emil Mascheck, Levi Kazmaier, Nadja Uhl, Milan Peschel, Tristan Schreck, Rike Schmid</t>
  </si>
  <si>
    <t>Gregor Schnitzler</t>
  </si>
  <si>
    <t>Wolfgang Aichholzer</t>
  </si>
  <si>
    <t>Viola Schmidt, Oliver Sch‚àö¬∫tte, Alexander Dydyna, John Chambers, Margit Auer</t>
  </si>
  <si>
    <t>Fred Kogel, Meike Kordes, Alexandra Kordes, Josef Brandmaier</t>
  </si>
  <si>
    <t>Dominik Giesriegl</t>
  </si>
  <si>
    <t>/lJl7go7W9MG4yVOQ3qCLTWo6oe9.jpg</t>
  </si>
  <si>
    <t>the school of the magical animals</t>
  </si>
  <si>
    <t>busan international kids &amp; youth film festival (1), warsaw film festival (1), schlingel - international film festival for children and young audience (1), blank (14), dvd premiere (1), limited (1), internet (1)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</si>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</sst>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391B9C-BB58-5B4A-911D-CCE1FFA1E707}" name="Table1" displayName="Table1" ref="A1:AQ39" totalsRowCount="1">
  <autoFilter ref="A1:AQ38" xr:uid="{14391B9C-BB58-5B4A-911D-CCE1FFA1E707}">
    <filterColumn colId="41">
      <filters>
        <filter val="no"/>
      </filters>
    </filterColumn>
  </autoFilter>
  <tableColumns count="43">
    <tableColumn id="1" xr3:uid="{7AB269FA-508B-9B46-BCB9-D2E961476D89}" name="id" totalsRowLabel="Total"/>
    <tableColumn id="2" xr3:uid="{A14FAB0A-A5C0-7849-803F-F55FAB001DBA}" name="title"/>
    <tableColumn id="3" xr3:uid="{1B75696B-945C-0541-8700-1087E0E53343}" name="vote_average"/>
    <tableColumn id="4" xr3:uid="{17E9A5DE-DA04-7546-86F7-4480B5A1ECC6}" name="vote_count"/>
    <tableColumn id="5" xr3:uid="{FBF93684-9CB4-244B-962B-25E508C56B70}" name="status"/>
    <tableColumn id="6" xr3:uid="{CEC33CAD-AEF1-194B-8FA2-C5B8D6FE9E77}" name="release_date" dataDxfId="0"/>
    <tableColumn id="7" xr3:uid="{8062E91F-EA87-3D47-810F-C0F167C323CF}" name="revenue"/>
    <tableColumn id="8" xr3:uid="{B1C66F09-6E14-A040-AF7B-3D0CA127A47A}" name="runtime"/>
    <tableColumn id="9" xr3:uid="{99DEC689-E83C-1A45-93BF-55EBB2459D23}" name="budget"/>
    <tableColumn id="10" xr3:uid="{ADCD46C6-2864-B54A-8EDD-B02AA587A369}" name="imdb_id"/>
    <tableColumn id="11" xr3:uid="{0054940B-D3F2-4343-AC09-D952EF55D058}" name="original_language"/>
    <tableColumn id="12" xr3:uid="{CE426097-2A58-2741-B10C-9E95F9514D22}" name="original_title"/>
    <tableColumn id="13" xr3:uid="{3C7E7D7C-44FC-6743-972E-23B0892FF80B}" name="overview"/>
    <tableColumn id="14" xr3:uid="{D71F71DA-9A60-6649-BA7E-5755883DEEBD}" name="popularity"/>
    <tableColumn id="15" xr3:uid="{C294058C-4A79-2844-A80C-7CF6E65C2902}" name="tagline"/>
    <tableColumn id="16" xr3:uid="{18DF74BD-B567-7343-B0F4-21D0116B571C}" name="genres"/>
    <tableColumn id="17" xr3:uid="{6E010852-4750-864E-AB3B-889AE26E7112}" name="production_companies"/>
    <tableColumn id="18" xr3:uid="{F21766C6-61EC-8D4D-A2CF-02A394171E57}" name="production_countries"/>
    <tableColumn id="19" xr3:uid="{F0893BB0-BC67-8E4C-900D-3C1D021FBF72}" name="spoken_languages"/>
    <tableColumn id="20" xr3:uid="{3B77C98C-CA6B-5C49-8F4E-46D895796E50}" name="cast"/>
    <tableColumn id="21" xr3:uid="{24E19B38-BBA5-864A-BD6A-89AA51C808B6}" name="director"/>
    <tableColumn id="22" xr3:uid="{64B3FDA9-6544-1243-BFBB-F1A131D92D09}" name="director_of_photography"/>
    <tableColumn id="23" xr3:uid="{5FD83FA4-D75E-394D-B652-B93E2B545517}" name="writers"/>
    <tableColumn id="24" xr3:uid="{A975AE83-4BA2-964E-A671-8A5A031DBCEA}" name="producers"/>
    <tableColumn id="25" xr3:uid="{570A7FF8-0134-8747-A35D-70E680151A0A}" name="music_composer"/>
    <tableColumn id="26" xr3:uid="{7F8A9513-E158-084C-B41E-010FCB788453}" name="imdb_rating"/>
    <tableColumn id="27" xr3:uid="{A00852A1-E12D-684E-8967-B637C8F254BC}" name="imdb_votes"/>
    <tableColumn id="28" xr3:uid="{7A934E69-FE31-3742-AE36-BE5AA7A05531}" name="poster_path"/>
    <tableColumn id="29" xr3:uid="{3741FE38-5CBB-A743-97F3-B3CC0C8893DE}" name="release_month"/>
    <tableColumn id="30" xr3:uid="{486C053B-6659-2144-A74C-91EAEAF5279F}" name="release_year"/>
    <tableColumn id="31" xr3:uid="{7EF894CF-291B-664B-95CF-7938F10511C2}" name="iso_week"/>
    <tableColumn id="32" xr3:uid="{2237CDFD-1D86-5349-ADDB-D8C67463855B}" name="title_clean"/>
    <tableColumn id="33" xr3:uid="{9C778638-A730-6647-837E-93BD7A0A99E1}" name="distance"/>
    <tableColumn id="34" xr3:uid="{3C76024E-118C-394A-A105-57746D17AA88}" name="strength"/>
    <tableColumn id="35" xr3:uid="{36376E47-E12C-3040-A343-7B89179134B5}" name="score" totalsRowFunction="sum"/>
    <tableColumn id="36" xr3:uid="{AD163D99-C4D1-5D4B-98F6-0C8F69087173}" name="marvel_movie"/>
    <tableColumn id="37" xr3:uid="{D0739BCB-39F5-3944-946A-9ADF1153E4A9}" name="attributes"/>
    <tableColumn id="38" xr3:uid="{246D64F8-F3B3-CA43-966B-5B6E75CF3191}" name="blank"/>
    <tableColumn id="39" xr3:uid="{8C6F7909-388F-6747-8BC7-1F911A675A55}" name="internet"/>
    <tableColumn id="40" xr3:uid="{C10BD9C9-BBF0-6A49-87BA-6AC5FC3768C3}" name="total"/>
    <tableColumn id="41" xr3:uid="{C0E5C236-FD47-3C4F-AB9E-1FFF59A57B4F}" name="internet_ratio"/>
    <tableColumn id="42" xr3:uid="{A3F88BF2-1D7A-2D4F-A593-2D06D6893EE0}" name="internet_dominance"/>
    <tableColumn id="43" xr3:uid="{0FC5BF8B-08ED-9B40-B357-AD156737428F}" name="error"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9C619-5751-0546-BB8D-D8519AA76CCE}">
  <dimension ref="A1:AQ39"/>
  <sheetViews>
    <sheetView tabSelected="1" topLeftCell="AA1" workbookViewId="0">
      <selection activeCell="AI39" sqref="AI39"/>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577242</v>
      </c>
      <c r="B2" t="s">
        <v>43</v>
      </c>
      <c r="C2">
        <v>6.609</v>
      </c>
      <c r="D2">
        <v>720</v>
      </c>
      <c r="E2" t="s">
        <v>44</v>
      </c>
      <c r="F2" s="1">
        <v>44398</v>
      </c>
      <c r="G2">
        <v>19002036</v>
      </c>
      <c r="H2">
        <v>120</v>
      </c>
      <c r="I2">
        <v>17516235</v>
      </c>
      <c r="J2" t="s">
        <v>45</v>
      </c>
      <c r="K2" t="s">
        <v>46</v>
      </c>
      <c r="L2" t="s">
        <v>47</v>
      </c>
      <c r="M2" t="s">
        <v>48</v>
      </c>
      <c r="N2">
        <v>2.0914000000000001</v>
      </c>
      <c r="O2" t="s">
        <v>49</v>
      </c>
      <c r="P2" t="s">
        <v>50</v>
      </c>
      <c r="Q2" t="s">
        <v>51</v>
      </c>
      <c r="R2" t="s">
        <v>52</v>
      </c>
      <c r="S2" t="s">
        <v>53</v>
      </c>
      <c r="T2" t="s">
        <v>54</v>
      </c>
      <c r="U2" t="s">
        <v>55</v>
      </c>
      <c r="V2" t="s">
        <v>56</v>
      </c>
      <c r="W2" t="s">
        <v>55</v>
      </c>
      <c r="X2" t="s">
        <v>57</v>
      </c>
      <c r="Y2" t="s">
        <v>55</v>
      </c>
      <c r="Z2">
        <v>6.1</v>
      </c>
      <c r="AA2">
        <v>4549</v>
      </c>
      <c r="AB2" t="s">
        <v>58</v>
      </c>
      <c r="AC2">
        <v>7</v>
      </c>
      <c r="AD2">
        <v>2021</v>
      </c>
      <c r="AE2">
        <v>29</v>
      </c>
      <c r="AF2" t="s">
        <v>59</v>
      </c>
      <c r="AG2">
        <v>-42</v>
      </c>
      <c r="AH2">
        <v>16.760056741910301</v>
      </c>
      <c r="AI2">
        <v>0.38976876143977601</v>
      </c>
      <c r="AJ2" t="s">
        <v>60</v>
      </c>
      <c r="AK2" t="s">
        <v>61</v>
      </c>
      <c r="AL2">
        <v>20</v>
      </c>
      <c r="AM2">
        <v>13</v>
      </c>
      <c r="AN2">
        <v>42</v>
      </c>
      <c r="AO2">
        <v>0.31</v>
      </c>
      <c r="AP2" t="s">
        <v>62</v>
      </c>
      <c r="AQ2" t="s">
        <v>62</v>
      </c>
    </row>
    <row r="3" spans="1:43" x14ac:dyDescent="0.2">
      <c r="A3">
        <v>631843</v>
      </c>
      <c r="B3" t="s">
        <v>63</v>
      </c>
      <c r="C3">
        <v>6.3</v>
      </c>
      <c r="D3">
        <v>4701</v>
      </c>
      <c r="E3" t="s">
        <v>44</v>
      </c>
      <c r="F3" s="1">
        <v>44398</v>
      </c>
      <c r="G3">
        <v>90146510</v>
      </c>
      <c r="H3">
        <v>108</v>
      </c>
      <c r="I3">
        <v>18000000</v>
      </c>
      <c r="J3" t="s">
        <v>64</v>
      </c>
      <c r="K3" t="s">
        <v>65</v>
      </c>
      <c r="L3" t="s">
        <v>63</v>
      </c>
      <c r="M3" t="s">
        <v>66</v>
      </c>
      <c r="N3">
        <v>8.5070999999999994</v>
      </c>
      <c r="O3" t="s">
        <v>67</v>
      </c>
      <c r="P3" t="s">
        <v>68</v>
      </c>
      <c r="Q3" t="s">
        <v>69</v>
      </c>
      <c r="R3" t="s">
        <v>70</v>
      </c>
      <c r="S3" t="s">
        <v>71</v>
      </c>
      <c r="T3" t="s">
        <v>72</v>
      </c>
      <c r="U3" t="s">
        <v>73</v>
      </c>
      <c r="V3" t="s">
        <v>74</v>
      </c>
      <c r="W3" t="s">
        <v>75</v>
      </c>
      <c r="X3" t="s">
        <v>76</v>
      </c>
      <c r="Y3" t="s">
        <v>77</v>
      </c>
      <c r="Z3">
        <v>5.8</v>
      </c>
      <c r="AA3">
        <v>180386</v>
      </c>
      <c r="AB3" t="s">
        <v>78</v>
      </c>
      <c r="AC3">
        <v>7</v>
      </c>
      <c r="AD3">
        <v>2021</v>
      </c>
      <c r="AE3">
        <v>29</v>
      </c>
      <c r="AF3" t="s">
        <v>79</v>
      </c>
      <c r="AG3">
        <v>-42</v>
      </c>
      <c r="AH3">
        <v>18.316946804701502</v>
      </c>
      <c r="AI3">
        <v>0.42597550708608301</v>
      </c>
      <c r="AJ3" t="s">
        <v>60</v>
      </c>
      <c r="AK3" t="s">
        <v>80</v>
      </c>
      <c r="AL3">
        <v>80</v>
      </c>
      <c r="AM3">
        <v>0</v>
      </c>
      <c r="AN3">
        <v>86</v>
      </c>
      <c r="AO3">
        <v>0</v>
      </c>
      <c r="AP3" t="s">
        <v>62</v>
      </c>
      <c r="AQ3" t="s">
        <v>62</v>
      </c>
    </row>
    <row r="4" spans="1:43" x14ac:dyDescent="0.2">
      <c r="A4">
        <v>568620</v>
      </c>
      <c r="B4" t="s">
        <v>81</v>
      </c>
      <c r="C4">
        <v>6.5</v>
      </c>
      <c r="D4">
        <v>1647</v>
      </c>
      <c r="E4" t="s">
        <v>44</v>
      </c>
      <c r="F4" s="1">
        <v>44399</v>
      </c>
      <c r="G4">
        <v>36964325</v>
      </c>
      <c r="H4">
        <v>121</v>
      </c>
      <c r="I4">
        <v>88000000</v>
      </c>
      <c r="J4" t="s">
        <v>82</v>
      </c>
      <c r="K4" t="s">
        <v>65</v>
      </c>
      <c r="L4" t="s">
        <v>81</v>
      </c>
      <c r="M4" t="s">
        <v>83</v>
      </c>
      <c r="N4">
        <v>5.8483000000000001</v>
      </c>
      <c r="O4" t="s">
        <v>84</v>
      </c>
      <c r="P4" t="s">
        <v>85</v>
      </c>
      <c r="Q4" t="s">
        <v>86</v>
      </c>
      <c r="R4" t="s">
        <v>87</v>
      </c>
      <c r="S4" t="s">
        <v>88</v>
      </c>
      <c r="T4" t="s">
        <v>89</v>
      </c>
      <c r="U4" t="s">
        <v>90</v>
      </c>
      <c r="V4" t="s">
        <v>91</v>
      </c>
      <c r="W4" t="s">
        <v>92</v>
      </c>
      <c r="X4" t="s">
        <v>93</v>
      </c>
      <c r="Y4" t="s">
        <v>94</v>
      </c>
      <c r="Z4">
        <v>5.4</v>
      </c>
      <c r="AA4">
        <v>47473</v>
      </c>
      <c r="AB4" t="s">
        <v>95</v>
      </c>
      <c r="AC4">
        <v>7</v>
      </c>
      <c r="AD4">
        <v>2021</v>
      </c>
      <c r="AE4">
        <v>29</v>
      </c>
      <c r="AF4" t="s">
        <v>96</v>
      </c>
      <c r="AG4">
        <v>-41</v>
      </c>
      <c r="AH4">
        <v>17.425463843343</v>
      </c>
      <c r="AI4">
        <v>0.41489199627007101</v>
      </c>
      <c r="AJ4" t="s">
        <v>60</v>
      </c>
      <c r="AK4" t="s">
        <v>97</v>
      </c>
      <c r="AL4">
        <v>53</v>
      </c>
      <c r="AM4">
        <v>2</v>
      </c>
      <c r="AN4">
        <v>58</v>
      </c>
      <c r="AO4">
        <v>0.03</v>
      </c>
      <c r="AP4" t="s">
        <v>62</v>
      </c>
      <c r="AQ4" t="s">
        <v>62</v>
      </c>
    </row>
    <row r="5" spans="1:43" x14ac:dyDescent="0.2">
      <c r="A5">
        <v>693113</v>
      </c>
      <c r="B5" t="s">
        <v>98</v>
      </c>
      <c r="C5">
        <v>5.8</v>
      </c>
      <c r="D5">
        <v>460</v>
      </c>
      <c r="E5" t="s">
        <v>44</v>
      </c>
      <c r="F5" s="1">
        <v>44400</v>
      </c>
      <c r="G5">
        <v>229811</v>
      </c>
      <c r="H5">
        <v>99</v>
      </c>
      <c r="I5">
        <v>15000000</v>
      </c>
      <c r="J5" t="s">
        <v>99</v>
      </c>
      <c r="K5" t="s">
        <v>65</v>
      </c>
      <c r="L5" t="s">
        <v>98</v>
      </c>
      <c r="M5" t="s">
        <v>100</v>
      </c>
      <c r="N5">
        <v>2.9752000000000001</v>
      </c>
      <c r="O5" t="s">
        <v>101</v>
      </c>
      <c r="P5" t="s">
        <v>102</v>
      </c>
      <c r="Q5" t="s">
        <v>103</v>
      </c>
      <c r="R5" t="s">
        <v>104</v>
      </c>
      <c r="S5" t="s">
        <v>71</v>
      </c>
      <c r="T5" t="s">
        <v>105</v>
      </c>
      <c r="U5" t="s">
        <v>106</v>
      </c>
      <c r="V5" t="s">
        <v>107</v>
      </c>
      <c r="W5" t="s">
        <v>108</v>
      </c>
      <c r="X5" t="s">
        <v>109</v>
      </c>
      <c r="Y5" t="s">
        <v>110</v>
      </c>
      <c r="Z5">
        <v>4.5999999999999996</v>
      </c>
      <c r="AA5">
        <v>12625</v>
      </c>
      <c r="AB5" t="s">
        <v>111</v>
      </c>
      <c r="AC5">
        <v>7</v>
      </c>
      <c r="AD5">
        <v>2021</v>
      </c>
      <c r="AE5">
        <v>29</v>
      </c>
      <c r="AF5" t="s">
        <v>112</v>
      </c>
      <c r="AG5">
        <v>-40</v>
      </c>
      <c r="AH5">
        <v>12.3450168623545</v>
      </c>
      <c r="AI5">
        <v>0.30109797225254997</v>
      </c>
      <c r="AJ5" t="s">
        <v>60</v>
      </c>
      <c r="AK5" t="s">
        <v>113</v>
      </c>
      <c r="AL5">
        <v>9</v>
      </c>
      <c r="AM5">
        <v>9</v>
      </c>
      <c r="AN5">
        <v>27</v>
      </c>
      <c r="AO5">
        <v>0.33</v>
      </c>
      <c r="AP5" t="s">
        <v>62</v>
      </c>
      <c r="AQ5" t="s">
        <v>62</v>
      </c>
    </row>
    <row r="6" spans="1:43" x14ac:dyDescent="0.2">
      <c r="A6">
        <v>436969</v>
      </c>
      <c r="B6" t="s">
        <v>114</v>
      </c>
      <c r="C6">
        <v>7.4779999999999998</v>
      </c>
      <c r="D6">
        <v>9214</v>
      </c>
      <c r="E6" t="s">
        <v>44</v>
      </c>
      <c r="F6" s="1">
        <v>44405</v>
      </c>
      <c r="G6">
        <v>168717425</v>
      </c>
      <c r="H6">
        <v>132</v>
      </c>
      <c r="I6">
        <v>185000000</v>
      </c>
      <c r="J6" t="s">
        <v>115</v>
      </c>
      <c r="K6" t="s">
        <v>65</v>
      </c>
      <c r="L6" t="s">
        <v>114</v>
      </c>
      <c r="M6" t="s">
        <v>116</v>
      </c>
      <c r="N6">
        <v>16.931799999999999</v>
      </c>
      <c r="O6" t="s">
        <v>117</v>
      </c>
      <c r="P6" t="s">
        <v>118</v>
      </c>
      <c r="Q6" t="s">
        <v>119</v>
      </c>
      <c r="R6" t="s">
        <v>120</v>
      </c>
      <c r="S6" t="s">
        <v>121</v>
      </c>
      <c r="T6" t="s">
        <v>122</v>
      </c>
      <c r="U6" t="s">
        <v>123</v>
      </c>
      <c r="V6" t="s">
        <v>124</v>
      </c>
      <c r="W6" t="s">
        <v>123</v>
      </c>
      <c r="X6" t="s">
        <v>125</v>
      </c>
      <c r="Y6" t="s">
        <v>126</v>
      </c>
      <c r="Z6">
        <v>7.2</v>
      </c>
      <c r="AA6">
        <v>448757</v>
      </c>
      <c r="AB6" t="s">
        <v>127</v>
      </c>
      <c r="AC6">
        <v>7</v>
      </c>
      <c r="AD6">
        <v>2021</v>
      </c>
      <c r="AE6">
        <v>30</v>
      </c>
      <c r="AF6" t="s">
        <v>128</v>
      </c>
      <c r="AG6">
        <v>-35</v>
      </c>
      <c r="AH6">
        <v>18.943735837972898</v>
      </c>
      <c r="AI6">
        <v>0.52621488438813602</v>
      </c>
      <c r="AJ6" t="s">
        <v>60</v>
      </c>
      <c r="AK6" t="s">
        <v>129</v>
      </c>
      <c r="AL6">
        <v>54</v>
      </c>
      <c r="AM6">
        <v>2</v>
      </c>
      <c r="AN6">
        <v>62</v>
      </c>
      <c r="AO6">
        <v>0.03</v>
      </c>
      <c r="AP6" t="s">
        <v>62</v>
      </c>
      <c r="AQ6" t="s">
        <v>62</v>
      </c>
    </row>
    <row r="7" spans="1:43" x14ac:dyDescent="0.2">
      <c r="A7">
        <v>451048</v>
      </c>
      <c r="B7" t="s">
        <v>130</v>
      </c>
      <c r="C7">
        <v>7.3239999999999998</v>
      </c>
      <c r="D7">
        <v>5955</v>
      </c>
      <c r="E7" t="s">
        <v>44</v>
      </c>
      <c r="F7" s="1">
        <v>44405</v>
      </c>
      <c r="G7">
        <v>220889446</v>
      </c>
      <c r="H7">
        <v>127</v>
      </c>
      <c r="I7">
        <v>200000000</v>
      </c>
      <c r="J7" t="s">
        <v>131</v>
      </c>
      <c r="K7" t="s">
        <v>65</v>
      </c>
      <c r="L7" t="s">
        <v>130</v>
      </c>
      <c r="M7" t="s">
        <v>132</v>
      </c>
      <c r="N7">
        <v>6.6721000000000004</v>
      </c>
      <c r="O7" t="s">
        <v>133</v>
      </c>
      <c r="P7" t="s">
        <v>134</v>
      </c>
      <c r="Q7" t="s">
        <v>135</v>
      </c>
      <c r="R7" t="s">
        <v>120</v>
      </c>
      <c r="S7" t="s">
        <v>136</v>
      </c>
      <c r="T7" t="s">
        <v>137</v>
      </c>
      <c r="U7" t="s">
        <v>138</v>
      </c>
      <c r="V7" t="s">
        <v>139</v>
      </c>
      <c r="W7" t="s">
        <v>140</v>
      </c>
      <c r="X7" t="s">
        <v>141</v>
      </c>
      <c r="Y7" t="s">
        <v>142</v>
      </c>
      <c r="Z7">
        <v>6.5</v>
      </c>
      <c r="AA7">
        <v>223752</v>
      </c>
      <c r="AB7" t="s">
        <v>143</v>
      </c>
      <c r="AC7">
        <v>7</v>
      </c>
      <c r="AD7">
        <v>2021</v>
      </c>
      <c r="AE7">
        <v>30</v>
      </c>
      <c r="AF7" t="s">
        <v>144</v>
      </c>
      <c r="AG7">
        <v>-35</v>
      </c>
      <c r="AH7">
        <v>19.213172894501302</v>
      </c>
      <c r="AI7">
        <v>0.53369924706948102</v>
      </c>
      <c r="AJ7" t="s">
        <v>60</v>
      </c>
      <c r="AK7" t="s">
        <v>145</v>
      </c>
      <c r="AL7">
        <v>50</v>
      </c>
      <c r="AM7">
        <v>5</v>
      </c>
      <c r="AN7">
        <v>59</v>
      </c>
      <c r="AO7">
        <v>0.08</v>
      </c>
      <c r="AP7" t="s">
        <v>62</v>
      </c>
      <c r="AQ7" t="s">
        <v>62</v>
      </c>
    </row>
    <row r="8" spans="1:43" x14ac:dyDescent="0.2">
      <c r="A8">
        <v>559907</v>
      </c>
      <c r="B8" t="s">
        <v>146</v>
      </c>
      <c r="C8">
        <v>6.6059999999999999</v>
      </c>
      <c r="D8">
        <v>2067</v>
      </c>
      <c r="E8" t="s">
        <v>44</v>
      </c>
      <c r="F8" s="1">
        <v>44406</v>
      </c>
      <c r="G8">
        <v>18887953</v>
      </c>
      <c r="H8">
        <v>130</v>
      </c>
      <c r="I8">
        <v>15000000</v>
      </c>
      <c r="J8" t="s">
        <v>147</v>
      </c>
      <c r="K8" t="s">
        <v>65</v>
      </c>
      <c r="L8" t="s">
        <v>146</v>
      </c>
      <c r="M8" t="s">
        <v>148</v>
      </c>
      <c r="N8">
        <v>5.9447000000000001</v>
      </c>
      <c r="O8" t="s">
        <v>149</v>
      </c>
      <c r="P8" t="s">
        <v>150</v>
      </c>
      <c r="Q8" t="s">
        <v>151</v>
      </c>
      <c r="R8" t="s">
        <v>152</v>
      </c>
      <c r="S8" t="s">
        <v>71</v>
      </c>
      <c r="T8" t="s">
        <v>153</v>
      </c>
      <c r="U8" t="s">
        <v>154</v>
      </c>
      <c r="V8" t="s">
        <v>155</v>
      </c>
      <c r="W8" t="s">
        <v>154</v>
      </c>
      <c r="X8" t="s">
        <v>156</v>
      </c>
      <c r="Y8" t="s">
        <v>157</v>
      </c>
      <c r="Z8">
        <v>6.6</v>
      </c>
      <c r="AA8">
        <v>128444</v>
      </c>
      <c r="AB8" t="s">
        <v>158</v>
      </c>
      <c r="AC8">
        <v>7</v>
      </c>
      <c r="AD8">
        <v>2021</v>
      </c>
      <c r="AE8">
        <v>30</v>
      </c>
      <c r="AF8" t="s">
        <v>159</v>
      </c>
      <c r="AG8">
        <v>-34</v>
      </c>
      <c r="AH8">
        <v>16.754034922335698</v>
      </c>
      <c r="AI8">
        <v>0.47868671206673602</v>
      </c>
      <c r="AJ8" t="s">
        <v>60</v>
      </c>
      <c r="AK8" t="s">
        <v>160</v>
      </c>
      <c r="AL8">
        <v>38</v>
      </c>
      <c r="AM8">
        <v>9</v>
      </c>
      <c r="AN8">
        <v>56</v>
      </c>
      <c r="AO8">
        <v>0.16</v>
      </c>
      <c r="AP8" t="s">
        <v>62</v>
      </c>
      <c r="AQ8" t="s">
        <v>62</v>
      </c>
    </row>
    <row r="9" spans="1:43" x14ac:dyDescent="0.2">
      <c r="A9">
        <v>616651</v>
      </c>
      <c r="B9" t="s">
        <v>161</v>
      </c>
      <c r="C9">
        <v>6.6</v>
      </c>
      <c r="D9">
        <v>1340</v>
      </c>
      <c r="E9" t="s">
        <v>44</v>
      </c>
      <c r="F9" s="1">
        <v>44406</v>
      </c>
      <c r="G9">
        <v>19754272</v>
      </c>
      <c r="H9">
        <v>139</v>
      </c>
      <c r="I9">
        <v>20000000</v>
      </c>
      <c r="J9" t="s">
        <v>162</v>
      </c>
      <c r="K9" t="s">
        <v>65</v>
      </c>
      <c r="L9" t="s">
        <v>161</v>
      </c>
      <c r="M9" t="s">
        <v>163</v>
      </c>
      <c r="N9">
        <v>4.6478000000000002</v>
      </c>
      <c r="O9" t="s">
        <v>164</v>
      </c>
      <c r="P9" t="s">
        <v>165</v>
      </c>
      <c r="Q9" t="s">
        <v>166</v>
      </c>
      <c r="R9" t="s">
        <v>167</v>
      </c>
      <c r="S9" t="s">
        <v>121</v>
      </c>
      <c r="T9" t="s">
        <v>168</v>
      </c>
      <c r="U9" t="s">
        <v>169</v>
      </c>
      <c r="V9" t="s">
        <v>170</v>
      </c>
      <c r="W9" t="s">
        <v>171</v>
      </c>
      <c r="X9" t="s">
        <v>172</v>
      </c>
      <c r="Y9" t="s">
        <v>173</v>
      </c>
      <c r="Z9">
        <v>6.6</v>
      </c>
      <c r="AA9">
        <v>62763</v>
      </c>
      <c r="AB9" t="s">
        <v>174</v>
      </c>
      <c r="AC9">
        <v>7</v>
      </c>
      <c r="AD9">
        <v>2021</v>
      </c>
      <c r="AE9">
        <v>30</v>
      </c>
      <c r="AF9" t="s">
        <v>175</v>
      </c>
      <c r="AG9">
        <v>-34</v>
      </c>
      <c r="AH9">
        <v>16.798880380340499</v>
      </c>
      <c r="AI9">
        <v>0.47996801086687202</v>
      </c>
      <c r="AJ9" t="s">
        <v>60</v>
      </c>
      <c r="AK9" t="s">
        <v>176</v>
      </c>
      <c r="AL9">
        <v>25</v>
      </c>
      <c r="AM9">
        <v>7</v>
      </c>
      <c r="AN9">
        <v>42</v>
      </c>
      <c r="AO9">
        <v>0.17</v>
      </c>
      <c r="AP9" t="s">
        <v>62</v>
      </c>
      <c r="AQ9" t="s">
        <v>62</v>
      </c>
    </row>
    <row r="10" spans="1:43" hidden="1" x14ac:dyDescent="0.2">
      <c r="A10">
        <v>835551</v>
      </c>
      <c r="B10" t="s">
        <v>177</v>
      </c>
      <c r="C10">
        <v>5.5</v>
      </c>
      <c r="D10">
        <v>102</v>
      </c>
      <c r="E10" t="s">
        <v>44</v>
      </c>
      <c r="F10" s="1">
        <v>44407</v>
      </c>
      <c r="G10">
        <v>8866</v>
      </c>
      <c r="H10">
        <v>80</v>
      </c>
      <c r="I10">
        <v>2500000</v>
      </c>
      <c r="J10" t="s">
        <v>178</v>
      </c>
      <c r="K10" t="s">
        <v>65</v>
      </c>
      <c r="L10" t="s">
        <v>177</v>
      </c>
      <c r="M10" t="s">
        <v>179</v>
      </c>
      <c r="N10">
        <v>2.6457000000000002</v>
      </c>
      <c r="O10" t="s">
        <v>180</v>
      </c>
      <c r="P10" t="s">
        <v>181</v>
      </c>
      <c r="Q10" t="s">
        <v>182</v>
      </c>
      <c r="R10" t="s">
        <v>120</v>
      </c>
      <c r="S10" t="s">
        <v>71</v>
      </c>
      <c r="T10" t="s">
        <v>183</v>
      </c>
      <c r="U10" t="s">
        <v>184</v>
      </c>
      <c r="V10" t="s">
        <v>185</v>
      </c>
      <c r="W10" t="s">
        <v>184</v>
      </c>
      <c r="X10" t="s">
        <v>186</v>
      </c>
      <c r="Y10" t="s">
        <v>187</v>
      </c>
      <c r="Z10">
        <v>3.9</v>
      </c>
      <c r="AA10">
        <v>1328</v>
      </c>
      <c r="AB10" t="s">
        <v>188</v>
      </c>
      <c r="AC10">
        <v>7</v>
      </c>
      <c r="AD10">
        <v>2021</v>
      </c>
      <c r="AE10">
        <v>30</v>
      </c>
      <c r="AF10" t="s">
        <v>189</v>
      </c>
      <c r="AG10">
        <v>-33</v>
      </c>
      <c r="AH10">
        <v>9.0900917993799997</v>
      </c>
      <c r="AI10">
        <v>0.26735564115823501</v>
      </c>
      <c r="AJ10" t="s">
        <v>60</v>
      </c>
      <c r="AK10" t="s">
        <v>190</v>
      </c>
      <c r="AL10">
        <v>4</v>
      </c>
      <c r="AM10">
        <v>6</v>
      </c>
      <c r="AN10">
        <v>14</v>
      </c>
      <c r="AO10">
        <v>0.43</v>
      </c>
      <c r="AP10" t="s">
        <v>191</v>
      </c>
      <c r="AQ10" t="s">
        <v>62</v>
      </c>
    </row>
    <row r="11" spans="1:43" x14ac:dyDescent="0.2">
      <c r="A11">
        <v>675445</v>
      </c>
      <c r="B11" t="s">
        <v>192</v>
      </c>
      <c r="C11">
        <v>7.4</v>
      </c>
      <c r="D11">
        <v>1245</v>
      </c>
      <c r="E11" t="s">
        <v>44</v>
      </c>
      <c r="F11" s="1">
        <v>44417</v>
      </c>
      <c r="G11">
        <v>144327371</v>
      </c>
      <c r="H11">
        <v>86</v>
      </c>
      <c r="I11">
        <v>26000000</v>
      </c>
      <c r="J11" t="s">
        <v>193</v>
      </c>
      <c r="K11" t="s">
        <v>65</v>
      </c>
      <c r="L11" t="s">
        <v>192</v>
      </c>
      <c r="M11" t="s">
        <v>194</v>
      </c>
      <c r="N11">
        <v>6.8433000000000002</v>
      </c>
      <c r="O11" t="s">
        <v>195</v>
      </c>
      <c r="P11" t="s">
        <v>196</v>
      </c>
      <c r="Q11" t="s">
        <v>197</v>
      </c>
      <c r="R11" t="s">
        <v>198</v>
      </c>
      <c r="S11" t="s">
        <v>71</v>
      </c>
      <c r="T11" t="s">
        <v>199</v>
      </c>
      <c r="U11" t="s">
        <v>200</v>
      </c>
      <c r="W11" t="s">
        <v>201</v>
      </c>
      <c r="X11" t="s">
        <v>202</v>
      </c>
      <c r="Y11" t="s">
        <v>203</v>
      </c>
      <c r="Z11">
        <v>6.1</v>
      </c>
      <c r="AA11">
        <v>9320</v>
      </c>
      <c r="AB11" t="s">
        <v>204</v>
      </c>
      <c r="AC11">
        <v>8</v>
      </c>
      <c r="AD11">
        <v>2021</v>
      </c>
      <c r="AE11">
        <v>32</v>
      </c>
      <c r="AF11" t="s">
        <v>205</v>
      </c>
      <c r="AG11">
        <v>-23</v>
      </c>
      <c r="AH11">
        <v>18.787594693905199</v>
      </c>
      <c r="AI11">
        <v>0.78281644557938601</v>
      </c>
      <c r="AJ11" t="s">
        <v>60</v>
      </c>
      <c r="AK11" t="s">
        <v>206</v>
      </c>
      <c r="AL11">
        <v>64</v>
      </c>
      <c r="AM11">
        <v>3</v>
      </c>
      <c r="AN11">
        <v>70</v>
      </c>
      <c r="AO11">
        <v>0.04</v>
      </c>
      <c r="AP11" t="s">
        <v>62</v>
      </c>
      <c r="AQ11" t="s">
        <v>62</v>
      </c>
    </row>
    <row r="12" spans="1:43" x14ac:dyDescent="0.2">
      <c r="A12">
        <v>550988</v>
      </c>
      <c r="B12" t="s">
        <v>207</v>
      </c>
      <c r="C12">
        <v>7.4640000000000004</v>
      </c>
      <c r="D12">
        <v>9347</v>
      </c>
      <c r="E12" t="s">
        <v>44</v>
      </c>
      <c r="F12" s="1">
        <v>44419</v>
      </c>
      <c r="G12">
        <v>331526598</v>
      </c>
      <c r="H12">
        <v>115</v>
      </c>
      <c r="I12">
        <v>110000000</v>
      </c>
      <c r="J12" t="s">
        <v>208</v>
      </c>
      <c r="K12" t="s">
        <v>65</v>
      </c>
      <c r="L12" t="s">
        <v>207</v>
      </c>
      <c r="M12" t="s">
        <v>209</v>
      </c>
      <c r="N12">
        <v>15.4831</v>
      </c>
      <c r="O12" t="s">
        <v>210</v>
      </c>
      <c r="P12" t="s">
        <v>211</v>
      </c>
      <c r="Q12" t="s">
        <v>212</v>
      </c>
      <c r="R12" t="s">
        <v>120</v>
      </c>
      <c r="S12" t="s">
        <v>71</v>
      </c>
      <c r="T12" t="s">
        <v>213</v>
      </c>
      <c r="U12" t="s">
        <v>214</v>
      </c>
      <c r="V12" t="s">
        <v>215</v>
      </c>
      <c r="W12" t="s">
        <v>216</v>
      </c>
      <c r="X12" t="s">
        <v>217</v>
      </c>
      <c r="Y12" t="s">
        <v>218</v>
      </c>
      <c r="Z12">
        <v>7.1</v>
      </c>
      <c r="AA12">
        <v>475822</v>
      </c>
      <c r="AB12" t="s">
        <v>219</v>
      </c>
      <c r="AC12">
        <v>8</v>
      </c>
      <c r="AD12">
        <v>2021</v>
      </c>
      <c r="AE12">
        <v>32</v>
      </c>
      <c r="AF12" t="s">
        <v>220</v>
      </c>
      <c r="AG12">
        <v>-21</v>
      </c>
      <c r="AH12">
        <v>19.619218602681901</v>
      </c>
      <c r="AI12">
        <v>0.89178266375827098</v>
      </c>
      <c r="AJ12" t="s">
        <v>60</v>
      </c>
      <c r="AK12" t="s">
        <v>221</v>
      </c>
      <c r="AL12">
        <v>70</v>
      </c>
      <c r="AM12">
        <v>4</v>
      </c>
      <c r="AN12">
        <v>80</v>
      </c>
      <c r="AO12">
        <v>0.05</v>
      </c>
      <c r="AP12" t="s">
        <v>62</v>
      </c>
      <c r="AQ12" t="s">
        <v>62</v>
      </c>
    </row>
    <row r="13" spans="1:43" x14ac:dyDescent="0.2">
      <c r="A13">
        <v>623135</v>
      </c>
      <c r="B13" t="s">
        <v>222</v>
      </c>
      <c r="C13">
        <v>6.9</v>
      </c>
      <c r="D13">
        <v>147</v>
      </c>
      <c r="E13" t="s">
        <v>44</v>
      </c>
      <c r="F13" s="1">
        <v>44419</v>
      </c>
      <c r="G13">
        <v>17970000</v>
      </c>
      <c r="H13">
        <v>113</v>
      </c>
      <c r="I13">
        <v>11400000</v>
      </c>
      <c r="J13" t="s">
        <v>223</v>
      </c>
      <c r="K13" t="s">
        <v>224</v>
      </c>
      <c r="L13" t="s">
        <v>225</v>
      </c>
      <c r="M13" t="s">
        <v>226</v>
      </c>
      <c r="N13">
        <v>3.6875</v>
      </c>
      <c r="O13" t="s">
        <v>227</v>
      </c>
      <c r="P13" t="s">
        <v>228</v>
      </c>
      <c r="Q13" t="s">
        <v>229</v>
      </c>
      <c r="R13" t="s">
        <v>230</v>
      </c>
      <c r="S13" t="s">
        <v>231</v>
      </c>
      <c r="T13" t="s">
        <v>232</v>
      </c>
      <c r="U13" t="s">
        <v>233</v>
      </c>
      <c r="V13" t="s">
        <v>234</v>
      </c>
      <c r="W13" t="s">
        <v>235</v>
      </c>
      <c r="X13" t="s">
        <v>236</v>
      </c>
      <c r="Y13" t="s">
        <v>237</v>
      </c>
      <c r="Z13">
        <v>6.2</v>
      </c>
      <c r="AA13">
        <v>3268</v>
      </c>
      <c r="AB13" t="s">
        <v>238</v>
      </c>
      <c r="AC13">
        <v>8</v>
      </c>
      <c r="AD13">
        <v>2021</v>
      </c>
      <c r="AE13">
        <v>32</v>
      </c>
      <c r="AF13" t="s">
        <v>239</v>
      </c>
      <c r="AG13">
        <v>-21</v>
      </c>
      <c r="AH13">
        <v>16.704214314407999</v>
      </c>
      <c r="AI13">
        <v>0.75928246883672901</v>
      </c>
      <c r="AJ13" t="s">
        <v>60</v>
      </c>
      <c r="AK13" t="s">
        <v>240</v>
      </c>
      <c r="AL13">
        <v>11</v>
      </c>
      <c r="AM13">
        <v>2</v>
      </c>
      <c r="AN13">
        <v>21</v>
      </c>
      <c r="AO13">
        <v>0.1</v>
      </c>
      <c r="AP13" t="s">
        <v>62</v>
      </c>
      <c r="AQ13" t="s">
        <v>62</v>
      </c>
    </row>
    <row r="14" spans="1:43" x14ac:dyDescent="0.2">
      <c r="A14">
        <v>482373</v>
      </c>
      <c r="B14" t="s">
        <v>241</v>
      </c>
      <c r="C14">
        <v>7</v>
      </c>
      <c r="D14">
        <v>2702</v>
      </c>
      <c r="E14" t="s">
        <v>44</v>
      </c>
      <c r="F14" s="1">
        <v>44420</v>
      </c>
      <c r="G14">
        <v>53785551</v>
      </c>
      <c r="H14">
        <v>98</v>
      </c>
      <c r="I14">
        <v>15000000</v>
      </c>
      <c r="J14" t="s">
        <v>242</v>
      </c>
      <c r="K14" t="s">
        <v>65</v>
      </c>
      <c r="L14" t="s">
        <v>241</v>
      </c>
      <c r="M14" t="s">
        <v>243</v>
      </c>
      <c r="N14">
        <v>4.4047000000000001</v>
      </c>
      <c r="O14" t="s">
        <v>244</v>
      </c>
      <c r="P14" t="s">
        <v>245</v>
      </c>
      <c r="Q14" t="s">
        <v>246</v>
      </c>
      <c r="R14" t="s">
        <v>120</v>
      </c>
      <c r="S14" t="s">
        <v>71</v>
      </c>
      <c r="T14" t="s">
        <v>247</v>
      </c>
      <c r="U14" t="s">
        <v>248</v>
      </c>
      <c r="V14" t="s">
        <v>249</v>
      </c>
      <c r="W14" t="s">
        <v>250</v>
      </c>
      <c r="X14" t="s">
        <v>251</v>
      </c>
      <c r="Y14" t="s">
        <v>252</v>
      </c>
      <c r="Z14">
        <v>6</v>
      </c>
      <c r="AA14">
        <v>79784</v>
      </c>
      <c r="AB14" t="s">
        <v>253</v>
      </c>
      <c r="AC14">
        <v>8</v>
      </c>
      <c r="AD14">
        <v>2021</v>
      </c>
      <c r="AE14">
        <v>32</v>
      </c>
      <c r="AF14" t="s">
        <v>254</v>
      </c>
      <c r="AG14">
        <v>-20</v>
      </c>
      <c r="AH14">
        <v>17.800515438880002</v>
      </c>
      <c r="AI14">
        <v>0.84764359232762199</v>
      </c>
      <c r="AJ14" t="s">
        <v>60</v>
      </c>
      <c r="AK14" t="s">
        <v>255</v>
      </c>
      <c r="AL14">
        <v>47</v>
      </c>
      <c r="AM14">
        <v>4</v>
      </c>
      <c r="AN14">
        <v>52</v>
      </c>
      <c r="AO14">
        <v>0.08</v>
      </c>
      <c r="AP14" t="s">
        <v>62</v>
      </c>
      <c r="AQ14" t="s">
        <v>62</v>
      </c>
    </row>
    <row r="15" spans="1:43" x14ac:dyDescent="0.2">
      <c r="A15">
        <v>592863</v>
      </c>
      <c r="B15" t="s">
        <v>256</v>
      </c>
      <c r="C15">
        <v>6.8</v>
      </c>
      <c r="D15">
        <v>442</v>
      </c>
      <c r="E15" t="s">
        <v>44</v>
      </c>
      <c r="F15" s="1">
        <v>44420</v>
      </c>
      <c r="G15">
        <v>31217372</v>
      </c>
      <c r="H15">
        <v>145</v>
      </c>
      <c r="I15">
        <v>55000000</v>
      </c>
      <c r="J15" t="s">
        <v>257</v>
      </c>
      <c r="K15" t="s">
        <v>65</v>
      </c>
      <c r="L15" t="s">
        <v>256</v>
      </c>
      <c r="M15" t="s">
        <v>258</v>
      </c>
      <c r="N15">
        <v>2.9832999999999998</v>
      </c>
      <c r="O15" t="s">
        <v>259</v>
      </c>
      <c r="P15" t="s">
        <v>260</v>
      </c>
      <c r="Q15" t="s">
        <v>261</v>
      </c>
      <c r="R15" t="s">
        <v>262</v>
      </c>
      <c r="S15" t="s">
        <v>71</v>
      </c>
      <c r="T15" t="s">
        <v>263</v>
      </c>
      <c r="U15" t="s">
        <v>264</v>
      </c>
      <c r="V15" t="s">
        <v>265</v>
      </c>
      <c r="W15" t="s">
        <v>266</v>
      </c>
      <c r="X15" t="s">
        <v>267</v>
      </c>
      <c r="Y15" t="s">
        <v>268</v>
      </c>
      <c r="Z15">
        <v>6.6</v>
      </c>
      <c r="AA15">
        <v>19025</v>
      </c>
      <c r="AB15" t="s">
        <v>269</v>
      </c>
      <c r="AC15">
        <v>8</v>
      </c>
      <c r="AD15">
        <v>2021</v>
      </c>
      <c r="AE15">
        <v>32</v>
      </c>
      <c r="AF15" t="s">
        <v>270</v>
      </c>
      <c r="AG15">
        <v>-20</v>
      </c>
      <c r="AH15">
        <v>17.2564853247322</v>
      </c>
      <c r="AI15">
        <v>0.821737396415819</v>
      </c>
      <c r="AJ15" t="s">
        <v>60</v>
      </c>
      <c r="AK15" t="s">
        <v>271</v>
      </c>
      <c r="AL15">
        <v>39</v>
      </c>
      <c r="AM15">
        <v>1</v>
      </c>
      <c r="AN15">
        <v>45</v>
      </c>
      <c r="AO15">
        <v>0.02</v>
      </c>
      <c r="AP15" t="s">
        <v>62</v>
      </c>
      <c r="AQ15" t="s">
        <v>62</v>
      </c>
    </row>
    <row r="16" spans="1:43" x14ac:dyDescent="0.2">
      <c r="A16">
        <v>788929</v>
      </c>
      <c r="B16" t="s">
        <v>272</v>
      </c>
      <c r="C16">
        <v>6.4</v>
      </c>
      <c r="D16">
        <v>961</v>
      </c>
      <c r="E16" t="s">
        <v>44</v>
      </c>
      <c r="F16" s="1">
        <v>44420</v>
      </c>
      <c r="G16">
        <v>3200000</v>
      </c>
      <c r="H16">
        <v>106</v>
      </c>
      <c r="I16">
        <v>5000000</v>
      </c>
      <c r="J16" t="s">
        <v>273</v>
      </c>
      <c r="K16" t="s">
        <v>274</v>
      </c>
      <c r="L16" t="s">
        <v>275</v>
      </c>
      <c r="M16" t="s">
        <v>276</v>
      </c>
      <c r="N16">
        <v>5.9756</v>
      </c>
      <c r="O16" t="s">
        <v>277</v>
      </c>
      <c r="P16" t="s">
        <v>278</v>
      </c>
      <c r="Q16" t="s">
        <v>279</v>
      </c>
      <c r="R16" t="s">
        <v>280</v>
      </c>
      <c r="S16" t="s">
        <v>281</v>
      </c>
      <c r="T16" t="s">
        <v>282</v>
      </c>
      <c r="U16" t="s">
        <v>283</v>
      </c>
      <c r="V16" t="s">
        <v>284</v>
      </c>
      <c r="W16" t="s">
        <v>285</v>
      </c>
      <c r="X16" t="s">
        <v>286</v>
      </c>
      <c r="Y16" t="s">
        <v>287</v>
      </c>
      <c r="Z16">
        <v>6.3</v>
      </c>
      <c r="AA16">
        <v>43610</v>
      </c>
      <c r="AB16" t="s">
        <v>288</v>
      </c>
      <c r="AC16">
        <v>8</v>
      </c>
      <c r="AD16">
        <v>2021</v>
      </c>
      <c r="AE16">
        <v>32</v>
      </c>
      <c r="AF16" t="s">
        <v>289</v>
      </c>
      <c r="AG16">
        <v>-20</v>
      </c>
      <c r="AH16">
        <v>14.9786616802699</v>
      </c>
      <c r="AI16">
        <v>0.71326960382237603</v>
      </c>
      <c r="AJ16" t="s">
        <v>60</v>
      </c>
      <c r="AK16" t="s">
        <v>290</v>
      </c>
      <c r="AL16">
        <v>30</v>
      </c>
      <c r="AM16">
        <v>3</v>
      </c>
      <c r="AN16">
        <v>74</v>
      </c>
      <c r="AO16">
        <v>0.04</v>
      </c>
      <c r="AP16" t="s">
        <v>62</v>
      </c>
      <c r="AQ16" t="s">
        <v>62</v>
      </c>
    </row>
    <row r="17" spans="1:43" hidden="1" x14ac:dyDescent="0.2">
      <c r="A17">
        <v>776503</v>
      </c>
      <c r="B17" t="s">
        <v>291</v>
      </c>
      <c r="C17">
        <v>7.9</v>
      </c>
      <c r="D17">
        <v>2424</v>
      </c>
      <c r="E17" t="s">
        <v>44</v>
      </c>
      <c r="F17" s="1">
        <v>44421</v>
      </c>
      <c r="G17">
        <v>1905058</v>
      </c>
      <c r="H17">
        <v>112</v>
      </c>
      <c r="I17">
        <v>10000000</v>
      </c>
      <c r="J17" t="s">
        <v>292</v>
      </c>
      <c r="K17" t="s">
        <v>65</v>
      </c>
      <c r="L17" t="s">
        <v>291</v>
      </c>
      <c r="M17" t="s">
        <v>293</v>
      </c>
      <c r="N17">
        <v>14.1746</v>
      </c>
      <c r="O17" t="s">
        <v>294</v>
      </c>
      <c r="P17" t="s">
        <v>295</v>
      </c>
      <c r="Q17" t="s">
        <v>296</v>
      </c>
      <c r="R17" t="s">
        <v>167</v>
      </c>
      <c r="S17" t="s">
        <v>297</v>
      </c>
      <c r="T17" t="s">
        <v>298</v>
      </c>
      <c r="U17" t="s">
        <v>299</v>
      </c>
      <c r="V17" t="s">
        <v>300</v>
      </c>
      <c r="W17" t="s">
        <v>301</v>
      </c>
      <c r="X17" t="s">
        <v>302</v>
      </c>
      <c r="Y17" t="s">
        <v>303</v>
      </c>
      <c r="Z17">
        <v>8</v>
      </c>
      <c r="AA17">
        <v>183894</v>
      </c>
      <c r="AB17" t="s">
        <v>304</v>
      </c>
      <c r="AC17">
        <v>8</v>
      </c>
      <c r="AD17">
        <v>2021</v>
      </c>
      <c r="AE17">
        <v>32</v>
      </c>
      <c r="AF17" t="s">
        <v>305</v>
      </c>
      <c r="AG17">
        <v>-19</v>
      </c>
      <c r="AH17">
        <v>14.460023537191899</v>
      </c>
      <c r="AI17">
        <v>0.72300117685959697</v>
      </c>
      <c r="AJ17" t="s">
        <v>60</v>
      </c>
      <c r="AK17" t="s">
        <v>306</v>
      </c>
      <c r="AL17">
        <v>15</v>
      </c>
      <c r="AM17">
        <v>24</v>
      </c>
      <c r="AN17">
        <v>57</v>
      </c>
      <c r="AO17">
        <v>0.42</v>
      </c>
      <c r="AP17" t="s">
        <v>191</v>
      </c>
      <c r="AQ17" t="s">
        <v>62</v>
      </c>
    </row>
    <row r="18" spans="1:43" x14ac:dyDescent="0.2">
      <c r="A18">
        <v>579047</v>
      </c>
      <c r="B18" t="s">
        <v>307</v>
      </c>
      <c r="C18">
        <v>6.5</v>
      </c>
      <c r="D18">
        <v>1869</v>
      </c>
      <c r="E18" t="s">
        <v>44</v>
      </c>
      <c r="F18" s="1">
        <v>44426</v>
      </c>
      <c r="G18">
        <v>18717947</v>
      </c>
      <c r="H18">
        <v>116</v>
      </c>
      <c r="I18">
        <v>68000000</v>
      </c>
      <c r="J18" t="s">
        <v>308</v>
      </c>
      <c r="K18" t="s">
        <v>65</v>
      </c>
      <c r="L18" t="s">
        <v>307</v>
      </c>
      <c r="M18" t="s">
        <v>309</v>
      </c>
      <c r="N18">
        <v>5.2976000000000001</v>
      </c>
      <c r="O18" t="s">
        <v>310</v>
      </c>
      <c r="P18" t="s">
        <v>311</v>
      </c>
      <c r="Q18" t="s">
        <v>312</v>
      </c>
      <c r="R18" t="s">
        <v>120</v>
      </c>
      <c r="S18" t="s">
        <v>71</v>
      </c>
      <c r="T18" t="s">
        <v>313</v>
      </c>
      <c r="U18" t="s">
        <v>314</v>
      </c>
      <c r="V18" t="s">
        <v>315</v>
      </c>
      <c r="W18" t="s">
        <v>314</v>
      </c>
      <c r="X18" t="s">
        <v>316</v>
      </c>
      <c r="Y18" t="s">
        <v>317</v>
      </c>
      <c r="Z18">
        <v>5.9</v>
      </c>
      <c r="AA18">
        <v>70000</v>
      </c>
      <c r="AB18" t="s">
        <v>318</v>
      </c>
      <c r="AC18">
        <v>8</v>
      </c>
      <c r="AD18">
        <v>2021</v>
      </c>
      <c r="AE18">
        <v>33</v>
      </c>
      <c r="AF18" t="s">
        <v>319</v>
      </c>
      <c r="AG18">
        <v>-14</v>
      </c>
      <c r="AH18">
        <v>16.7449934076209</v>
      </c>
      <c r="AI18">
        <v>1.1163328938413899</v>
      </c>
      <c r="AJ18" t="s">
        <v>60</v>
      </c>
      <c r="AK18" t="s">
        <v>320</v>
      </c>
      <c r="AL18">
        <v>50</v>
      </c>
      <c r="AM18">
        <v>3</v>
      </c>
      <c r="AN18">
        <v>61</v>
      </c>
      <c r="AO18">
        <v>0.05</v>
      </c>
      <c r="AP18" t="s">
        <v>62</v>
      </c>
      <c r="AQ18" t="s">
        <v>62</v>
      </c>
    </row>
    <row r="19" spans="1:43" x14ac:dyDescent="0.2">
      <c r="A19">
        <v>602463</v>
      </c>
      <c r="B19" t="s">
        <v>321</v>
      </c>
      <c r="C19">
        <v>6.9</v>
      </c>
      <c r="D19">
        <v>39</v>
      </c>
      <c r="E19" t="s">
        <v>44</v>
      </c>
      <c r="F19" s="1">
        <v>44426</v>
      </c>
      <c r="G19">
        <v>13000000</v>
      </c>
      <c r="H19">
        <v>94</v>
      </c>
      <c r="I19">
        <v>6144000</v>
      </c>
      <c r="J19" t="s">
        <v>322</v>
      </c>
      <c r="K19" t="s">
        <v>224</v>
      </c>
      <c r="L19" t="s">
        <v>323</v>
      </c>
      <c r="M19" t="s">
        <v>324</v>
      </c>
      <c r="N19">
        <v>3.1086</v>
      </c>
      <c r="O19" t="s">
        <v>325</v>
      </c>
      <c r="P19" t="s">
        <v>326</v>
      </c>
      <c r="Q19" t="s">
        <v>327</v>
      </c>
      <c r="R19" t="s">
        <v>230</v>
      </c>
      <c r="S19" t="s">
        <v>328</v>
      </c>
      <c r="T19" t="s">
        <v>329</v>
      </c>
      <c r="U19" t="s">
        <v>330</v>
      </c>
      <c r="V19" t="s">
        <v>331</v>
      </c>
      <c r="W19" t="s">
        <v>330</v>
      </c>
      <c r="X19" t="s">
        <v>332</v>
      </c>
      <c r="Y19" t="s">
        <v>237</v>
      </c>
      <c r="Z19">
        <v>6.3</v>
      </c>
      <c r="AA19">
        <v>1289</v>
      </c>
      <c r="AB19" t="s">
        <v>333</v>
      </c>
      <c r="AC19">
        <v>8</v>
      </c>
      <c r="AD19">
        <v>2021</v>
      </c>
      <c r="AE19">
        <v>33</v>
      </c>
      <c r="AF19" t="s">
        <v>334</v>
      </c>
      <c r="AG19">
        <v>-14</v>
      </c>
      <c r="AH19">
        <v>16.380459992348801</v>
      </c>
      <c r="AI19">
        <v>1.0920306661565899</v>
      </c>
      <c r="AJ19" t="s">
        <v>60</v>
      </c>
      <c r="AK19" t="s">
        <v>335</v>
      </c>
      <c r="AL19">
        <v>5</v>
      </c>
      <c r="AM19">
        <v>1</v>
      </c>
      <c r="AN19">
        <v>10</v>
      </c>
      <c r="AO19">
        <v>0.1</v>
      </c>
      <c r="AP19" t="s">
        <v>62</v>
      </c>
      <c r="AQ19" t="s">
        <v>62</v>
      </c>
    </row>
    <row r="20" spans="1:43" x14ac:dyDescent="0.2">
      <c r="A20">
        <v>758866</v>
      </c>
      <c r="B20" t="s">
        <v>336</v>
      </c>
      <c r="C20">
        <v>7.4</v>
      </c>
      <c r="D20">
        <v>1401</v>
      </c>
      <c r="E20" t="s">
        <v>44</v>
      </c>
      <c r="F20" s="1">
        <v>44426</v>
      </c>
      <c r="G20">
        <v>15356046</v>
      </c>
      <c r="H20">
        <v>179</v>
      </c>
      <c r="I20">
        <v>1300000</v>
      </c>
      <c r="J20" t="s">
        <v>337</v>
      </c>
      <c r="K20" t="s">
        <v>338</v>
      </c>
      <c r="L20" t="s">
        <v>339</v>
      </c>
      <c r="M20" t="s">
        <v>340</v>
      </c>
      <c r="N20">
        <v>3.7482000000000002</v>
      </c>
      <c r="O20" t="s">
        <v>341</v>
      </c>
      <c r="P20" t="s">
        <v>342</v>
      </c>
      <c r="Q20" t="s">
        <v>343</v>
      </c>
      <c r="R20" t="s">
        <v>344</v>
      </c>
      <c r="S20" t="s">
        <v>345</v>
      </c>
      <c r="T20" t="s">
        <v>346</v>
      </c>
      <c r="U20" t="s">
        <v>347</v>
      </c>
      <c r="V20" t="s">
        <v>348</v>
      </c>
      <c r="W20" t="s">
        <v>349</v>
      </c>
      <c r="X20" t="s">
        <v>350</v>
      </c>
      <c r="Y20" t="s">
        <v>351</v>
      </c>
      <c r="Z20">
        <v>7.5</v>
      </c>
      <c r="AA20">
        <v>74535</v>
      </c>
      <c r="AB20" t="s">
        <v>352</v>
      </c>
      <c r="AC20">
        <v>8</v>
      </c>
      <c r="AD20">
        <v>2021</v>
      </c>
      <c r="AE20">
        <v>33</v>
      </c>
      <c r="AF20" t="s">
        <v>353</v>
      </c>
      <c r="AG20">
        <v>-14</v>
      </c>
      <c r="AH20">
        <v>16.547019895790999</v>
      </c>
      <c r="AI20">
        <v>1.1031346597194001</v>
      </c>
      <c r="AJ20" t="s">
        <v>60</v>
      </c>
      <c r="AK20" t="s">
        <v>354</v>
      </c>
      <c r="AL20">
        <v>30</v>
      </c>
      <c r="AM20">
        <v>3</v>
      </c>
      <c r="AN20">
        <v>85</v>
      </c>
      <c r="AO20">
        <v>0.04</v>
      </c>
      <c r="AP20" t="s">
        <v>62</v>
      </c>
      <c r="AQ20" t="s">
        <v>62</v>
      </c>
    </row>
    <row r="21" spans="1:43" x14ac:dyDescent="0.2">
      <c r="A21">
        <v>565028</v>
      </c>
      <c r="B21" t="s">
        <v>355</v>
      </c>
      <c r="C21">
        <v>6</v>
      </c>
      <c r="D21">
        <v>1677</v>
      </c>
      <c r="E21" t="s">
        <v>44</v>
      </c>
      <c r="F21" s="1">
        <v>44433</v>
      </c>
      <c r="G21">
        <v>77411570</v>
      </c>
      <c r="H21">
        <v>91</v>
      </c>
      <c r="I21">
        <v>25000000</v>
      </c>
      <c r="J21" t="s">
        <v>356</v>
      </c>
      <c r="K21" t="s">
        <v>65</v>
      </c>
      <c r="L21" t="s">
        <v>355</v>
      </c>
      <c r="M21" t="s">
        <v>357</v>
      </c>
      <c r="N21">
        <v>12.174899999999999</v>
      </c>
      <c r="O21" t="s">
        <v>358</v>
      </c>
      <c r="P21" t="s">
        <v>359</v>
      </c>
      <c r="Q21" t="s">
        <v>360</v>
      </c>
      <c r="R21" t="s">
        <v>361</v>
      </c>
      <c r="S21" t="s">
        <v>362</v>
      </c>
      <c r="T21" t="s">
        <v>363</v>
      </c>
      <c r="U21" t="s">
        <v>364</v>
      </c>
      <c r="V21" t="s">
        <v>365</v>
      </c>
      <c r="W21" t="s">
        <v>366</v>
      </c>
      <c r="X21" t="s">
        <v>367</v>
      </c>
      <c r="Y21" t="s">
        <v>368</v>
      </c>
      <c r="Z21">
        <v>5.9</v>
      </c>
      <c r="AA21">
        <v>81753</v>
      </c>
      <c r="AB21" t="s">
        <v>369</v>
      </c>
      <c r="AC21">
        <v>8</v>
      </c>
      <c r="AD21">
        <v>2021</v>
      </c>
      <c r="AE21">
        <v>34</v>
      </c>
      <c r="AF21" t="s">
        <v>370</v>
      </c>
      <c r="AG21">
        <v>-7</v>
      </c>
      <c r="AH21">
        <v>18.164646823510498</v>
      </c>
      <c r="AI21">
        <v>2.2705808529388101</v>
      </c>
      <c r="AJ21" t="s">
        <v>60</v>
      </c>
      <c r="AK21" t="s">
        <v>371</v>
      </c>
      <c r="AL21">
        <v>51</v>
      </c>
      <c r="AM21">
        <v>0</v>
      </c>
      <c r="AN21">
        <v>55</v>
      </c>
      <c r="AO21">
        <v>0</v>
      </c>
      <c r="AP21" t="s">
        <v>62</v>
      </c>
      <c r="AQ21" t="s">
        <v>62</v>
      </c>
    </row>
    <row r="22" spans="1:43" x14ac:dyDescent="0.2">
      <c r="A22">
        <v>619778</v>
      </c>
      <c r="B22" t="s">
        <v>372</v>
      </c>
      <c r="C22">
        <v>6.8</v>
      </c>
      <c r="D22">
        <v>2494</v>
      </c>
      <c r="E22" t="s">
        <v>44</v>
      </c>
      <c r="F22" s="1">
        <v>44440</v>
      </c>
      <c r="G22">
        <v>34891791</v>
      </c>
      <c r="H22">
        <v>111</v>
      </c>
      <c r="I22">
        <v>40000000</v>
      </c>
      <c r="J22" t="s">
        <v>373</v>
      </c>
      <c r="K22" t="s">
        <v>65</v>
      </c>
      <c r="L22" t="s">
        <v>372</v>
      </c>
      <c r="M22" t="s">
        <v>374</v>
      </c>
      <c r="N22">
        <v>5.4981999999999998</v>
      </c>
      <c r="O22" t="s">
        <v>375</v>
      </c>
      <c r="P22" t="s">
        <v>376</v>
      </c>
      <c r="Q22" t="s">
        <v>377</v>
      </c>
      <c r="R22" t="s">
        <v>120</v>
      </c>
      <c r="S22" t="s">
        <v>71</v>
      </c>
      <c r="T22" t="s">
        <v>378</v>
      </c>
      <c r="U22" t="s">
        <v>379</v>
      </c>
      <c r="V22" t="s">
        <v>380</v>
      </c>
      <c r="W22" t="s">
        <v>381</v>
      </c>
      <c r="X22" t="s">
        <v>382</v>
      </c>
      <c r="Y22" t="s">
        <v>383</v>
      </c>
      <c r="Z22">
        <v>6.2</v>
      </c>
      <c r="AA22">
        <v>119431</v>
      </c>
      <c r="AB22" t="s">
        <v>384</v>
      </c>
      <c r="AC22">
        <v>9</v>
      </c>
      <c r="AD22">
        <v>2021</v>
      </c>
      <c r="AE22">
        <v>35</v>
      </c>
      <c r="AF22" t="s">
        <v>385</v>
      </c>
      <c r="AG22">
        <v>0</v>
      </c>
      <c r="AH22">
        <v>17.3677621732656</v>
      </c>
      <c r="AI22">
        <v>17.3677621732656</v>
      </c>
      <c r="AJ22" t="s">
        <v>60</v>
      </c>
      <c r="AK22" t="s">
        <v>386</v>
      </c>
      <c r="AL22">
        <v>50</v>
      </c>
      <c r="AM22">
        <v>4</v>
      </c>
      <c r="AN22">
        <v>55</v>
      </c>
      <c r="AO22">
        <v>7.0000000000000007E-2</v>
      </c>
      <c r="AP22" t="s">
        <v>62</v>
      </c>
      <c r="AQ22" t="s">
        <v>62</v>
      </c>
    </row>
    <row r="23" spans="1:43" hidden="1" x14ac:dyDescent="0.2">
      <c r="A23">
        <v>588228</v>
      </c>
      <c r="B23" t="s">
        <v>387</v>
      </c>
      <c r="C23">
        <v>7.5</v>
      </c>
      <c r="D23">
        <v>3869</v>
      </c>
      <c r="E23" t="s">
        <v>44</v>
      </c>
      <c r="F23" s="1">
        <v>44442</v>
      </c>
      <c r="G23">
        <v>14400000</v>
      </c>
      <c r="H23">
        <v>138</v>
      </c>
      <c r="I23">
        <v>200000000</v>
      </c>
      <c r="J23" t="s">
        <v>388</v>
      </c>
      <c r="K23" t="s">
        <v>65</v>
      </c>
      <c r="L23" t="s">
        <v>387</v>
      </c>
      <c r="M23" t="s">
        <v>389</v>
      </c>
      <c r="N23">
        <v>12.4382</v>
      </c>
      <c r="O23" t="s">
        <v>390</v>
      </c>
      <c r="P23" t="s">
        <v>391</v>
      </c>
      <c r="Q23" t="s">
        <v>392</v>
      </c>
      <c r="R23" t="s">
        <v>120</v>
      </c>
      <c r="S23" t="s">
        <v>71</v>
      </c>
      <c r="T23" t="s">
        <v>393</v>
      </c>
      <c r="U23" t="s">
        <v>394</v>
      </c>
      <c r="V23" t="s">
        <v>395</v>
      </c>
      <c r="W23" t="s">
        <v>396</v>
      </c>
      <c r="X23" t="s">
        <v>397</v>
      </c>
      <c r="Y23" t="s">
        <v>398</v>
      </c>
      <c r="Z23">
        <v>6.6</v>
      </c>
      <c r="AA23">
        <v>247359</v>
      </c>
      <c r="AB23" t="s">
        <v>399</v>
      </c>
      <c r="AC23">
        <v>9</v>
      </c>
      <c r="AD23">
        <v>2021</v>
      </c>
      <c r="AE23">
        <v>35</v>
      </c>
      <c r="AF23" t="s">
        <v>400</v>
      </c>
      <c r="AG23">
        <v>2</v>
      </c>
      <c r="AH23">
        <v>16.482738833990599</v>
      </c>
      <c r="AI23">
        <v>5.4942462779968899</v>
      </c>
      <c r="AJ23" t="s">
        <v>60</v>
      </c>
      <c r="AK23" t="s">
        <v>401</v>
      </c>
      <c r="AL23">
        <v>1</v>
      </c>
      <c r="AM23">
        <v>32</v>
      </c>
      <c r="AN23">
        <v>35</v>
      </c>
      <c r="AO23">
        <v>0.91</v>
      </c>
      <c r="AP23" t="s">
        <v>191</v>
      </c>
      <c r="AQ23" t="s">
        <v>62</v>
      </c>
    </row>
    <row r="24" spans="1:43" x14ac:dyDescent="0.2">
      <c r="A24">
        <v>663260</v>
      </c>
      <c r="B24" t="s">
        <v>402</v>
      </c>
      <c r="C24">
        <v>7.3</v>
      </c>
      <c r="D24">
        <v>1360</v>
      </c>
      <c r="E24" t="s">
        <v>44</v>
      </c>
      <c r="F24" s="1">
        <v>44447</v>
      </c>
      <c r="G24">
        <v>9738741</v>
      </c>
      <c r="H24">
        <v>130</v>
      </c>
      <c r="I24">
        <v>10722240</v>
      </c>
      <c r="J24" t="s">
        <v>403</v>
      </c>
      <c r="K24" t="s">
        <v>46</v>
      </c>
      <c r="L24" t="s">
        <v>404</v>
      </c>
      <c r="M24" t="s">
        <v>405</v>
      </c>
      <c r="N24">
        <v>14.0868</v>
      </c>
      <c r="O24" t="s">
        <v>406</v>
      </c>
      <c r="P24" t="s">
        <v>407</v>
      </c>
      <c r="Q24" t="s">
        <v>408</v>
      </c>
      <c r="R24" t="s">
        <v>409</v>
      </c>
      <c r="S24" t="s">
        <v>410</v>
      </c>
      <c r="T24" t="s">
        <v>411</v>
      </c>
      <c r="U24" t="s">
        <v>412</v>
      </c>
      <c r="V24" t="s">
        <v>413</v>
      </c>
      <c r="W24" t="s">
        <v>414</v>
      </c>
      <c r="X24" t="s">
        <v>415</v>
      </c>
      <c r="Y24" t="s">
        <v>416</v>
      </c>
      <c r="Z24">
        <v>7.2</v>
      </c>
      <c r="AA24">
        <v>18948</v>
      </c>
      <c r="AB24" t="s">
        <v>417</v>
      </c>
      <c r="AC24">
        <v>9</v>
      </c>
      <c r="AD24">
        <v>2021</v>
      </c>
      <c r="AE24">
        <v>36</v>
      </c>
      <c r="AF24" t="s">
        <v>418</v>
      </c>
      <c r="AG24">
        <v>7</v>
      </c>
      <c r="AH24">
        <v>16.0916225091662</v>
      </c>
      <c r="AI24">
        <v>2.0114528136457701</v>
      </c>
      <c r="AJ24" t="s">
        <v>60</v>
      </c>
      <c r="AK24" t="s">
        <v>419</v>
      </c>
      <c r="AL24">
        <v>16</v>
      </c>
      <c r="AM24">
        <v>2</v>
      </c>
      <c r="AN24">
        <v>36</v>
      </c>
      <c r="AO24">
        <v>0.06</v>
      </c>
      <c r="AP24" t="s">
        <v>62</v>
      </c>
      <c r="AQ24" t="s">
        <v>62</v>
      </c>
    </row>
    <row r="25" spans="1:43" x14ac:dyDescent="0.2">
      <c r="A25">
        <v>738652</v>
      </c>
      <c r="B25" t="s">
        <v>420</v>
      </c>
      <c r="C25">
        <v>6.3</v>
      </c>
      <c r="D25">
        <v>843</v>
      </c>
      <c r="E25" t="s">
        <v>44</v>
      </c>
      <c r="F25" s="1">
        <v>44448</v>
      </c>
      <c r="G25">
        <v>6807158</v>
      </c>
      <c r="H25">
        <v>108</v>
      </c>
      <c r="I25">
        <v>43500000</v>
      </c>
      <c r="J25" t="s">
        <v>421</v>
      </c>
      <c r="K25" t="s">
        <v>65</v>
      </c>
      <c r="L25" t="s">
        <v>420</v>
      </c>
      <c r="M25" t="s">
        <v>422</v>
      </c>
      <c r="N25">
        <v>61.902200000000001</v>
      </c>
      <c r="O25" t="s">
        <v>423</v>
      </c>
      <c r="P25" t="s">
        <v>424</v>
      </c>
      <c r="Q25" t="s">
        <v>425</v>
      </c>
      <c r="R25" t="s">
        <v>120</v>
      </c>
      <c r="S25" t="s">
        <v>71</v>
      </c>
      <c r="T25" t="s">
        <v>426</v>
      </c>
      <c r="U25" t="s">
        <v>427</v>
      </c>
      <c r="V25" t="s">
        <v>428</v>
      </c>
      <c r="W25" t="s">
        <v>429</v>
      </c>
      <c r="X25" t="s">
        <v>430</v>
      </c>
      <c r="Y25" t="s">
        <v>431</v>
      </c>
      <c r="Z25">
        <v>6.2</v>
      </c>
      <c r="AA25">
        <v>43568</v>
      </c>
      <c r="AB25" t="s">
        <v>432</v>
      </c>
      <c r="AC25">
        <v>9</v>
      </c>
      <c r="AD25">
        <v>2021</v>
      </c>
      <c r="AE25">
        <v>36</v>
      </c>
      <c r="AF25" t="s">
        <v>433</v>
      </c>
      <c r="AG25">
        <v>8</v>
      </c>
      <c r="AH25">
        <v>15.733485410464899</v>
      </c>
      <c r="AI25">
        <v>1.74816504560721</v>
      </c>
      <c r="AJ25" t="s">
        <v>60</v>
      </c>
      <c r="AK25" t="s">
        <v>434</v>
      </c>
      <c r="AL25">
        <v>37</v>
      </c>
      <c r="AM25">
        <v>8</v>
      </c>
      <c r="AN25">
        <v>47</v>
      </c>
      <c r="AO25">
        <v>0.17</v>
      </c>
      <c r="AP25" t="s">
        <v>62</v>
      </c>
      <c r="AQ25" t="s">
        <v>62</v>
      </c>
    </row>
    <row r="26" spans="1:43" x14ac:dyDescent="0.2">
      <c r="A26">
        <v>438631</v>
      </c>
      <c r="B26" t="s">
        <v>435</v>
      </c>
      <c r="C26">
        <v>7.7770000000000001</v>
      </c>
      <c r="D26">
        <v>14092</v>
      </c>
      <c r="E26" t="s">
        <v>44</v>
      </c>
      <c r="F26" s="1">
        <v>44454</v>
      </c>
      <c r="G26">
        <v>407573628</v>
      </c>
      <c r="H26">
        <v>155</v>
      </c>
      <c r="I26">
        <v>165000000</v>
      </c>
      <c r="J26" t="s">
        <v>436</v>
      </c>
      <c r="K26" t="s">
        <v>65</v>
      </c>
      <c r="L26" t="s">
        <v>435</v>
      </c>
      <c r="M26" t="s">
        <v>437</v>
      </c>
      <c r="N26">
        <v>15.979200000000001</v>
      </c>
      <c r="O26" t="s">
        <v>438</v>
      </c>
      <c r="P26" t="s">
        <v>439</v>
      </c>
      <c r="Q26" t="s">
        <v>440</v>
      </c>
      <c r="R26" t="s">
        <v>120</v>
      </c>
      <c r="S26" t="s">
        <v>441</v>
      </c>
      <c r="T26" t="s">
        <v>442</v>
      </c>
      <c r="U26" t="s">
        <v>443</v>
      </c>
      <c r="V26" t="s">
        <v>444</v>
      </c>
      <c r="W26" t="s">
        <v>445</v>
      </c>
      <c r="X26" t="s">
        <v>446</v>
      </c>
      <c r="Y26" t="s">
        <v>447</v>
      </c>
      <c r="Z26">
        <v>8</v>
      </c>
      <c r="AA26">
        <v>987090</v>
      </c>
      <c r="AB26" t="s">
        <v>448</v>
      </c>
      <c r="AC26">
        <v>9</v>
      </c>
      <c r="AD26">
        <v>2021</v>
      </c>
      <c r="AE26">
        <v>37</v>
      </c>
      <c r="AF26" t="s">
        <v>449</v>
      </c>
      <c r="AG26">
        <v>14</v>
      </c>
      <c r="AH26">
        <v>19.825732158986199</v>
      </c>
      <c r="AI26">
        <v>1.32171547726575</v>
      </c>
      <c r="AJ26" t="s">
        <v>60</v>
      </c>
      <c r="AK26" t="s">
        <v>450</v>
      </c>
      <c r="AL26">
        <v>75</v>
      </c>
      <c r="AM26">
        <v>1</v>
      </c>
      <c r="AN26">
        <v>111</v>
      </c>
      <c r="AO26">
        <v>0.01</v>
      </c>
      <c r="AP26" t="s">
        <v>62</v>
      </c>
      <c r="AQ26" t="s">
        <v>62</v>
      </c>
    </row>
    <row r="27" spans="1:43" x14ac:dyDescent="0.2">
      <c r="A27">
        <v>749274</v>
      </c>
      <c r="B27" t="s">
        <v>451</v>
      </c>
      <c r="C27">
        <v>6</v>
      </c>
      <c r="D27">
        <v>1075</v>
      </c>
      <c r="E27" t="s">
        <v>44</v>
      </c>
      <c r="F27" s="1">
        <v>44455</v>
      </c>
      <c r="G27">
        <v>16510734</v>
      </c>
      <c r="H27">
        <v>104</v>
      </c>
      <c r="I27">
        <v>33000000</v>
      </c>
      <c r="J27" t="s">
        <v>452</v>
      </c>
      <c r="K27" t="s">
        <v>65</v>
      </c>
      <c r="L27" t="s">
        <v>451</v>
      </c>
      <c r="M27" t="s">
        <v>453</v>
      </c>
      <c r="N27">
        <v>2.5438999999999998</v>
      </c>
      <c r="O27" t="s">
        <v>454</v>
      </c>
      <c r="P27" t="s">
        <v>455</v>
      </c>
      <c r="Q27" t="s">
        <v>456</v>
      </c>
      <c r="R27" t="s">
        <v>120</v>
      </c>
      <c r="S27" t="s">
        <v>297</v>
      </c>
      <c r="T27" t="s">
        <v>457</v>
      </c>
      <c r="U27" t="s">
        <v>458</v>
      </c>
      <c r="V27" t="s">
        <v>459</v>
      </c>
      <c r="W27" t="s">
        <v>460</v>
      </c>
      <c r="X27" t="s">
        <v>461</v>
      </c>
      <c r="Y27" t="s">
        <v>462</v>
      </c>
      <c r="Z27">
        <v>5.7</v>
      </c>
      <c r="AA27">
        <v>35978</v>
      </c>
      <c r="AB27" t="s">
        <v>463</v>
      </c>
      <c r="AC27">
        <v>9</v>
      </c>
      <c r="AD27">
        <v>2021</v>
      </c>
      <c r="AE27">
        <v>37</v>
      </c>
      <c r="AF27" t="s">
        <v>464</v>
      </c>
      <c r="AG27">
        <v>15</v>
      </c>
      <c r="AH27">
        <v>16.619521333379002</v>
      </c>
      <c r="AI27">
        <v>1.03872008333619</v>
      </c>
      <c r="AJ27" t="s">
        <v>60</v>
      </c>
      <c r="AK27" t="s">
        <v>465</v>
      </c>
      <c r="AL27">
        <v>28</v>
      </c>
      <c r="AM27">
        <v>6</v>
      </c>
      <c r="AN27">
        <v>40</v>
      </c>
      <c r="AO27">
        <v>0.15</v>
      </c>
      <c r="AP27" t="s">
        <v>62</v>
      </c>
      <c r="AQ27" t="s">
        <v>62</v>
      </c>
    </row>
    <row r="28" spans="1:43" x14ac:dyDescent="0.2">
      <c r="A28">
        <v>567690</v>
      </c>
      <c r="B28" t="s">
        <v>466</v>
      </c>
      <c r="C28">
        <v>6.2640000000000002</v>
      </c>
      <c r="D28">
        <v>351</v>
      </c>
      <c r="E28" t="s">
        <v>44</v>
      </c>
      <c r="F28" s="1">
        <v>44463</v>
      </c>
      <c r="G28">
        <v>19133454</v>
      </c>
      <c r="H28">
        <v>137</v>
      </c>
      <c r="I28">
        <v>27500000</v>
      </c>
      <c r="J28" t="s">
        <v>467</v>
      </c>
      <c r="K28" t="s">
        <v>65</v>
      </c>
      <c r="L28" t="s">
        <v>466</v>
      </c>
      <c r="M28" t="s">
        <v>468</v>
      </c>
      <c r="N28">
        <v>3.7951000000000001</v>
      </c>
      <c r="O28" t="s">
        <v>469</v>
      </c>
      <c r="P28" t="s">
        <v>342</v>
      </c>
      <c r="Q28" t="s">
        <v>470</v>
      </c>
      <c r="R28" t="s">
        <v>471</v>
      </c>
      <c r="S28" t="s">
        <v>71</v>
      </c>
      <c r="T28" t="s">
        <v>472</v>
      </c>
      <c r="U28" t="s">
        <v>473</v>
      </c>
      <c r="V28" t="s">
        <v>474</v>
      </c>
      <c r="W28" t="s">
        <v>475</v>
      </c>
      <c r="X28" t="s">
        <v>476</v>
      </c>
      <c r="Y28" t="s">
        <v>477</v>
      </c>
      <c r="Z28">
        <v>6.1</v>
      </c>
      <c r="AA28">
        <v>20581</v>
      </c>
      <c r="AB28" t="s">
        <v>478</v>
      </c>
      <c r="AC28">
        <v>9</v>
      </c>
      <c r="AD28">
        <v>2021</v>
      </c>
      <c r="AE28">
        <v>38</v>
      </c>
      <c r="AF28" t="s">
        <v>479</v>
      </c>
      <c r="AG28">
        <v>23</v>
      </c>
      <c r="AH28">
        <v>16.7669489314864</v>
      </c>
      <c r="AI28">
        <v>0.69862287214526997</v>
      </c>
      <c r="AJ28" t="s">
        <v>60</v>
      </c>
      <c r="AK28" t="s">
        <v>480</v>
      </c>
      <c r="AL28">
        <v>27</v>
      </c>
      <c r="AM28">
        <v>4</v>
      </c>
      <c r="AN28">
        <v>42</v>
      </c>
      <c r="AO28">
        <v>0.1</v>
      </c>
      <c r="AP28" t="s">
        <v>62</v>
      </c>
      <c r="AQ28" t="s">
        <v>62</v>
      </c>
    </row>
    <row r="29" spans="1:43" x14ac:dyDescent="0.2">
      <c r="A29">
        <v>370172</v>
      </c>
      <c r="B29" t="s">
        <v>481</v>
      </c>
      <c r="C29">
        <v>7.3529999999999998</v>
      </c>
      <c r="D29">
        <v>6746</v>
      </c>
      <c r="E29" t="s">
        <v>44</v>
      </c>
      <c r="F29" s="1">
        <v>44468</v>
      </c>
      <c r="G29">
        <v>774153024</v>
      </c>
      <c r="H29">
        <v>163</v>
      </c>
      <c r="I29">
        <v>250000000</v>
      </c>
      <c r="J29" t="s">
        <v>482</v>
      </c>
      <c r="K29" t="s">
        <v>65</v>
      </c>
      <c r="L29" t="s">
        <v>481</v>
      </c>
      <c r="M29" t="s">
        <v>483</v>
      </c>
      <c r="N29">
        <v>8.5167000000000002</v>
      </c>
      <c r="O29" t="s">
        <v>484</v>
      </c>
      <c r="P29" t="s">
        <v>485</v>
      </c>
      <c r="Q29" t="s">
        <v>486</v>
      </c>
      <c r="R29" t="s">
        <v>487</v>
      </c>
      <c r="S29" t="s">
        <v>488</v>
      </c>
      <c r="T29" t="s">
        <v>489</v>
      </c>
      <c r="U29" t="s">
        <v>490</v>
      </c>
      <c r="V29" t="s">
        <v>491</v>
      </c>
      <c r="W29" t="s">
        <v>492</v>
      </c>
      <c r="X29" t="s">
        <v>493</v>
      </c>
      <c r="Y29" t="s">
        <v>447</v>
      </c>
      <c r="Z29">
        <v>7.3</v>
      </c>
      <c r="AA29">
        <v>475300</v>
      </c>
      <c r="AB29" t="s">
        <v>494</v>
      </c>
      <c r="AC29">
        <v>9</v>
      </c>
      <c r="AD29">
        <v>2021</v>
      </c>
      <c r="AE29">
        <v>39</v>
      </c>
      <c r="AF29" t="s">
        <v>495</v>
      </c>
      <c r="AG29">
        <v>28</v>
      </c>
      <c r="AH29">
        <v>20.467280118730901</v>
      </c>
      <c r="AI29">
        <v>0.70576827995623903</v>
      </c>
      <c r="AJ29" t="s">
        <v>60</v>
      </c>
      <c r="AK29" t="s">
        <v>496</v>
      </c>
      <c r="AL29">
        <v>65</v>
      </c>
      <c r="AM29">
        <v>1</v>
      </c>
      <c r="AN29">
        <v>79</v>
      </c>
      <c r="AO29">
        <v>0.01</v>
      </c>
      <c r="AP29" t="s">
        <v>62</v>
      </c>
      <c r="AQ29" t="s">
        <v>62</v>
      </c>
    </row>
    <row r="30" spans="1:43" x14ac:dyDescent="0.2">
      <c r="A30">
        <v>580489</v>
      </c>
      <c r="B30" t="s">
        <v>497</v>
      </c>
      <c r="C30">
        <v>6.8</v>
      </c>
      <c r="D30">
        <v>10862</v>
      </c>
      <c r="E30" t="s">
        <v>44</v>
      </c>
      <c r="F30" s="1">
        <v>44469</v>
      </c>
      <c r="G30">
        <v>506863592</v>
      </c>
      <c r="H30">
        <v>97</v>
      </c>
      <c r="I30">
        <v>110000000</v>
      </c>
      <c r="J30" t="s">
        <v>498</v>
      </c>
      <c r="K30" t="s">
        <v>65</v>
      </c>
      <c r="L30" t="s">
        <v>497</v>
      </c>
      <c r="M30" t="s">
        <v>499</v>
      </c>
      <c r="N30">
        <v>8.8058999999999994</v>
      </c>
      <c r="O30" t="s">
        <v>500</v>
      </c>
      <c r="P30" t="s">
        <v>501</v>
      </c>
      <c r="Q30" t="s">
        <v>502</v>
      </c>
      <c r="R30" t="s">
        <v>120</v>
      </c>
      <c r="S30" t="s">
        <v>503</v>
      </c>
      <c r="T30" t="s">
        <v>504</v>
      </c>
      <c r="U30" t="s">
        <v>505</v>
      </c>
      <c r="V30" t="s">
        <v>506</v>
      </c>
      <c r="W30" t="s">
        <v>507</v>
      </c>
      <c r="X30" t="s">
        <v>508</v>
      </c>
      <c r="Y30" t="s">
        <v>509</v>
      </c>
      <c r="Z30">
        <v>5.9</v>
      </c>
      <c r="AA30">
        <v>296177</v>
      </c>
      <c r="AB30" t="s">
        <v>510</v>
      </c>
      <c r="AC30">
        <v>9</v>
      </c>
      <c r="AD30">
        <v>2021</v>
      </c>
      <c r="AE30">
        <v>39</v>
      </c>
      <c r="AF30" t="s">
        <v>511</v>
      </c>
      <c r="AG30">
        <v>29</v>
      </c>
      <c r="AH30">
        <v>20.043752478018401</v>
      </c>
      <c r="AI30">
        <v>0.66812508260061498</v>
      </c>
      <c r="AJ30" t="s">
        <v>60</v>
      </c>
      <c r="AK30" t="s">
        <v>512</v>
      </c>
      <c r="AL30">
        <v>61</v>
      </c>
      <c r="AM30">
        <v>1</v>
      </c>
      <c r="AN30">
        <v>66</v>
      </c>
      <c r="AO30">
        <v>0.02</v>
      </c>
      <c r="AP30" t="s">
        <v>62</v>
      </c>
      <c r="AQ30" t="s">
        <v>62</v>
      </c>
    </row>
    <row r="31" spans="1:43" x14ac:dyDescent="0.2">
      <c r="A31">
        <v>779029</v>
      </c>
      <c r="B31" t="s">
        <v>513</v>
      </c>
      <c r="C31">
        <v>6.1539999999999999</v>
      </c>
      <c r="D31">
        <v>130</v>
      </c>
      <c r="E31" t="s">
        <v>44</v>
      </c>
      <c r="F31" s="1">
        <v>44469</v>
      </c>
      <c r="G31">
        <v>902540935</v>
      </c>
      <c r="H31">
        <v>178</v>
      </c>
      <c r="I31">
        <v>200000000</v>
      </c>
      <c r="J31" t="s">
        <v>514</v>
      </c>
      <c r="K31" t="s">
        <v>515</v>
      </c>
      <c r="L31" t="s">
        <v>516</v>
      </c>
      <c r="M31" t="s">
        <v>517</v>
      </c>
      <c r="N31">
        <v>4.5270000000000001</v>
      </c>
      <c r="O31" t="s">
        <v>518</v>
      </c>
      <c r="P31" t="s">
        <v>519</v>
      </c>
      <c r="Q31" t="s">
        <v>520</v>
      </c>
      <c r="R31" t="s">
        <v>521</v>
      </c>
      <c r="S31" t="s">
        <v>441</v>
      </c>
      <c r="T31" t="s">
        <v>522</v>
      </c>
      <c r="U31" t="s">
        <v>523</v>
      </c>
      <c r="V31" t="s">
        <v>524</v>
      </c>
      <c r="W31" t="s">
        <v>525</v>
      </c>
      <c r="X31" t="s">
        <v>526</v>
      </c>
      <c r="Y31" t="s">
        <v>527</v>
      </c>
      <c r="Z31">
        <v>5.5</v>
      </c>
      <c r="AA31">
        <v>4716</v>
      </c>
      <c r="AB31" t="s">
        <v>528</v>
      </c>
      <c r="AC31">
        <v>9</v>
      </c>
      <c r="AD31">
        <v>2021</v>
      </c>
      <c r="AE31">
        <v>39</v>
      </c>
      <c r="AF31" t="s">
        <v>529</v>
      </c>
      <c r="AG31">
        <v>29</v>
      </c>
      <c r="AH31">
        <v>20.620724605591398</v>
      </c>
      <c r="AI31">
        <v>0.68735748685304598</v>
      </c>
      <c r="AJ31" t="s">
        <v>60</v>
      </c>
      <c r="AK31" t="s">
        <v>530</v>
      </c>
      <c r="AL31">
        <v>10</v>
      </c>
      <c r="AM31">
        <v>1</v>
      </c>
      <c r="AN31">
        <v>24</v>
      </c>
      <c r="AO31">
        <v>0.04</v>
      </c>
      <c r="AP31" t="s">
        <v>62</v>
      </c>
      <c r="AQ31" t="s">
        <v>62</v>
      </c>
    </row>
    <row r="32" spans="1:43" hidden="1" x14ac:dyDescent="0.2">
      <c r="A32">
        <v>785663</v>
      </c>
      <c r="B32" t="s">
        <v>531</v>
      </c>
      <c r="C32">
        <v>7.3</v>
      </c>
      <c r="D32">
        <v>620</v>
      </c>
      <c r="E32" t="s">
        <v>44</v>
      </c>
      <c r="F32" s="1">
        <v>44470</v>
      </c>
      <c r="G32">
        <v>77463</v>
      </c>
      <c r="H32">
        <v>99</v>
      </c>
      <c r="I32">
        <v>1500000</v>
      </c>
      <c r="J32" t="s">
        <v>532</v>
      </c>
      <c r="K32" t="s">
        <v>65</v>
      </c>
      <c r="L32" t="s">
        <v>531</v>
      </c>
      <c r="M32" t="s">
        <v>533</v>
      </c>
      <c r="N32">
        <v>6.4870000000000001</v>
      </c>
      <c r="O32" t="s">
        <v>534</v>
      </c>
      <c r="P32" t="s">
        <v>535</v>
      </c>
      <c r="Q32" t="s">
        <v>536</v>
      </c>
      <c r="R32" t="s">
        <v>120</v>
      </c>
      <c r="S32" t="s">
        <v>503</v>
      </c>
      <c r="T32" t="s">
        <v>537</v>
      </c>
      <c r="U32" t="s">
        <v>538</v>
      </c>
      <c r="V32" t="s">
        <v>539</v>
      </c>
      <c r="W32" t="s">
        <v>538</v>
      </c>
      <c r="X32" t="s">
        <v>540</v>
      </c>
      <c r="Y32" t="s">
        <v>541</v>
      </c>
      <c r="Z32">
        <v>7.3</v>
      </c>
      <c r="AA32">
        <v>43224</v>
      </c>
      <c r="AB32" t="s">
        <v>542</v>
      </c>
      <c r="AC32">
        <v>10</v>
      </c>
      <c r="AD32">
        <v>2021</v>
      </c>
      <c r="AE32">
        <v>39</v>
      </c>
      <c r="AF32" t="s">
        <v>543</v>
      </c>
      <c r="AG32">
        <v>30</v>
      </c>
      <c r="AH32">
        <v>11.257568591291299</v>
      </c>
      <c r="AI32">
        <v>0.36314737391262403</v>
      </c>
      <c r="AJ32" t="s">
        <v>60</v>
      </c>
      <c r="AK32" t="s">
        <v>544</v>
      </c>
      <c r="AL32">
        <v>5</v>
      </c>
      <c r="AM32">
        <v>10</v>
      </c>
      <c r="AN32">
        <v>25</v>
      </c>
      <c r="AO32">
        <v>0.4</v>
      </c>
      <c r="AP32" t="s">
        <v>191</v>
      </c>
      <c r="AQ32" t="s">
        <v>62</v>
      </c>
    </row>
    <row r="33" spans="1:43" x14ac:dyDescent="0.2">
      <c r="A33">
        <v>655082</v>
      </c>
      <c r="B33" t="s">
        <v>545</v>
      </c>
      <c r="C33">
        <v>6.3</v>
      </c>
      <c r="D33">
        <v>701</v>
      </c>
      <c r="E33" t="s">
        <v>44</v>
      </c>
      <c r="F33" s="1">
        <v>44476</v>
      </c>
      <c r="G33">
        <v>13000000</v>
      </c>
      <c r="H33">
        <v>108</v>
      </c>
      <c r="I33">
        <v>26000000</v>
      </c>
      <c r="J33" t="s">
        <v>546</v>
      </c>
      <c r="K33" t="s">
        <v>46</v>
      </c>
      <c r="L33" t="s">
        <v>545</v>
      </c>
      <c r="M33" t="s">
        <v>547</v>
      </c>
      <c r="N33">
        <v>2.8149999999999999</v>
      </c>
      <c r="O33" t="s">
        <v>548</v>
      </c>
      <c r="P33" t="s">
        <v>549</v>
      </c>
      <c r="Q33" t="s">
        <v>550</v>
      </c>
      <c r="R33" t="s">
        <v>551</v>
      </c>
      <c r="S33" t="s">
        <v>53</v>
      </c>
      <c r="T33" t="s">
        <v>552</v>
      </c>
      <c r="U33" t="s">
        <v>553</v>
      </c>
      <c r="V33" t="s">
        <v>554</v>
      </c>
      <c r="W33" t="s">
        <v>555</v>
      </c>
      <c r="X33" t="s">
        <v>556</v>
      </c>
      <c r="Y33" t="s">
        <v>557</v>
      </c>
      <c r="Z33">
        <v>6.2</v>
      </c>
      <c r="AA33">
        <v>8760</v>
      </c>
      <c r="AB33" t="s">
        <v>558</v>
      </c>
      <c r="AC33">
        <v>10</v>
      </c>
      <c r="AD33">
        <v>2021</v>
      </c>
      <c r="AE33">
        <v>40</v>
      </c>
      <c r="AF33" t="s">
        <v>559</v>
      </c>
      <c r="AG33">
        <v>36</v>
      </c>
      <c r="AH33">
        <v>16.380459992348801</v>
      </c>
      <c r="AI33">
        <v>0.44271513492834802</v>
      </c>
      <c r="AJ33" t="s">
        <v>60</v>
      </c>
      <c r="AK33" t="s">
        <v>560</v>
      </c>
      <c r="AL33">
        <v>26</v>
      </c>
      <c r="AM33">
        <v>6</v>
      </c>
      <c r="AN33">
        <v>46</v>
      </c>
      <c r="AO33">
        <v>0.13</v>
      </c>
      <c r="AP33" t="s">
        <v>62</v>
      </c>
      <c r="AQ33" t="s">
        <v>62</v>
      </c>
    </row>
    <row r="34" spans="1:43" x14ac:dyDescent="0.2">
      <c r="A34">
        <v>592695</v>
      </c>
      <c r="B34" t="s">
        <v>561</v>
      </c>
      <c r="C34">
        <v>6.3029999999999999</v>
      </c>
      <c r="D34">
        <v>726</v>
      </c>
      <c r="E34" t="s">
        <v>44</v>
      </c>
      <c r="F34" s="1">
        <v>44477</v>
      </c>
      <c r="G34">
        <v>393824</v>
      </c>
      <c r="H34">
        <v>108</v>
      </c>
      <c r="I34">
        <v>1800000</v>
      </c>
      <c r="J34" t="s">
        <v>562</v>
      </c>
      <c r="K34" t="s">
        <v>563</v>
      </c>
      <c r="L34" t="s">
        <v>561</v>
      </c>
      <c r="M34" t="s">
        <v>564</v>
      </c>
      <c r="N34">
        <v>10.375299999999999</v>
      </c>
      <c r="O34" t="s">
        <v>565</v>
      </c>
      <c r="P34" t="s">
        <v>342</v>
      </c>
      <c r="Q34" t="s">
        <v>566</v>
      </c>
      <c r="R34" t="s">
        <v>567</v>
      </c>
      <c r="S34" t="s">
        <v>568</v>
      </c>
      <c r="T34" t="s">
        <v>569</v>
      </c>
      <c r="U34" t="s">
        <v>570</v>
      </c>
      <c r="V34" t="s">
        <v>571</v>
      </c>
      <c r="W34" t="s">
        <v>572</v>
      </c>
      <c r="X34" t="s">
        <v>573</v>
      </c>
      <c r="Y34" t="s">
        <v>574</v>
      </c>
      <c r="Z34">
        <v>6.3</v>
      </c>
      <c r="AA34">
        <v>25602</v>
      </c>
      <c r="AB34" t="s">
        <v>575</v>
      </c>
      <c r="AC34">
        <v>10</v>
      </c>
      <c r="AD34">
        <v>2021</v>
      </c>
      <c r="AE34">
        <v>40</v>
      </c>
      <c r="AF34" t="s">
        <v>576</v>
      </c>
      <c r="AG34">
        <v>37</v>
      </c>
      <c r="AH34">
        <v>12.883661927174099</v>
      </c>
      <c r="AI34">
        <v>0.339043734925636</v>
      </c>
      <c r="AJ34" t="s">
        <v>60</v>
      </c>
      <c r="AK34" t="s">
        <v>577</v>
      </c>
      <c r="AL34">
        <v>12</v>
      </c>
      <c r="AM34">
        <v>7</v>
      </c>
      <c r="AN34">
        <v>52</v>
      </c>
      <c r="AO34">
        <v>0.13</v>
      </c>
      <c r="AP34" t="s">
        <v>62</v>
      </c>
      <c r="AQ34" t="s">
        <v>62</v>
      </c>
    </row>
    <row r="35" spans="1:43" x14ac:dyDescent="0.2">
      <c r="A35">
        <v>568124</v>
      </c>
      <c r="B35" t="s">
        <v>578</v>
      </c>
      <c r="C35">
        <v>7.6</v>
      </c>
      <c r="D35">
        <v>9913</v>
      </c>
      <c r="E35" t="s">
        <v>44</v>
      </c>
      <c r="F35" s="1">
        <v>44482</v>
      </c>
      <c r="G35">
        <v>261292688</v>
      </c>
      <c r="H35">
        <v>102</v>
      </c>
      <c r="I35">
        <v>150000000</v>
      </c>
      <c r="J35" t="s">
        <v>579</v>
      </c>
      <c r="K35" t="s">
        <v>65</v>
      </c>
      <c r="L35" t="s">
        <v>578</v>
      </c>
      <c r="M35" t="s">
        <v>580</v>
      </c>
      <c r="N35">
        <v>13.0114</v>
      </c>
      <c r="O35" t="s">
        <v>581</v>
      </c>
      <c r="P35" t="s">
        <v>582</v>
      </c>
      <c r="Q35" t="s">
        <v>583</v>
      </c>
      <c r="R35" t="s">
        <v>120</v>
      </c>
      <c r="S35" t="s">
        <v>297</v>
      </c>
      <c r="T35" t="s">
        <v>584</v>
      </c>
      <c r="U35" t="s">
        <v>585</v>
      </c>
      <c r="W35" t="s">
        <v>586</v>
      </c>
      <c r="X35" t="s">
        <v>587</v>
      </c>
      <c r="Y35" t="s">
        <v>588</v>
      </c>
      <c r="Z35">
        <v>7.2</v>
      </c>
      <c r="AA35">
        <v>289187</v>
      </c>
      <c r="AB35" t="s">
        <v>589</v>
      </c>
      <c r="AC35">
        <v>10</v>
      </c>
      <c r="AD35">
        <v>2021</v>
      </c>
      <c r="AE35">
        <v>41</v>
      </c>
      <c r="AF35" t="s">
        <v>590</v>
      </c>
      <c r="AG35">
        <v>42</v>
      </c>
      <c r="AH35">
        <v>19.381151750765302</v>
      </c>
      <c r="AI35">
        <v>0.45072445932012301</v>
      </c>
      <c r="AJ35" t="s">
        <v>60</v>
      </c>
      <c r="AK35" t="s">
        <v>591</v>
      </c>
      <c r="AL35">
        <v>90</v>
      </c>
      <c r="AM35">
        <v>2</v>
      </c>
      <c r="AN35">
        <v>100</v>
      </c>
      <c r="AO35">
        <v>0.02</v>
      </c>
      <c r="AP35" t="s">
        <v>62</v>
      </c>
      <c r="AQ35" t="s">
        <v>62</v>
      </c>
    </row>
    <row r="36" spans="1:43" x14ac:dyDescent="0.2">
      <c r="A36">
        <v>617653</v>
      </c>
      <c r="B36" t="s">
        <v>592</v>
      </c>
      <c r="C36">
        <v>7.4139999999999997</v>
      </c>
      <c r="D36">
        <v>3651</v>
      </c>
      <c r="E36" t="s">
        <v>44</v>
      </c>
      <c r="F36" s="1">
        <v>44482</v>
      </c>
      <c r="G36">
        <v>30552111</v>
      </c>
      <c r="H36">
        <v>153</v>
      </c>
      <c r="I36">
        <v>100000000</v>
      </c>
      <c r="J36" t="s">
        <v>593</v>
      </c>
      <c r="K36" t="s">
        <v>65</v>
      </c>
      <c r="L36" t="s">
        <v>592</v>
      </c>
      <c r="M36" t="s">
        <v>594</v>
      </c>
      <c r="N36">
        <v>5.4836999999999998</v>
      </c>
      <c r="O36" t="s">
        <v>595</v>
      </c>
      <c r="P36" t="s">
        <v>596</v>
      </c>
      <c r="Q36" t="s">
        <v>597</v>
      </c>
      <c r="R36" t="s">
        <v>120</v>
      </c>
      <c r="S36" t="s">
        <v>598</v>
      </c>
      <c r="T36" t="s">
        <v>599</v>
      </c>
      <c r="U36" t="s">
        <v>600</v>
      </c>
      <c r="V36" t="s">
        <v>601</v>
      </c>
      <c r="W36" t="s">
        <v>602</v>
      </c>
      <c r="X36" t="s">
        <v>603</v>
      </c>
      <c r="Y36" t="s">
        <v>604</v>
      </c>
      <c r="Z36">
        <v>7.3</v>
      </c>
      <c r="AA36">
        <v>200581</v>
      </c>
      <c r="AB36" t="s">
        <v>605</v>
      </c>
      <c r="AC36">
        <v>10</v>
      </c>
      <c r="AD36">
        <v>2021</v>
      </c>
      <c r="AE36">
        <v>41</v>
      </c>
      <c r="AF36" t="s">
        <v>606</v>
      </c>
      <c r="AG36">
        <v>42</v>
      </c>
      <c r="AH36">
        <v>17.234944373761799</v>
      </c>
      <c r="AI36">
        <v>0.40081265985492698</v>
      </c>
      <c r="AJ36" t="s">
        <v>60</v>
      </c>
      <c r="AK36" t="s">
        <v>607</v>
      </c>
      <c r="AL36">
        <v>49</v>
      </c>
      <c r="AM36">
        <v>1</v>
      </c>
      <c r="AN36">
        <v>59</v>
      </c>
      <c r="AO36">
        <v>0.02</v>
      </c>
      <c r="AP36" t="s">
        <v>62</v>
      </c>
      <c r="AQ36" t="s">
        <v>62</v>
      </c>
    </row>
    <row r="37" spans="1:43" x14ac:dyDescent="0.2">
      <c r="A37">
        <v>610253</v>
      </c>
      <c r="B37" t="s">
        <v>608</v>
      </c>
      <c r="C37">
        <v>6.4</v>
      </c>
      <c r="D37">
        <v>2813</v>
      </c>
      <c r="E37" t="s">
        <v>44</v>
      </c>
      <c r="F37" s="1">
        <v>44483</v>
      </c>
      <c r="G37">
        <v>133423964</v>
      </c>
      <c r="H37">
        <v>105</v>
      </c>
      <c r="I37">
        <v>20000000</v>
      </c>
      <c r="J37" t="s">
        <v>609</v>
      </c>
      <c r="K37" t="s">
        <v>65</v>
      </c>
      <c r="L37" t="s">
        <v>608</v>
      </c>
      <c r="M37" t="s">
        <v>610</v>
      </c>
      <c r="N37">
        <v>4.2925000000000004</v>
      </c>
      <c r="O37" t="s">
        <v>611</v>
      </c>
      <c r="P37" t="s">
        <v>359</v>
      </c>
      <c r="Q37" t="s">
        <v>612</v>
      </c>
      <c r="R37" t="s">
        <v>120</v>
      </c>
      <c r="S37" t="s">
        <v>71</v>
      </c>
      <c r="T37" t="s">
        <v>613</v>
      </c>
      <c r="U37" t="s">
        <v>614</v>
      </c>
      <c r="V37" t="s">
        <v>615</v>
      </c>
      <c r="W37" t="s">
        <v>616</v>
      </c>
      <c r="X37" t="s">
        <v>617</v>
      </c>
      <c r="Y37" t="s">
        <v>618</v>
      </c>
      <c r="Z37">
        <v>5.5</v>
      </c>
      <c r="AA37">
        <v>106562</v>
      </c>
      <c r="AB37" t="s">
        <v>619</v>
      </c>
      <c r="AC37">
        <v>10</v>
      </c>
      <c r="AD37">
        <v>2021</v>
      </c>
      <c r="AE37">
        <v>41</v>
      </c>
      <c r="AF37" t="s">
        <v>620</v>
      </c>
      <c r="AG37">
        <v>43</v>
      </c>
      <c r="AH37">
        <v>18.709042322987202</v>
      </c>
      <c r="AI37">
        <v>0.42520550734061902</v>
      </c>
      <c r="AJ37" t="s">
        <v>60</v>
      </c>
      <c r="AK37" t="s">
        <v>621</v>
      </c>
      <c r="AL37">
        <v>60</v>
      </c>
      <c r="AM37">
        <v>3</v>
      </c>
      <c r="AN37">
        <v>69</v>
      </c>
      <c r="AO37">
        <v>0.04</v>
      </c>
      <c r="AP37" t="s">
        <v>62</v>
      </c>
      <c r="AQ37" t="s">
        <v>62</v>
      </c>
    </row>
    <row r="38" spans="1:43" x14ac:dyDescent="0.2">
      <c r="A38">
        <v>793937</v>
      </c>
      <c r="B38" t="s">
        <v>622</v>
      </c>
      <c r="C38">
        <v>6.2</v>
      </c>
      <c r="D38">
        <v>89</v>
      </c>
      <c r="E38" t="s">
        <v>44</v>
      </c>
      <c r="F38" s="1">
        <v>44483</v>
      </c>
      <c r="G38">
        <v>22028248</v>
      </c>
      <c r="H38">
        <v>93</v>
      </c>
      <c r="I38">
        <v>11700000</v>
      </c>
      <c r="J38" t="s">
        <v>623</v>
      </c>
      <c r="K38" t="s">
        <v>624</v>
      </c>
      <c r="L38" t="s">
        <v>625</v>
      </c>
      <c r="M38" t="s">
        <v>626</v>
      </c>
      <c r="N38">
        <v>2.2244000000000002</v>
      </c>
      <c r="O38" t="s">
        <v>627</v>
      </c>
      <c r="P38" t="s">
        <v>628</v>
      </c>
      <c r="Q38" t="s">
        <v>629</v>
      </c>
      <c r="R38" t="s">
        <v>630</v>
      </c>
      <c r="S38" t="s">
        <v>631</v>
      </c>
      <c r="T38" t="s">
        <v>632</v>
      </c>
      <c r="U38" t="s">
        <v>633</v>
      </c>
      <c r="V38" t="s">
        <v>634</v>
      </c>
      <c r="W38" t="s">
        <v>635</v>
      </c>
      <c r="X38" t="s">
        <v>636</v>
      </c>
      <c r="Y38" t="s">
        <v>637</v>
      </c>
      <c r="Z38">
        <v>5.3</v>
      </c>
      <c r="AA38">
        <v>1071</v>
      </c>
      <c r="AB38" t="s">
        <v>638</v>
      </c>
      <c r="AC38">
        <v>10</v>
      </c>
      <c r="AD38">
        <v>2021</v>
      </c>
      <c r="AE38">
        <v>41</v>
      </c>
      <c r="AF38" t="s">
        <v>639</v>
      </c>
      <c r="AG38">
        <v>43</v>
      </c>
      <c r="AH38">
        <v>16.907836233095701</v>
      </c>
      <c r="AI38">
        <v>0.38426900529763097</v>
      </c>
      <c r="AJ38" t="s">
        <v>60</v>
      </c>
      <c r="AK38" t="s">
        <v>640</v>
      </c>
      <c r="AL38">
        <v>14</v>
      </c>
      <c r="AM38">
        <v>1</v>
      </c>
      <c r="AN38">
        <v>20</v>
      </c>
      <c r="AO38">
        <v>0.05</v>
      </c>
      <c r="AP38" t="s">
        <v>62</v>
      </c>
      <c r="AQ38" t="s">
        <v>62</v>
      </c>
    </row>
    <row r="39" spans="1:43" x14ac:dyDescent="0.2">
      <c r="A39" t="s">
        <v>641</v>
      </c>
      <c r="AI39">
        <f>SUBTOTAL(109,Table1[score])</f>
        <v>42.639374151179076</v>
      </c>
      <c r="AQ39">
        <f>SUBTOTAL(103,Table1[error])</f>
        <v>33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Shang-Chi_and_the_Legend_of_the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2026-02-17T17:16:27Z</dcterms:created>
  <dcterms:modified xsi:type="dcterms:W3CDTF">2026-02-17T18:03:34Z</dcterms:modified>
</cp:coreProperties>
</file>