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15E3B794-8407-C049-B792-722105EB6B36}" xr6:coauthVersionLast="47" xr6:coauthVersionMax="47" xr10:uidLastSave="{00000000-0000-0000-0000-000000000000}"/>
  <bookViews>
    <workbookView xWindow="380" yWindow="80" windowWidth="28040" windowHeight="17180" xr2:uid="{0836CC12-5469-6D45-84FD-BB4867977125}"/>
  </bookViews>
  <sheets>
    <sheet name="The_Incredible_Hulk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9" i="1" l="1"/>
  <c r="AQ39" i="1"/>
</calcChain>
</file>

<file path=xl/sharedStrings.xml><?xml version="1.0" encoding="utf-8"?>
<sst xmlns="http://schemas.openxmlformats.org/spreadsheetml/2006/main" count="894" uniqueCount="637">
  <si>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</si>
  <si>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</si>
  <si>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</si>
  <si>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</si>
  <si>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</si>
  <si>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</si>
  <si>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</si>
  <si>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</si>
  <si>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</si>
  <si>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</si>
  <si>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</si>
  <si>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</si>
  <si>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</si>
  <si>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</si>
  <si>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</si>
  <si>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</si>
  <si>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</si>
  <si>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</si>
  <si>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</si>
  <si>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</si>
  <si>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</si>
  <si>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</si>
  <si>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</si>
  <si>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</si>
  <si>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</si>
  <si>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</si>
  <si>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</si>
  <si>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</si>
  <si>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</si>
  <si>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</si>
  <si>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</si>
  <si>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</si>
  <si>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</si>
  <si>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</si>
  <si>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</si>
  <si>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</si>
  <si>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</si>
  <si>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</si>
  <si>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</si>
  <si>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</si>
  <si>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</si>
  <si>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</si>
  <si>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</si>
  <si>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Iron Man</t>
  </si>
  <si>
    <t>Released</t>
  </si>
  <si>
    <t>tt0371746</t>
  </si>
  <si>
    <t>en</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</si>
  <si>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</si>
  <si>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</si>
  <si>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</si>
  <si>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</si>
  <si>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United States of America</t>
  </si>
  <si>
    <t>English, ≈∏√Ö√ø√ü√ø¬±√ø‚â•‚Ç¨√•, √ø√ü√ø¬±√ø√ò≈∏√†, √ø√ü≈∏√ë√øœÄ√ø¬±√ø¬Æ≈∏√§√ø¬©</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</si>
  <si>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No‚àö¬¥l,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</si>
  <si>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</si>
  <si>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</si>
  <si>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</si>
  <si>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</si>
  <si>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Ramin Djawadi</t>
  </si>
  <si>
    <t>/78lPtwv72eTNqFW9COBYI0dWDJa.jpg</t>
  </si>
  <si>
    <t>iron man</t>
  </si>
  <si>
    <t>the incredible hulk</t>
  </si>
  <si>
    <t>sydney (1), premiere (7), the hague (1), berlin (1), rome (1), london (1), blank (65), french speaking region (1), german speaking region (1), hollywood, california (1), south india (1), belgrade (1), dvd and blu-ray premiere (1), imax version (1), re-release (3), limited (2), disney+ premiere (1)</t>
  </si>
  <si>
    <t>no</t>
  </si>
  <si>
    <t>My Mom's New Boyfriend</t>
  </si>
  <si>
    <t>tt0780534</t>
  </si>
  <si>
    <t>After several years away, FBI agent Henry Durand returns to find his mother, Marty, a much different person: Having long mourned for Henry's father, she is now embracing single life. One day, while Marty, Henry and his new fianc‚àö¬©e,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</si>
  <si>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</si>
  <si>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</si>
  <si>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</si>
  <si>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English</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</si>
  <si>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</si>
  <si>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</si>
  <si>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</si>
  <si>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</si>
  <si>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</si>
  <si>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</si>
  <si>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my mom's new boyfriend</t>
  </si>
  <si>
    <t>blank (18), dvd premiere (9), blu-ray premiere (1), tv premiere (1)</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</si>
  <si>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</si>
  <si>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</si>
  <si>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</si>
  <si>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</si>
  <si>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Comedy, Romance</t>
  </si>
  <si>
    <t>columbia pictures, original film</t>
  </si>
  <si>
    <t>United Kingdom, United States of America</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</si>
  <si>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</si>
  <si>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</si>
  <si>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</si>
  <si>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</si>
  <si>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</si>
  <si>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Rupert Gregson-Williams</t>
  </si>
  <si>
    <t>/pDg8D0jNqmz7RbCBgblWvmPswHE.jpg</t>
  </si>
  <si>
    <t>made of honor</t>
  </si>
  <si>
    <t>london (1), premiere (1), blank (85), german speaking region (1), limited (1), french speaking region (1)</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</si>
  <si>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</si>
  <si>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</si>
  <si>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</si>
  <si>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</si>
  <si>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</si>
  <si>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</si>
  <si>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English, √ä√≥‚Ä¢√ä√∫¬®√ã‚Ñ¢√ª</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</si>
  <si>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F‚àö¬∫rmann, Megan Gay, Susan Sarandon, Ludmilla Ismailow, Olivier Marlo, Kenzie, Cosma Shiva Hagen, Nayo Wallace, Milka Duno, Gian Ganziano, Art LaFleur, Kad‚àöŒ© Taylor, John Benfield, Leila Rozario, Andr‚àö¬©s Cantor, Ralph Herforth, Christina Ricci, Jonathan Kinsler, Melvil Poupaud, Fang Yu, Matthias Redlhammer, Jana Pallaske, Willy, Ill-Young Kim, Oscar Ortega S‚àö¬∞nchez, Rain, Togo Igawa, L. Trey Wilson, Anatole Taubman, Max Hopp, Amira Osman, Ricky Watson, Christian Oliver, Ashley Walters, Frank Witter, Waldemar Kobus, Yu Nan, Ariel Winter</t>
  </si>
  <si>
    <t>Lilly Wachowski, Lana Wachowski</t>
  </si>
  <si>
    <t>David Tattersall</t>
  </si>
  <si>
    <t>Lilly Wachowski, Lana Wachowski, Tatsuo Yoshida</t>
  </si>
  <si>
    <t>Lilly Wachowski, Lana Wachowski, David Lane Seltzer, Bruce Berman, Joel Silver, Grant Hill, Michael Lambert</t>
  </si>
  <si>
    <t>Michael Giacchino</t>
  </si>
  <si>
    <t>/fxRIpx9Op9h71q3tvuabx4GryyP.jpg</t>
  </si>
  <si>
    <t>speed racer</t>
  </si>
  <si>
    <t>berlin (1), premiere (3), london (1), tribeca film festival (1), blank (68), german speaking region (1), french speaking region (1), tokyo (1), dvd premiere (1)</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</si>
  <si>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</si>
  <si>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</si>
  <si>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</si>
  <si>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</si>
  <si>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</si>
  <si>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 xml:space="preserve">English, </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</si>
  <si>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</si>
  <si>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</si>
  <si>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Matthew F. Leonetti</t>
  </si>
  <si>
    <t>Dana Fox</t>
  </si>
  <si>
    <t>Arnon Milchan, Joseph M. Caracciolo Jr., Shawn Levy, Michael Aguilar, Jimmy Miller, Dean Georgaris</t>
  </si>
  <si>
    <t>Christophe Beck</t>
  </si>
  <si>
    <t>/n7bQ7Lj6UhArgnx49wmkaTxM4iU.jpg</t>
  </si>
  <si>
    <t>what happens in vegas</t>
  </si>
  <si>
    <t>london (1), premiere (3), westwood, california (1), blank (49), french speaking region (1), german speaking region (1), tokyo (1), limited (1), tv premiere (1), internet (1)</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</si>
  <si>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</si>
  <si>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</si>
  <si>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</si>
  <si>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</si>
  <si>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</si>
  <si>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</si>
  <si>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Deutsch, English</t>
  </si>
  <si>
    <t>Zsuzsa Holl, David Thewlis, Zsolt S‚àö¬∞f‚àö¬∞r Kov‚àö¬∞cs, Domonkos N‚àö¬©meth, Richard Johnson, L‚àö¬∞szl‚àö‚â• ‚àö√Öron, L‚àö¬∞szl‚àö‚â• Quitt, Charlie Baker, Cara Horgan, Rupert Friend, Vera Farmiga, B‚àö¬©la Fesztbaum, Iv‚àö¬∞n Vereb‚àö¬©ly, Henry Kingsmill, Zac Mattoon O'Brien, Asa Butterfield, Sheila Hancock, Jack Scanlon, Jim Norton, Attila Egyed, G‚àö¬∞bor Harsai, Amber Beattie, Julia Papp, Mih‚àö¬∞ly Szabados, David Hayman, L‚àö¬∞szl‚àö‚â• N‚àö¬∞dasi</t>
  </si>
  <si>
    <t>Mark Herman</t>
  </si>
  <si>
    <t>Beno‚àö√Üt Delhomme</t>
  </si>
  <si>
    <t>Mark Herman, John Boyne</t>
  </si>
  <si>
    <t>Mark Herman, Christine Langan, David Heyman</t>
  </si>
  <si>
    <t>James Horner</t>
  </si>
  <si>
    <t>/sLwYSEVVV3r047cjrpRAbGgNsfL.jpg</t>
  </si>
  <si>
    <t>the boy in the striped pyjamas</t>
  </si>
  <si>
    <t>carnegie film festival (1), blank (31), san sebasti√°n film festival (1), rio de janeiro international film festival (1), heartland film festival (1), s√£o paulo international film festival (1), chicago international film festival (1), limited (2), oslo international film festival (1), german speaking region (1), dvd premiere (6), manila (1), febio film festival (1), internet (6)</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</si>
  <si>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</si>
  <si>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</si>
  <si>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</si>
  <si>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</si>
  <si>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</si>
  <si>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t‚àö¬©l‚àö¬©film canada, ag‚àö‚Ñ¢ncia nacional do cinema - ancine, potboiler productions, rhombus media, o2 filmes, bee vine pictures</t>
  </si>
  <si>
    <t>Brazil, Canada, Italy, Japan, United Kingdom</t>
  </si>
  <si>
    <t>√ä√≥‚Ä¢√ä√∫¬®√ã‚Ñ¢√ª, English</t>
  </si>
  <si>
    <t>Billy Otis, Maury Chaykin, Bathsheba Garnett, Rick Demas, Oscar Hsu, Nadia Litz, Heraldo Firmino, Eduardo Semerjian, Norman Owen, Danny Glover, Y‚âà¬¥suke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Mac‚àö¬∞rio, Michael Mahonen, Joris Jarsky, Susan Coyne, Jorge Molina, Patrick Garrow, Amanda Hiebert, Agi Gallus, Gael Garc‚àö‚â†a Bernal, Niv Fichman, Rodrigo Pessin, Pl‚àö‚â†nio Soares, Julianne Moore, Isai Rivera Blas, Jackie Brown, Tracy Wright, Adriana Guerra, Johnny Goltz, Joseph Motiki, John Fort, Matt Gordon, Don McKellar, Antonio Fragoso, Victoria Fodor, Yoshino Kimura, Alice Poon, Ot‚àö¬∞vio Martins, Jo‚àö¬£o Velho, Domingos Ant‚àö¬•nio, Carol Hubner, Sari Friedland, Eduardo Parisi, Alice Braga, Ci‚àö√üa Meirelles, Jason Bermingham, Bia Borin, Kelly Fiddick</t>
  </si>
  <si>
    <t>Fernando Meirelles</t>
  </si>
  <si>
    <t>C‚àö¬©sar Charlone</t>
  </si>
  <si>
    <t>Jos‚àö¬© Saramago, Don McKellar</t>
  </si>
  <si>
    <t>Aeschylus Poulos, Bel Berlinck, Sheena Macdonald, Tatsumi Yoda, Victor Loewy, Claudia B‚àö¬∫schel, Akira Ishii, Sonoko Sakai, Niv Fichman, Austin Wong, Andrea Barata Ribeiro, Sari Friedland, Simon Channing Williams, Gail Egan, Larry Weinstein</t>
  </si>
  <si>
    <t>Marco Ant‚àö¬•nio Guimar‚àö¬£es</t>
  </si>
  <si>
    <t>/deBsx5IxyqCC217j3VY24TkkE0Z.jpg</t>
  </si>
  <si>
    <t>blindness</t>
  </si>
  <si>
    <t>cannes film festival (1), premiere (3), sarajevo film festival (1), s√£o paulo (1), rio de janeiro (1), hamburg film festival (1), toronto international film festival (1), atlantic film festival (1), blank (36), helsinki international film festival (1), sitges international fantastic film festival (1), french speaking region (1), panorama of european cinema (1), tokyo international film festival (1), german speaking region (1), camerimage (1), dubai international film festival (1), dvd premiere (2), limited (1), reflection of disability in art international festival (1), greek film archive (1)</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</si>
  <si>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</si>
  <si>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</si>
  <si>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</si>
  <si>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</si>
  <si>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Adventure, Family, Fantasy</t>
  </si>
  <si>
    <t>walt disney pictures, walden media, silverbell films, mark johnson productions, c.s. lewis company</t>
  </si>
  <si>
    <t>Adam Valdez, Ben Barnes, Lucie Solarova, Hana Frejkov‚àö¬∞, Jan Filipensk‚àöŒ©, Ephraim Goldin, Isaac Bell, Michaela Dvorska, Ken Stott, Curtis Matthew, David Bowles, Joseph Moore, Carlos Silva Da Silva, Douglas Gresham, Ashley Jones, Kl‚àö¬∞ra Issov‚àö¬∞, Liam Neeson, Eddie Izzard, Skandar Keynes, Alina Phelan, David Walliams, Predrag Bjelac, Peter Dinklage, Juan Diego Montoya, Anna Popplewell, Vincent Grass, Gomez Sandoval, Lejla Abbasov‚àö¬∞, Jack Walley, Marcus O'Donovan, Jaymie Bell, Sergio Castellitto, Tilda Swinton, Pierfrancesco Favino, Warwick Davis, David Mottl, Winham Hammond, Kristina Beranov‚àö¬∞, Alicia Borrachero, Yemi A.D., Georgie Henley, Shane Rangi, William Moseley, Sim‚àö‚â•n Andreu, Dami‚àö¬∞n Alc‚àö¬∞zar, Cornell John, Mana Hira Davis, Karolina Matouskova, Siobhan Connors, John Bach</t>
  </si>
  <si>
    <t>Andrew Adamson</t>
  </si>
  <si>
    <t>Karl Walter Lindenlaub</t>
  </si>
  <si>
    <t>C. S. Lewis, Christopher Markus, Stephen McFeely, Andrew Adamson</t>
  </si>
  <si>
    <t>Andrew Adamson, Mark Johnson, Perry Moore, Philip Steuer</t>
  </si>
  <si>
    <t>Harry Gregson-Williams</t>
  </si>
  <si>
    <t>/qxz3WIyjZiSKUhaTIEJ3c1GcC9z.jpg</t>
  </si>
  <si>
    <t>the chronicles of narnia: prince caspian</t>
  </si>
  <si>
    <t>festival internacional de cine acapulco (1), blank (66), french speaking region (1), german speaking region (1)</t>
  </si>
  <si>
    <t>Indiana Jones and the Kingdom of the Crystal Skull</t>
  </si>
  <si>
    <t>tt0367882</t>
  </si>
  <si>
    <t>Set during the Cold War, the Soviets‚Äö√Ñ√Æled by sword-wielding Irina Spalko‚Äö√Ñ√Æare in search of a crystal skull which has supernatural powers related to a mystical Lost City of Gold. Indy is coerced to head to Peru at the behest of a young man whose friend‚Äö√Ñ√Æand Indy's colleague‚Äö√Ñ√ÆProfessor Oxley has been captured for his knowledge of the skull's whereabouts.</t>
  </si>
  <si>
    <t>The adventure continues...</t>
  </si>
  <si>
    <t>Adventure, Action</t>
  </si>
  <si>
    <t>paramount pictures, lucasfilm ltd.</t>
  </si>
  <si>
    <t>English, Deutsch, P‚Äî√â‚Äî√Ö‚Äî√Ö‚Äì‚à´‚Äì‚àè‚ÄìœÄ</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</si>
  <si>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L‚àö‚â•pez,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</si>
  <si>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</si>
  <si>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Kami‚âà√ëski</t>
  </si>
  <si>
    <t>Jeff Nathanson, David Koepp, Philip Kaufman, George Lucas</t>
  </si>
  <si>
    <t>Kathleen Kennedy, Frank Marshall, George Lucas</t>
  </si>
  <si>
    <t>John Williams</t>
  </si>
  <si>
    <t>/56As6XEM1flWvprX4LgkPl8ii4K.jpg</t>
  </si>
  <si>
    <t>indiana jones and the kingdom of the crystal skull</t>
  </si>
  <si>
    <t>cannes film festival (1), premiere (4), new york city, new york (1), sydney (1), blank (70), french speaking region (1), limited (2), german speaking region (1), festival de cinema en valenci√† inquiet (1), tokyo (1), dvd premiere (2), blu-ray (1)</t>
  </si>
  <si>
    <t>The Strangers</t>
  </si>
  <si>
    <t>tt0482606</t>
  </si>
  <si>
    <t>After a 4 a.m. knock at the door and haunting voices, Kristen McKay and James Hoyt‚Äö√Ñ√¥s remote getaway becomes a psychological night of terror as three masked strangers invade. Now they must go far beyond what they thought themselves capable of if they hope to survive.</t>
  </si>
  <si>
    <t>Lock the door. Pretend you're safe.</t>
  </si>
  <si>
    <t>Horror, Thriller</t>
  </si>
  <si>
    <t>intrepid pictures, rogue pictures, vertigo entertainment, mandate pictures</t>
  </si>
  <si>
    <t>Kip Weeks, Scott Speedman, Liv Tyler, Jordan Orr, Glenn Howerton, Shawn McClellan, Laura Margolis, Alex Fisher, Nick Barghini, Peter Clayton-Luce, Gemma Ward</t>
  </si>
  <si>
    <t>Bryan Bertino</t>
  </si>
  <si>
    <t>Peter Sova</t>
  </si>
  <si>
    <t>Nathan Kahane, Marc D. Evans, Kelli Konop, Roy Lee, Doug Davison, Joseph Drake, Sonny Mallhi, Trevor Macy</t>
  </si>
  <si>
    <t>Andy Milburn, tomandandy, Tom Hajdu</t>
  </si>
  <si>
    <t>/gwsg4qFmLOvlhwXj4OZuxfFUdP0.jpg</t>
  </si>
  <si>
    <t>the strangers</t>
  </si>
  <si>
    <t>blank (42), frightfest (1), metro manila (1), german speaking region (1), dvd premiere (4), internet (2)</t>
  </si>
  <si>
    <t>Cyborg She</t>
  </si>
  <si>
    <t>tt0929860</t>
  </si>
  <si>
    <t>ja</t>
  </si>
  <si>
    <t>√Ç√â√Ø‚Äû√Ö√Ü√ÇŒ©¬∫√Ç‚Ä¢‚â•‚Äû√Ö√ò‚Äû√á¬µ‚Äû√á¬ß‚Äû√â√∫‚Äû√â¬∫‚Äû√á‚àû</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</si>
  <si>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</si>
  <si>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</si>
  <si>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</si>
  <si>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</si>
  <si>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Japan, South Korea</t>
  </si>
  <si>
    <t>√ä√≥‚Ä¢√ä√∫¬®√ã‚Ñ¢√ª</t>
  </si>
  <si>
    <t>Horiken, Masat‚àö¬• Ibu, Sakura Mizuno, Haruka Ayase, Megumi Sato, Suzunosuke Tanaka, Ayumu Saito, Kaito Kond‚àö¬•, Ryosuke Nagata, Yuito ‚àö√Æwada,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</si>
  <si>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</si>
  <si>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</si>
  <si>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Mataichir‚àö¬• Yamamoto, Ji Young-jun, Hidemi Satani</t>
  </si>
  <si>
    <t>Naoki Ohtsubo</t>
  </si>
  <si>
    <t>/kt2wjQjJqTh15IRirPOBByFVAEe.jpg</t>
  </si>
  <si>
    <t>cyborg she</t>
  </si>
  <si>
    <t>yubari international fantastic film festival (1), premiere (1), blank (5), summer international film festival (1), sci-fi-london (1), japan cuts (1)</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</si>
  <si>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</si>
  <si>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</si>
  <si>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</si>
  <si>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</si>
  <si>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</si>
  <si>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</si>
  <si>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</si>
  <si>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</si>
  <si>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</si>
  <si>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</si>
  <si>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</si>
  <si>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</si>
  <si>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</si>
  <si>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kung fu panda</t>
  </si>
  <si>
    <t>cannes film festival (1), premiere (3), shanghai international film festival (1), los angeles, california (1), blank (71), imax version (1), limited (1), london (1), german speaking region (1), french speaking region (1), athens (1), dvd premiere (2), festival de cinema en valenci√† inquiet (1), anifest film festival (1), outfest film festival (1)</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</si>
  <si>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</si>
  <si>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</si>
  <si>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</si>
  <si>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</si>
  <si>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Comedy, Action</t>
  </si>
  <si>
    <t>relativity media, happy madison productions, columbia pictures</t>
  </si>
  <si>
    <t>English, ‚óä¬¢√∑¬•‚óä√´√∑‚àû‚óä¬Æ√∑¬•‚óä√¥‚óä‚Ñ¢</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</si>
  <si>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</si>
  <si>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</si>
  <si>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</si>
  <si>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</si>
  <si>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</si>
  <si>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</si>
  <si>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you don't mess with the zohan</t>
  </si>
  <si>
    <t>blank (48), french speaking region (1), german speaking region (1), blu-ray release (1), old town taito international comedy film festival (1), dvd premiere (2), war on screen international film festival (1), internet (1)</t>
  </si>
  <si>
    <t>Admiral</t>
  </si>
  <si>
    <t>tt1101026</t>
  </si>
  <si>
    <t>ru</t>
  </si>
  <si>
    <t>‚Äì√™‚Äì¬•‚Äì¬∫‚Äì‚àè‚Äî√Ñ‚Äì‚àû‚Äì¬™‚Äî√§</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</si>
  <si>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</si>
  <si>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</si>
  <si>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War, Drama</t>
  </si>
  <si>
    <t>dago productions, channel one, cinema directorate studio, sverdlovsk film studio</t>
  </si>
  <si>
    <t>Russia</t>
  </si>
  <si>
    <t>P‚Äî√â‚Äî√Ö‚Äî√Ö‚Äì‚à´‚Äì‚àè‚ÄìœÄ, Fran‚àö√üais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</si>
  <si>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</si>
  <si>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</si>
  <si>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</si>
  <si>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</si>
  <si>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</si>
  <si>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</si>
  <si>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</si>
  <si>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admiral</t>
  </si>
  <si>
    <t>limited (1), blank (15), seattle international film festival (1), sputnik russian film festival (1), dvd premiere (5)</t>
  </si>
  <si>
    <t>Sarkar Raj</t>
  </si>
  <si>
    <t>tt0490210</t>
  </si>
  <si>
    <t>hi</t>
  </si>
  <si>
    <t>‚Ä°¬ß‚àè‚Ä°¬ß‚àû‚Ä°‚Ä¢√ß‚Ä°¬ß√Ø‚Ä°¬ß√¶‚Ä°¬ß‚àû ‚Ä°¬ß‚àû‚Ä°¬ß√¶‚Ä°¬ß√∫</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</si>
  <si>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</si>
  <si>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</si>
  <si>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</si>
  <si>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</si>
  <si>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India</t>
  </si>
  <si>
    <t>‚Ä°¬ßœÄ‚Ä°¬ß√∏‚Ä°¬ß¬Æ‚Ä°‚Ä¢√ß‚Ä°¬ß¬∂‚Ä°‚Ä¢√Ñ</t>
  </si>
  <si>
    <t>Sayaji Shinde, Victor Banerjee, Kay Kay Menon, Abhishek Bachchan, Aishwarya Rai Bachchan, Sumeet Nijhawan, Govind Namdeo, Dilip Prabhavalkar, Shishir Sharma, Rajesh Shringarpure, Upendra Limaye, Ravi Kale, Amitabh Bachchan, Tanishaa Mukerji, Supriya Pathak</t>
  </si>
  <si>
    <t>Ram Gopal Varma</t>
  </si>
  <si>
    <t>Amit Roy</t>
  </si>
  <si>
    <t>Prashant Pandey</t>
  </si>
  <si>
    <t>Praveen Nischol, Ram Gopal Varma</t>
  </si>
  <si>
    <t>Bapi, Tutul</t>
  </si>
  <si>
    <t>/1ptl9Dq51jXpUNotg6CwHWZxoaK.jpg</t>
  </si>
  <si>
    <t>sarkar raj</t>
  </si>
  <si>
    <t>blank (7)</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</si>
  <si>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</si>
  <si>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</si>
  <si>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</si>
  <si>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</si>
  <si>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</si>
  <si>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</si>
  <si>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</si>
  <si>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English, Fran‚àö√üais</t>
  </si>
  <si>
    <t>Edward James Hyland, Mark Wahlberg, Victoria Clark, Frank Collison, Keith Bullard, Robert Bizik, Greg SmithAldridge, Kerry O'Malley, Jann Ellis, Robert Bailey Jr., Brian Anthony Wilson, Wes Heywood, Zooey Deschanel, Kirk Penberthy, M. Night Shyamalan, Lisa Furst, St‚àö¬©phane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</si>
  <si>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M. Night Shyamalan</t>
  </si>
  <si>
    <t>Tak Fujimoto</t>
  </si>
  <si>
    <t>John Rusk, Gary Barber, Ronnie Screwvala, Jose L. Rodriguez, Barry Mendel, Deven Khote, Roger Birnbaum, Sam Mercer, Zarina Screwvala, M. Night Shyamalan</t>
  </si>
  <si>
    <t>James Newton Howard</t>
  </si>
  <si>
    <t>/fP4nBrtmc0teSDDHzYmDE7TLQBT.jpg</t>
  </si>
  <si>
    <t>the happening</t>
  </si>
  <si>
    <t>new york city, new york (1), premiere (2), blank (52), french speaking region (1), german speaking region (1), tokyo (1), limited (1), blu-ray release (1), blu ray release (1)</t>
  </si>
  <si>
    <t>Waltz with Bashir</t>
  </si>
  <si>
    <t>tt1185616</t>
  </si>
  <si>
    <t>he</t>
  </si>
  <si>
    <t>‚óä√Ø‚óä√™‚óä√∫‚óä¬∞ ‚óä¬¢‚óä√π ‚óä√´‚óä√™‚óä¬©‚óä√¥‚óä¬Æ</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</si>
  <si>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</si>
  <si>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</si>
  <si>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</si>
  <si>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</si>
  <si>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</si>
  <si>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‚óä¬¢√∑¬•‚óä√´√∑‚àû‚óä¬Æ√∑¬•‚óä√¥‚óä‚Ñ¢, √ø√ü≈∏√ë√øœÄ√ø¬±√ø¬Æ≈∏√§√ø¬©,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</si>
  <si>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</si>
  <si>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</si>
  <si>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</si>
  <si>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</si>
  <si>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</si>
  <si>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waltz with bashir</t>
  </si>
  <si>
    <t>cannes film festival (1), cinema south festival (1), blank (27), munich international film festival (1), karlovy vary international film festival (1), telluride film festival (1), toronto international film festival (1), atlantic film festival (1), rio de janeiro international film festival (1), new york film festival (1), morelia film festival (1), s√£o paulo international film festival (1), bfi london film festival (1), cph: dox (1), thessaloniki international film festival (1), anilogue (1), gij√≥n international film festival (1), tallinn black nights film festival (1), new york city, new york (1), docpoint film festival (1), g√∂teborg international film festival (1), cyprus film days (1), dvd premiere (4), downers grove, illinois (1), buenos aires international festival of independent cinema (1), anifest film festival (1), foro internacional de la cineteca (1), limited (2), animation nation (1), refugee film festival (1), cinemanila international film festival (1), glen ellyn, illinois (1), festival of solidarity for palestinian people (1), opening film (1), perspectives film festival (1), days of european film (1), athens film festival (1), israel film festival (1), subtitled version (1), event (1)</t>
  </si>
  <si>
    <t>Martyrs</t>
  </si>
  <si>
    <t>tt1029234</t>
  </si>
  <si>
    <t>fr</t>
  </si>
  <si>
    <t>A young woman‚Äö√Ñ√¥s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</si>
  <si>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</si>
  <si>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</si>
  <si>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</si>
  <si>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</si>
  <si>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Fran‚àö√üais</t>
  </si>
  <si>
    <t>Robert Toupin, Tony Robinow, Catherine B‚àö¬©gin, Patricia Tulasne, Isabelle Chasse, Patrick Dorval, Erika Scott, Michel Cormier, Louis Thevenon, Louise Boisvert, Anie Pascale, Morjana Alaoui, Juliette Gosselin, Jean-Marie Moncelet, Mathieu Samaille, Myl‚àö¬Æne Jampano‚àö√ò, Mike Chute, Jessie Pham, Emilie Miskdijan, Xavier Dolan, Jean-Fran‚àö√üois Boudreau, Ga‚àö¬¥lle Cohen</t>
  </si>
  <si>
    <t>Pascal Laugier</t>
  </si>
  <si>
    <t>St‚àö¬©phane Martin, Nathalie Moliavko-Visotzky, Bruno Philip</t>
  </si>
  <si>
    <t>Fr‚àö¬©d‚àö¬©ric Doniguian, Richard Grandpierre, Marcel Giroux</t>
  </si>
  <si>
    <t>Alex Cort‚àö¬©s, Willie Cort‚àö¬©s</t>
  </si>
  <si>
    <t>/40qDGpnpa3nGDe8w6tFfv8GXehl.jpg</t>
  </si>
  <si>
    <t>martyrs</t>
  </si>
  <si>
    <t>fantasy filmfest (1), frightfest (1), blank (11), toronto international film festival (1), helsinki international film festival (1), austin fantastic fest (1), weekend de la peur festival (1), rome film festival (1), sitges film festival (1), screamfest horror film festival (1), horrorthon festival dublin (1), french speaking region (2), stockholm international film festival (1), iik!! horror film festival (1), limited (1), festival otrleho divaka (1), afm international independent film festival (1), dvd premiere (15), festival du film fran√ßais au japon (1), imagine film festival (1), pifan international film festival (1), motelx - lisbon international horror film festival (1), festival de cine de terror de molins de rei (1), madrid - artistic metropol (2), subtitled version (3), event (2), blu-ray &amp; dvd (1), premiere (1), cine universitario (1), madrid - cineteca (1), technical event release (1)</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</si>
  <si>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</si>
  <si>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</si>
  <si>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</si>
  <si>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</si>
  <si>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Action, Thriller, Crime</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</si>
  <si>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</si>
  <si>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</si>
  <si>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Timur Bekmambetov</t>
  </si>
  <si>
    <t>Mitchell Amundsen</t>
  </si>
  <si>
    <t>J.G. Jones, Mark Millar, Michael Brandt, Chris Morgan, Derek Haas</t>
  </si>
  <si>
    <t>Marc Silvestri, Marc Platt, Adam Siegel, Jim Lemley, Geyer Kosinski, Roger Birnbaum, Iain Smith, Jason Netter, Gary Barber, Jeff Kirschenbaum</t>
  </si>
  <si>
    <t>Danny Elfman</t>
  </si>
  <si>
    <t>/cbDMsV4VJAL2xJ2JXdWWjmUXZkT.jpg</t>
  </si>
  <si>
    <t>wanted</t>
  </si>
  <si>
    <t>london (1), premiere (2), los angeles film festival (1), blank (58), french speaking region (1), german speaking region (1), tokyo (1), catalonia (1), limited (1), internet (1)</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</si>
  <si>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</si>
  <si>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</si>
  <si>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</si>
  <si>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</si>
  <si>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</si>
  <si>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</si>
  <si>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Se‚àö¬∞n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</si>
  <si>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</si>
  <si>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Peter Deming</t>
  </si>
  <si>
    <t>Mike Myers, Graham Gordy</t>
  </si>
  <si>
    <t>Gary Barber, Donald J. Lee Jr., Michael De Luca, Mike Myers, Roger Birnbaum</t>
  </si>
  <si>
    <t>George S. Clinton</t>
  </si>
  <si>
    <t>/sp8AV64ftAZCT9uWfgbCb3olGDW.jpg</t>
  </si>
  <si>
    <t>the love guru</t>
  </si>
  <si>
    <t>blank (24), french speaking region (1), german speaking region (1), dvd premiere (3), old town taito international comedy film festival (1)</t>
  </si>
  <si>
    <t>WALL¬¨‚àëE</t>
  </si>
  <si>
    <t>tt0910970</t>
  </si>
  <si>
    <t>What if mankind had to leave Earth and somebody forgot to turn the last robot off? After hundreds of years doing what he was built for, WALL‚Äö√Ñ¬¢E discovers a new purpose in life when he meets a sleek search robot named EVE. EVE comes to realize that WALL‚Äö√Ñ¬¢E has inadvertently stumbled upon the key to the planet's future, and races back to space to report to the humans. Meanwhile, WALL‚Äö√Ñ¬¢E chases EVE across the galaxy and sets into motion one of the most imaginative adventures ever brought to the big screen.</t>
  </si>
  <si>
    <t>After 700 years of doing what he was built for, he'll discover what he was meant for.</t>
  </si>
  <si>
    <t>Animation, Family, Science Fiction</t>
  </si>
  <si>
    <t>pixar</t>
  </si>
  <si>
    <t>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t>
  </si>
  <si>
    <t>Andrew Stanton</t>
  </si>
  <si>
    <t>Danielle Feinberg, Martin Rosenberg, Jeremy Lasky</t>
  </si>
  <si>
    <t>Jim Reardon, Pete Docter, Andrew Stanton</t>
  </si>
  <si>
    <t>John Lasseter, Jim Morris, Lindsey Collins, Thomas Porter</t>
  </si>
  <si>
    <t>Thomas Newman</t>
  </si>
  <si>
    <t>/hbhFnRzzg6ZDmm8YAmxBnQpQIPh.jpg</t>
  </si>
  <si>
    <t>wall¬¨‚àëe</t>
  </si>
  <si>
    <t>los angeles, california (1), premiere (6), moscow film festival (1), blank (72), edinburgh international film festival (1), wilkinson american movie day (1), buenos aires (1), opening film (1), jerusalem film festival (1), limited (2), london (1), paris (1), french speaking region (1), espoo film festival (1), sydney (1), berlin (1), german speaking region (1), tokyo international film festival (1), anifest film festival (1), shanghai international film festival (1), dvd premiere (1), tv premiere (1), beijing international film festival (1), 3-d version (1), brussels international film festival (1), internet (1), blu-ray release (1), re-release (1)</t>
  </si>
  <si>
    <t>Space Chimps</t>
  </si>
  <si>
    <t>tt0482603</t>
  </si>
  <si>
    <t>When an unmanned space shuttle crashes on an uncharted planet, a trio of astronaut chimpanzees are launched by NASA into a wormhole to investigate.</t>
  </si>
  <si>
    <t>From one of the primates that brought you Shrek.</t>
  </si>
  <si>
    <t>Animation, Family, Adventure, Comedy, Science Fiction</t>
  </si>
  <si>
    <t>vanguard animation, starz animation</t>
  </si>
  <si>
    <t>United States of America, Canada</t>
  </si>
  <si>
    <t>Catal‚àö‚Ä†, English</t>
  </si>
  <si>
    <t>Kath Soucie, Kristin Chenoweth, Patrick Breen, Cheryl Hines, Wally Wingert, Jeff Daniels, Zack Shada, Jessica Gee-George, Jason Harris, Patrick Warburton, Jess Harnell, Kenan Thompson, Ellie Harvie, Carlos Alazraqui, Jane Lynch, Caitlin McKenna, Omid Abtahi, Stanley Tucci, Andy Samberg, Tom Kenny</t>
  </si>
  <si>
    <t>Kirk DeMicco</t>
  </si>
  <si>
    <t>Jericca Cleland</t>
  </si>
  <si>
    <t>Robert Moreland, Kirk DeMicco</t>
  </si>
  <si>
    <t>John W. Hyde, Neil Braun, Morris Berger, Eric M. Bennett, Steve Brown, John H. Williams, Jerry Davis, Barry Sonnenfeld</t>
  </si>
  <si>
    <t>Chris Wink, Phil Stanton, Chris Bacon, Matt Goldman</t>
  </si>
  <si>
    <t>/ecAKgzlt78OvEVpZURYYdSz8K5v.jpg</t>
  </si>
  <si>
    <t>space chimps</t>
  </si>
  <si>
    <t>blank (33), dvd premiere (5)</t>
  </si>
  <si>
    <t>The Mummy: Tomb of the Dragon Emperor</t>
  </si>
  <si>
    <t>tt0859163</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</si>
  <si>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</si>
  <si>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</si>
  <si>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Adventure, Action, Fantasy</t>
  </si>
  <si>
    <t>universal pictures, relativity media, the sommers company, alphaville films, beijing happy pictures, shanghai film group, internationale filmproduktion blackbird erste</t>
  </si>
  <si>
    <t>China, Germany, United States of America, Canada, United Kingdom, Hong Kong</t>
  </si>
  <si>
    <t xml:space="preserve">English, √ä√¥√Ü√à√Ñ√∂√ã√ò√π, </t>
  </si>
  <si>
    <t>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t>
  </si>
  <si>
    <t>Rob Cohen</t>
  </si>
  <si>
    <t>Simon Duggan</t>
  </si>
  <si>
    <t>John L. Balderston, Lloyd Fonvielle, Miles Millar, Stephen Sommers, Richard Schayer, Nina Wilcox Putnam, Alfred Gough, Kevin Jarre</t>
  </si>
  <si>
    <t>Ren Zhonglun, Stephen Sommers, Bob Ducsay, Chris Brigham, Huang Jianxin, James Jacks, Sean Daniel</t>
  </si>
  <si>
    <t>Randy Edelman</t>
  </si>
  <si>
    <t>/A3acM1lX5PNWQa6r5qeMAJOxbnT.jpg</t>
  </si>
  <si>
    <t>the mummy: tomb of the dragon emperor</t>
  </si>
  <si>
    <t>moscow (1), premiere (1), blank (57), french speaking region (1), limited (1), german speaking region (1), dvd premiere (2), internet (1)</t>
  </si>
  <si>
    <t>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</si>
  <si>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</si>
  <si>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</si>
  <si>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There are heroes. There are superheroes. And then there's Hancock.</t>
  </si>
  <si>
    <t>Fantasy, Action</t>
  </si>
  <si>
    <t>columbia pictures, relativity media, blue light, weed road pictures, overbrook entertainment</t>
  </si>
  <si>
    <t>English, Fran‚àö√üais, √ä√≥‚Ä¢√ä√∫¬®√ã‚Ñ¢√ª, Ti¬∑‚à´√∏ng Vi¬∑¬™√°t</t>
  </si>
  <si>
    <t>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t>
  </si>
  <si>
    <t>Peter Berg</t>
  </si>
  <si>
    <t>Tobias A. Schliessler</t>
  </si>
  <si>
    <t>Vince Gilligan, Vincent Ngo</t>
  </si>
  <si>
    <t>Will Smith, Richard Saperstein, Jonathan Mostow, Michael Mann, James Lassiter, Ian Bryce, Akiva Goldsman</t>
  </si>
  <si>
    <t>John Powell</t>
  </si>
  <si>
    <t>/7DyuV2G0hLEqHeueDfOqhZ2DVut.jpg</t>
  </si>
  <si>
    <t>hancock</t>
  </si>
  <si>
    <t>paris (1), premiere (4), berlin (1), london (1), moscow film festival (1), blank (78), german speaking region (1), wilkinson american movie day (1), french speaking region (1), tokyo (1), limited (1), dvd premiere (1)</t>
  </si>
  <si>
    <t>The Wackness</t>
  </si>
  <si>
    <t>tt1082886</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</si>
  <si>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</si>
  <si>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Sometimes it's right to do the wrong things.</t>
  </si>
  <si>
    <t>Drama, Comedy, Romance</t>
  </si>
  <si>
    <t>sbk pictures, occupant entertainment, sony pictures classics</t>
  </si>
  <si>
    <t>United States of America, United Kingdom</t>
  </si>
  <si>
    <t>Aaron Yoo, Method Man, Mary-Kate Olsen, Ben Kingsley, Talia Balsam, Alexander Flores, Joanna Merlin, Famke Janssen, Roy Milton Davis, Jane Adams, Shannon Briggs, David Wohl, Josh Peck, Olivia Thirlby, Bob Dishy</t>
  </si>
  <si>
    <t>Jonathan Levine</t>
  </si>
  <si>
    <t>Petra Korner</t>
  </si>
  <si>
    <t>Keith Calder</t>
  </si>
  <si>
    <t>David Torn</t>
  </si>
  <si>
    <t>/gmtlqHZs8YBXcpMw4BgA3SGJfg8.jpg</t>
  </si>
  <si>
    <t>the wackness</t>
  </si>
  <si>
    <t>sundance film festival (1), tribeca film festival (1), blank (19), melbourne international film festival (1), athens film festival (1), helsinki international film festival (1), rio de janeiro international film festival (1), dvd premiere (3), dvd and blu-ray premiere (1)</t>
  </si>
  <si>
    <t>Jaane Tu... Ya Jaane Na</t>
  </si>
  <si>
    <t>tt0473367</t>
  </si>
  <si>
    <t>‚Ä°¬ß√∫‚Ä°¬ß√¶‚Ä°¬ß¬Æ‚Ä°‚Ä¢√° ‚Ä°¬ß¬ß‚Ä°‚Ä¢√á...‚Ä°¬ß√ò‚Ä°¬ß√¶ ‚Ä°¬ß√∫‚Ä°¬ß√¶‚Ä°¬ß¬Æ‚Ä°‚Ä¢√° ‚Ä°¬ß¬Æ‚Ä°¬ß√¶</t>
  </si>
  <si>
    <t>Two best friends being convinced that they are not in love search for each other's love.</t>
  </si>
  <si>
    <t>So when do you know it's love?</t>
  </si>
  <si>
    <t>pvr inox pictures, aamir khan productions</t>
  </si>
  <si>
    <t>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</si>
  <si>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Abbas Tyrewala</t>
  </si>
  <si>
    <t>Manoj Lobo</t>
  </si>
  <si>
    <t>Mansoor Khan, B. Shrinivas Rao, Aamir Khan</t>
  </si>
  <si>
    <t>A.R. Rahman</t>
  </si>
  <si>
    <t>/iV1W0IEtQYuBnnxNmZxSmPHK3Pu.jpg</t>
  </si>
  <si>
    <t>jaane tu... ya jaane na</t>
  </si>
  <si>
    <t>blank (4), dvd premiere (1), internet (2)</t>
  </si>
  <si>
    <t>Meet Dave</t>
  </si>
  <si>
    <t>tt0765476</t>
  </si>
  <si>
    <t>A crew of miniature aliens operate a spaceship that has a human form. While trying to save their planet, the aliens encounter a new problem, as their ship becomes smitten with an Earth woman.</t>
  </si>
  <si>
    <t>There's a whole other world going on inside of him.</t>
  </si>
  <si>
    <t>Comedy, Science Fiction, Adventure, Family</t>
  </si>
  <si>
    <t>dune entertainment, regency enterprises, guy walks into a bar productions, deep river productions, friendly films (ii), 20th century fox</t>
  </si>
  <si>
    <t>E. Clayton Cornelious, Christina Wun, Michael Den Dekker, Robert Jones, Jill Lord, Scott Levine, Christopher Maggi, Peter Conboy, Bill Anagnos, Miguel A. N‚àö‚à´‚àö¬±ez Jr., Craig Gellis, Michael Berresse, Sibyl Santiago, David Baum, Annette Nicole, Tim Sitarz, Kristen Connolly, Marc Blucas, Cesar Espinoza, James Zavaleta, Poco Zocko, Sherman Alpert, Allisyn Snyder, Adam Cooley, James M. Connor, Phaedra Nielson, Rashida Roy, Pawl Bazile, Richard Cerenzio, Kelli Barksdale, Philip Pavel, Joyce McNeal, William Penick, Samia Akudo, Carol Commissiong, Makoto Tanaka, Vince Cupone, Smith Cho, Enrique Novello, Nick Wall, Jeffrey Schecter, Mark Rangel, Stephen Giraldo, Yalil Guerra, Brad Wilson, James T. Lane, Pamela Jordan, Adam Tomei, Miles Robbins, Asako Takasue, Jeremiah Caleb, Kimberly Dorsey, Alisan Porter, Mel Cowan, Paul McGill, Floyd Levine, Nick Berman, Boni Yanagisawa, Rebecca Merle, Henry Kingi, Kelley Petrisi, Jane Altman, Richie Allan, Gabrielle Union, Eddie Murphy, Bill Sorice, Mario Loya, Mustafa Cimen, Brandon Michael Vega, Brett Berg, Denny Dormody, Gerardo Rivera, Hallie Lambert, Lorry Francois, Mirly 'Chino' Espinoza, Janine Edwards, RJ Konner, Natalie Cortez, Thomas F. Evans, Brian Huskey, Ed Helms, Larry Purtell, Jian Leonardo, Rob Moran, Aaron Massey, Angela Meryl, Jim Turner, Chael Sonnen, David 'Goldy' Goldsmith, Khafre King, Charles Guardino, John Mainieri, Frances Mignano, Michael Izquierdo, Leo Moctezuma, Judah Friedlander, Tony Yazbeck, Monica Flores, Blake Young-Fountain, Brandon G. Holley, Otto Granillo, Jason Tam, Spencer Kayden, Deidre Goodwin, The Naked Cowboy, Justin Robbins, Alex Berg, Joan Preston, Village, Pat Kilbane, Hannah Feldner-Shaw, Michael Winther, Duncan Murdoch, Grant K. Turner, Yuka Takara, Kevin Hart, Uzimann, Mara Davi, Austyn Myers, Gina La Piana, Alice Chen, Paul Scheer, Phyllis Kay, Jessica Lee Goldyn, John Gatins, Jane Bradbury, Mike O'Malley, Brandon Molale, Christian Perry, Nadine Isenegger, Yvette Nicole Brown, Yung-I Chang, Jace Armstrong, Patrizia Barretto, Stephanie Venditto, Scott Caan, Shawn Christian, Ken Alan, Chryssie Whitehead, Elizabeth Banks, Dennis Jay Funny, Abbey Lerman, Thomas Langston</t>
  </si>
  <si>
    <t>Brian Robbins</t>
  </si>
  <si>
    <t>Clark Mathis</t>
  </si>
  <si>
    <t>Rob Greenberg, Bill Corbett</t>
  </si>
  <si>
    <t>Todd Komarnicki, Thomas M. Hammel, Arnon Milchan, David T. Friendly, Jon Berg</t>
  </si>
  <si>
    <t>John Debney</t>
  </si>
  <si>
    <t>/3Qfav5aVRcZmq854olMjJ795JJ2.jpg</t>
  </si>
  <si>
    <t>meet dave</t>
  </si>
  <si>
    <t>internet (3), blank (46), french speaking region (1), german speaking region (1), dvd premiere (3), yubari international fantastic film festival (1), tv release (1)</t>
  </si>
  <si>
    <t>Red Cliff</t>
  </si>
  <si>
    <t>tt0425637</t>
  </si>
  <si>
    <t>zh</t>
  </si>
  <si>
    <t>√ã¬µ¬ß√Ç¬£√Ö</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</si>
  <si>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</si>
  <si>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The future will be decided.</t>
  </si>
  <si>
    <t>Adventure, Drama, History, Action, War</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</si>
  <si>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</si>
  <si>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China, Hong Kong, Japan, South Korea, Taiwan, United States of America</t>
  </si>
  <si>
    <t>√ä√¥√Ü√à√Ñ√∂√ã√ò√π</t>
  </si>
  <si>
    <t>Hu Jun, Wang Hui, Cui Yu-Gui, Ma Jing, Zhen Yi, Wang Qingxiang, Zhang You, Zhao Wei, Xu Fengnian, Hou Yong, Zang Jinsheng, Hu Xiaoguang, Shi Xiaohong, Tony Leung Chiu-wai, Guo Chao, Tong Dawei, Shan Zhang, Baasanjav Mijid, Song Jia, Zhang Fengyi, Chang Chen, Takeshi Kaneshiro, Zhao Chengshun, Jia Hongwei, Jiang Tong, Xie Gang, Lin Chi-Ling, Shido Nakamura, You Yongzhi</t>
  </si>
  <si>
    <t>John Woo</t>
  </si>
  <si>
    <t>Zhang Li, L‚àö¬∫ Yue</t>
  </si>
  <si>
    <t>Cheng Kuo, Luo Guanzhong, Sheng Heyu, Lu Wei, John Woo, Chan Hon</t>
  </si>
  <si>
    <t>Jianshai Xu, Hu Xiaofeng, Shi Dongming, Max Matsuura, Xiaoei Han, Annie Woo, Sirena Liu, Hongshi Lu, Yan Xiaoming, Zhang Qiang, Shoucheng Yang, Yu Dong, Zilong Guo, Jiang Tao, Wu Kebo, He Bing, Jianqiu Wang, Zhan Teng, John Woo, Xu Pengle, Todd Weinger, Chin-Wen Huang, Han Sanping, Kim Woo-taek, Ren Zhonglun, Terence Chang, Lori Tilkin</t>
  </si>
  <si>
    <t>Taro Iwashiro</t>
  </si>
  <si>
    <t>/eEelFTjUYJJDlwqd53VfSA8xMfj.jpg</t>
  </si>
  <si>
    <t>red cliff</t>
  </si>
  <si>
    <t>limited (3), beijing (1), premiere (3), chengdu (1), bitan (1), blank (37), tokyo international film festival (1), sydney film festival (1), dvd premiere (6), augsburg (1), helsinki international film festival (1), rio de janeiro international film festival (1), chicago international film festival (1), mill valley film festival (1), austin film festival (1), s√£o paulo international film festival (1), munich asia filmfest (1), new york city, new york (1), milwaukee film festival winter edition (1), tv premiere (1)</t>
  </si>
  <si>
    <t>Journey to the Center of the Earth</t>
  </si>
  <si>
    <t>tt0373051</t>
  </si>
  <si>
    <t>On a quest to find out what happened to his missing brother, a scientist, his nephew and their mountain guide discover a fantastic and dangerous lost world in the center of the earth.</t>
  </si>
  <si>
    <t>Same Planet. Different World.</t>
  </si>
  <si>
    <t>Action, Science Fiction, Adventure, Comedy, Family</t>
  </si>
  <si>
    <t>new line cinema, walden media, journey films</t>
  </si>
  <si>
    <t>English, ‚àö√ßslenska, Italiano</t>
  </si>
  <si>
    <t>Josh Hutcherson, Giancarlo Caltabiano, Kaniehtiio Horn, Garth Gilker, Jane Wheeler, Frank Fontaine, Brendan Fraser, Jean Michel Par‚àö¬©, Anita Briem, Seth Meyers</t>
  </si>
  <si>
    <t>Eric Brevig</t>
  </si>
  <si>
    <t>Chuck Shuman</t>
  </si>
  <si>
    <t>Mark Levin, Jennifer Flackett, Jules Verne, Michael D. Weiss</t>
  </si>
  <si>
    <t>Toby Emmerich, Tripp Vinson, Beau Flynn, Charlotte Huggins, Brendan Fraser, W. Mark McNair</t>
  </si>
  <si>
    <t>Andrew Lockington</t>
  </si>
  <si>
    <t>/kL55wY0s2H9JdwfjoWIp9plvYnl.jpg</t>
  </si>
  <si>
    <t>journey to the center of the earth</t>
  </si>
  <si>
    <t>blank (61), 3-d version (4), limited (3), budapest (1), tokyo international film festival (1), tv premiere (1)</t>
  </si>
  <si>
    <t>Hellboy II: The Golden Army</t>
  </si>
  <si>
    <t>tt0411477</t>
  </si>
  <si>
    <t>Hellboy, his pyrokinetic girlfriend, Liz, and aquatic empath, Abe Sapien, face their biggest battle when an underworld elven prince plans to reclaim Earth for his magical kindred. Tired of living in the shadow of humans, Prince Nuada tries to awaken an¬¨‚Ä†ancient force of killing machines, the all-powerful Golden Army, to clear the way for fantasy creatures to roam free. Only Hellboy can stop the dark prince and prevent humanity's annihilation.</t>
  </si>
  <si>
    <t>Believe it or not... He's the good guy.</t>
  </si>
  <si>
    <t>universal pictures, dark horse entertainment, relativity media, lawrence gordon productions</t>
  </si>
  <si>
    <t>United States of America, Germany, Hungary</t>
  </si>
  <si>
    <t>Brian Steele, Judit Viktor, Szonja Oroszl‚àö¬∞n, Aidan Cook, Justin Pierre, Brian Herring, Todd Williams, Santiago Segura, Jamie Wilson, Tim Larsen, Ron Perlman, Jimmy Kimmel, Alex McSweeney, Seth MacFarlane, Iv‚àö¬∞n Kamar‚àö¬∞s, Jeffrey Tambor, Gavin McKenzie, Blake Perlman, Doug Jones, Ferenc Elek, Guillermo del Toro, Clive Llewellyn, Roy Dotrice, Michael Mehlmann, Belinda Henley, John Alexander, Beatrice Zentai, Anna Walton, Matthew O'Toole, P‚àö¬∞lma P‚àö¬∞sztor, Luke Goss, Peter Horkay, Selma Blair, Richard Rifkin, Andrew Hefler, Jeanne Mockford, John Hurt, Matt Rippy, Julia Papp, Jeremy Zimmermann, James Dodd, Tim Flavin, S‚àö¬∞ndor Svigelj, Mike Kelly, Montse Rib‚àö¬©</t>
  </si>
  <si>
    <t>Guillermo del Toro</t>
  </si>
  <si>
    <t>Guillermo Navarro</t>
  </si>
  <si>
    <t>Guillermo del Toro, Mike Mignola</t>
  </si>
  <si>
    <t>Lawrence Gordon, Chris Symes, Lloyd Levin, Mike Richardson</t>
  </si>
  <si>
    <t>/zO0Wdrxnhx3KoJEvychSmnY3urC.jpg</t>
  </si>
  <si>
    <t>hellboy ii: the golden army</t>
  </si>
  <si>
    <t>los angeles film festival (1), blank (52), limited (1), french speaking region (1), german speaking region (1), blu-ray release (1), beijing international film festival (1), beyond fest (1)</t>
  </si>
  <si>
    <t>The Dark 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</si>
  <si>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</si>
  <si>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</si>
  <si>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Welcome to a world without rules.</t>
  </si>
  <si>
    <t>Drama, Action, Crime, Thriller</t>
  </si>
  <si>
    <t>warner bros. pictures, legendary pictures, syncopy, dc</t>
  </si>
  <si>
    <t>English, √ä√¥√Ü√à√Ñ√∂√ã√ò√π</t>
  </si>
  <si>
    <t>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t>
  </si>
  <si>
    <t>Christopher Nolan</t>
  </si>
  <si>
    <t>Wally Pfister</t>
  </si>
  <si>
    <t>Christopher Nolan, David S. Goyer, Jonathan Nolan, Bob Kane</t>
  </si>
  <si>
    <t>Benjamin Melniker, Christopher Nolan, Kevin De La Noy, Michael Uslan, Charles Roven, Thomas Tull, Emma Thomas</t>
  </si>
  <si>
    <t>James Newton Howard, Hans Zimmer</t>
  </si>
  <si>
    <t>/qJ2tW6WMUDux911r6m7haRef0WH.jpg</t>
  </si>
  <si>
    <t>the dark knight</t>
  </si>
  <si>
    <t>buenos aires (1), premiere (6), new york city, new york (1), blank (73), london (1), barcelona (2), limited (4), tokyo (1), french speaking region (1), german speaking region (1), rawalpindi (1), imax version (5), re-release (17), 4k version (1), beijing international film festival (1), internet (1)</t>
  </si>
  <si>
    <t>The Deaths of Ian Stone</t>
  </si>
  <si>
    <t>tt0810823</t>
  </si>
  <si>
    <t>Deaths tells the story of an all-American guy who is murdered each day by horrifying pursuers, only to wake up in slightly different lives to experience the terror of being murdered again.</t>
  </si>
  <si>
    <t>Live everyday like it's your last.</t>
  </si>
  <si>
    <t>odyssey entertainment, isle of man film commission, stan winston productions, swfx</t>
  </si>
  <si>
    <t>Charlie Anson, Marnix Van Den Broeke, Mike Vogel, Christina Cole, George Dillon, Jaime Murray, Paul Warren, Michael Dixon, Andrew Buchan, Michael Feast, Jason Steadman, Anthony Warren</t>
  </si>
  <si>
    <t>Dario Piana</t>
  </si>
  <si>
    <t>Stefano Morcaldo</t>
  </si>
  <si>
    <t>Brendan Hood</t>
  </si>
  <si>
    <t>Brian J. Gilbert, Ralph Kamp, Steve Christian, Brendan Hood, Stan Winston</t>
  </si>
  <si>
    <t>Elia Cmiral</t>
  </si>
  <si>
    <t>/guhprfoix4DCKnbPeVQXuF08rHt.jpg</t>
  </si>
  <si>
    <t>the deaths of ian stone</t>
  </si>
  <si>
    <t>blank (7), fantasy filmfest (1), after dark horrorfest (1), dvd premiere (16), tv premiere (2)</t>
  </si>
  <si>
    <t>Ponyo</t>
  </si>
  <si>
    <t>tt0876563</t>
  </si>
  <si>
    <t>√Ç¬•√±‚Äû√Ö√Ü‚Ä∞‚àè√§‚Äû√Ö√Ü‚Äû√â√π‚Äû√â√£‚Äû√â√ü</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</si>
  <si>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</si>
  <si>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Welcome to a world where anything is possible.</t>
  </si>
  <si>
    <t>Animation, Fantasy, Family</t>
  </si>
  <si>
    <t>studio ghibli, toho, nippon television network corporation, dentsu, hakuhodo dy media partners, the walt disney company (japan), mitsubishi</t>
  </si>
  <si>
    <t>Japan</t>
  </si>
  <si>
    <t>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‚âà√•hashi, Akiko Takeguchi, Yusuke Tezuka, Akiko Yano</t>
  </si>
  <si>
    <t>Hayao Miyazaki</t>
  </si>
  <si>
    <t>Atsushi Okui</t>
  </si>
  <si>
    <t>Toshio Suzuki, Koji Hoshino</t>
  </si>
  <si>
    <t>Joe Hisaishi</t>
  </si>
  <si>
    <t>/yp8vEZflGynlEylxEesbYasc06i.jpg</t>
  </si>
  <si>
    <t>ponyo</t>
  </si>
  <si>
    <t>internet (4), blank (38), venice film festival (1), cinekid film festival (2), tallinn black nights film festival (1), french speaking region (1), los angeles film festival (1), limited (6), flemish speaking region (1), helsinki international film festival (1), buster copenhagen international film festival for children and youth (1), dvd premiere (2), glasgow youth film festival (1), german speaking region (1), bam festival (1), japanische filmwoche d√ºsseldorf (1), festival: cine de hayao miyasaki biblioteca viva tobalaba (1), re-release (2), subtitled version (1), japanese animation film festival (1), cine universitario (1), g√∂teborgs lilla filmfestival (1)</t>
  </si>
  <si>
    <t>100 Feet</t>
  </si>
  <si>
    <t>tt0899128</t>
  </si>
  <si>
    <t>After Marnie Watson kills her abusive husband in self-defense, she is condemned to house arrest... only to discover that the house is possessed by the enraged and violent spirit of her dead husband.</t>
  </si>
  <si>
    <t>Her husband is dead and he's taking the news badly...</t>
  </si>
  <si>
    <t>Horror</t>
  </si>
  <si>
    <t>grand illusions entertainment, film visions funding, new deal studios, 100 feet productions, laurinfilm, blue rider pictures, voltage pictures</t>
  </si>
  <si>
    <t>Famke Janssen, Ed Westwick, John Fallon, Kevin Geer, Ken Kelsch, Jonathan Sanger, Patricia Charbonneau, Michael Par‚àö¬©, Kembe Sorel, Bobby Cannavale, Evelyne Kandech, Eric Walkuski, Tibor P‚àö¬∞lffy</t>
  </si>
  <si>
    <t>Eric Red</t>
  </si>
  <si>
    <t>Ken Kelsch</t>
  </si>
  <si>
    <t>Jonathan Sanger, Ed Elbert, Stephen L'Heureux, Sarah Black</t>
  </si>
  <si>
    <t>John Frizzell</t>
  </si>
  <si>
    <t>/ryocnetNNLWs0Oefkqkea6HccqV.jpg</t>
  </si>
  <si>
    <t>100 feet</t>
  </si>
  <si>
    <t>blank (9), hamburg fantasy filmfest (1), sitges international festival of fantastic and horror cinema (1), screamfest film festival (1), dvd premiere (9), tv premiere (4), imagine film festival (1), dvd and blu-ray premiere (1), tv release (1)</t>
  </si>
  <si>
    <t>The X Files: I Want to Believe</t>
  </si>
  <si>
    <t>tt0443701</t>
  </si>
  <si>
    <t>Mulder and Scully are called back to duty by the FBI when a former priest claims to be receiving psychic visions pertaining to a kidnapped agent.</t>
  </si>
  <si>
    <t>To find the truth, you must believe.</t>
  </si>
  <si>
    <t>Mystery, Science Fiction, Thriller</t>
  </si>
  <si>
    <t>ten thirteen productions, dune entertainment iii, crying box productions, 20th century fox</t>
  </si>
  <si>
    <t>Xantha Radley, Xzibit, Marco Niccoli, Vanesa Tomasino, Amanda Peet, Dion Johnstone, Sarah-Jane Redmond, Brent C.S. O'Connor, Veronika Hadrav‚àö¬∞,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t>
  </si>
  <si>
    <t>Chris Carter</t>
  </si>
  <si>
    <t>Bill Roe</t>
  </si>
  <si>
    <t>Frank Spotnitz, Chris Carter</t>
  </si>
  <si>
    <t>Frank Spotnitz, Chris Carter, Brent O'Connor</t>
  </si>
  <si>
    <t>Mark Snow</t>
  </si>
  <si>
    <t>/3zQMhutUMJP6lK49x7i2YfsOHL9.jpg</t>
  </si>
  <si>
    <t>the x files: i want to believe</t>
  </si>
  <si>
    <t>hollywood, california (1), premiere (2), blank (55), german speaking region (1), french speaking region (1), london (1)</t>
  </si>
  <si>
    <t>Step Brothers</t>
  </si>
  <si>
    <t>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</si>
  <si>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</si>
  <si>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</si>
  <si>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Comedy</t>
  </si>
  <si>
    <t>columbia pictures, mosaic media group, gary sanchez productions, relativity media, apatow productions</t>
  </si>
  <si>
    <t>English, Espa‚àö¬±ol</t>
  </si>
  <si>
    <t>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t>
  </si>
  <si>
    <t>Adam McKay</t>
  </si>
  <si>
    <t>Oliver Wood</t>
  </si>
  <si>
    <t>Adam McKay, Will Ferrell, John C. Reilly</t>
  </si>
  <si>
    <t>Adam McKay, David B. Householter, Jimmy Miller, Will Ferrell, Judd Apatow</t>
  </si>
  <si>
    <t>Jon Brion</t>
  </si>
  <si>
    <t>/tY2FpgzPVx92JrYveWt4bn3cMyD.jpg</t>
  </si>
  <si>
    <t>step brothers</t>
  </si>
  <si>
    <t>blank (36), limited (1), dvd premiere (8), dvd and blu-ray premiere (1), blu-ray release (1), locarno film festival (1), internet (1)</t>
  </si>
  <si>
    <t>Brideshead Revisited</t>
  </si>
  <si>
    <t>tt0412536</t>
  </si>
  <si>
    <t>Artist Charles Ryder runs into aristocrat Julia Flyte and recalls his friendship with her eccentric family prior to the outbreak of the Second World War.</t>
  </si>
  <si>
    <t>Privilege. Ambition. Desire. At Brideshead everything comes at a price.</t>
  </si>
  <si>
    <t>Drama, Romance</t>
  </si>
  <si>
    <t>bbc film, ecosse films, hanway films, uk film council, 2 entertain, zak productions, brideshead films, mestiere cinema</t>
  </si>
  <si>
    <t>Morocco, United Kingdom, Italy</t>
  </si>
  <si>
    <t>Italiano, Fran‚àö√üais, English</t>
  </si>
  <si>
    <t>Felicity Jones, Niall Buggy, Sarah Crowden, Patrick Malahide, Rita Davies, Matthew Goode, Tom Wlaschiha, Hayley Atwell, Jonathan Cake, Greta Scacchi, Michael Gambon, Ed Stoppard, Richard Teverson, Emma Thompson, Susan Brown, Anna Madeley, Joseph Beattie, Ben Whishaw</t>
  </si>
  <si>
    <t>Julian Jarrold</t>
  </si>
  <si>
    <t>Jess Hall</t>
  </si>
  <si>
    <t>Andrew Davies, Evelyn Waugh, Jeremy Brock</t>
  </si>
  <si>
    <t>Hugo Heppell, Joanna Anderson, Nicole Finnan, James Saynor, Douglas Rae, Kevin Loader, David M. Thompson, Robert Bernstein, Tim Haslam</t>
  </si>
  <si>
    <t>Adrian Johnston</t>
  </si>
  <si>
    <t>/q1IqGWVNIRcXnfw9vjye7oQYUg4.jpg</t>
  </si>
  <si>
    <t>brideshead revisited</t>
  </si>
  <si>
    <t>new york city, new york (1), limited (2), blank (23), dvd premiere (3), pantalla pinamar festival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</si>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</sst>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A11DE-F042-314A-AC18-41CB25BB31AA}" name="Table1" displayName="Table1" ref="A1:AQ39" totalsRowCount="1">
  <autoFilter ref="A1:AQ38" xr:uid="{D5FA11DE-F042-314A-AC18-41CB25BB31AA}"/>
  <tableColumns count="43">
    <tableColumn id="1" xr3:uid="{795465BF-432C-C541-8BA9-ED00106C8219}" name="id" totalsRowLabel="Total"/>
    <tableColumn id="2" xr3:uid="{AD26BA7A-96D4-1147-BC39-7A47049278B2}" name="title"/>
    <tableColumn id="3" xr3:uid="{BB2C55EC-23E7-DA4C-8416-1AA24B035F42}" name="vote_average"/>
    <tableColumn id="4" xr3:uid="{DF7247D0-F56F-2446-8E24-31EABD0C798F}" name="vote_count"/>
    <tableColumn id="5" xr3:uid="{348F4399-34BB-974A-86E6-C70ED87FC833}" name="status"/>
    <tableColumn id="6" xr3:uid="{2A612988-FA15-044D-AE45-77A52D2482DD}" name="release_date" dataDxfId="0"/>
    <tableColumn id="7" xr3:uid="{0C10B1FF-AF44-5E43-BAD2-C0682FCB9768}" name="revenue"/>
    <tableColumn id="8" xr3:uid="{40866D79-D768-D24E-99F9-487C0D870032}" name="runtime"/>
    <tableColumn id="9" xr3:uid="{31FE4829-8B99-B84A-9379-D249BDCDB161}" name="budget"/>
    <tableColumn id="10" xr3:uid="{731654EA-C543-FD43-8238-9CF5DC0139CE}" name="imdb_id"/>
    <tableColumn id="11" xr3:uid="{40BA610C-B46C-2549-A505-85B22F03CCBA}" name="original_language"/>
    <tableColumn id="12" xr3:uid="{B30A5A5B-CEBB-064D-A1F7-1D9AD1203F73}" name="original_title"/>
    <tableColumn id="13" xr3:uid="{7F514B1D-9A7D-7641-BF8D-C94B66C455BE}" name="overview"/>
    <tableColumn id="14" xr3:uid="{866412F1-0751-8542-A11F-CE650E69C574}" name="popularity"/>
    <tableColumn id="15" xr3:uid="{FC200AF5-B7C6-2A48-B413-6E7B7A2C6C8D}" name="tagline"/>
    <tableColumn id="16" xr3:uid="{9A6BB398-A64D-4840-828B-AA603F8C2E9E}" name="genres"/>
    <tableColumn id="17" xr3:uid="{071E2EAF-7F64-0C46-8239-FBCC3DD1F72E}" name="production_companies"/>
    <tableColumn id="18" xr3:uid="{6D4ED8AB-0ACF-C94D-9211-3BB210B4FBBB}" name="production_countries"/>
    <tableColumn id="19" xr3:uid="{AD42570A-7E2F-B24B-90E2-96420B449244}" name="spoken_languages"/>
    <tableColumn id="20" xr3:uid="{7E208866-251C-2B47-A640-299BCEA1EF03}" name="cast"/>
    <tableColumn id="21" xr3:uid="{AA51A679-2BA9-4341-890C-401A0FFFD21F}" name="director"/>
    <tableColumn id="22" xr3:uid="{23D5B8CB-E96F-C44E-A8ED-CA2796E6079A}" name="director_of_photography"/>
    <tableColumn id="23" xr3:uid="{7B01E489-04B7-604F-B2A5-E16DEF70855E}" name="writers"/>
    <tableColumn id="24" xr3:uid="{E7A53041-1E4E-954A-B44E-D4F1443F4A71}" name="producers"/>
    <tableColumn id="25" xr3:uid="{6CDA3991-3C8C-614D-A32B-EA00DD6B206F}" name="music_composer"/>
    <tableColumn id="26" xr3:uid="{E273F297-503B-1241-B046-8F6A3FB3691E}" name="imdb_rating"/>
    <tableColumn id="27" xr3:uid="{66764842-E32D-A84C-A2D7-8B1273586A4B}" name="imdb_votes"/>
    <tableColumn id="28" xr3:uid="{C86A11A4-C128-CF4F-AE57-1CF3AB1902F1}" name="poster_path"/>
    <tableColumn id="29" xr3:uid="{D78B2C5B-FFB6-5645-909F-FEECCCFF2250}" name="release_month"/>
    <tableColumn id="30" xr3:uid="{72C187A8-8902-174B-BD5A-D3C607225238}" name="release_year"/>
    <tableColumn id="31" xr3:uid="{201D3E70-2BF5-1444-9D68-BEE54540252D}" name="iso_week"/>
    <tableColumn id="32" xr3:uid="{45D78EAB-31FA-8F47-B530-A7C9547DF556}" name="title_clean"/>
    <tableColumn id="33" xr3:uid="{2F07E335-26E8-F344-B3A6-EDCB4381BF4C}" name="distance"/>
    <tableColumn id="34" xr3:uid="{6F334EED-F830-7F4C-9576-36B42F7E93D0}" name="strength"/>
    <tableColumn id="35" xr3:uid="{0A541C88-7F80-1040-A292-086467366956}" name="score" totalsRowFunction="sum"/>
    <tableColumn id="36" xr3:uid="{F1A78BAF-93CF-E546-AB9E-7212026EAC72}" name="marvel_movie"/>
    <tableColumn id="37" xr3:uid="{30753911-70F6-7742-8495-99AD8F928031}" name="attributes"/>
    <tableColumn id="38" xr3:uid="{FCA17377-496B-3E4B-A049-F83442FDC508}" name="blank"/>
    <tableColumn id="39" xr3:uid="{C0119A08-186A-0145-8F93-AD66F5708904}" name="internet"/>
    <tableColumn id="40" xr3:uid="{5A0CFB96-D98C-A44C-8F86-34D4F39FFB86}" name="total"/>
    <tableColumn id="41" xr3:uid="{C7C33EB1-5984-A949-921E-AB7900127A7D}" name="internet_ratio"/>
    <tableColumn id="42" xr3:uid="{FFF166AD-D543-4647-925F-58CAD14BB800}" name="internet_dominance"/>
    <tableColumn id="43" xr3:uid="{84793C9E-0CD7-784B-AE39-516D7ED282B8}"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30B1-9ABB-F849-9325-E2DBB5241D6D}">
  <dimension ref="A1:AQ39"/>
  <sheetViews>
    <sheetView tabSelected="1" topLeftCell="U3" workbookViewId="0">
      <selection activeCell="AI39" sqref="AI39"/>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1726</v>
      </c>
      <c r="B2" t="s">
        <v>43</v>
      </c>
      <c r="C2">
        <v>7.6539999999999999</v>
      </c>
      <c r="D2">
        <v>27411</v>
      </c>
      <c r="E2" t="s">
        <v>44</v>
      </c>
      <c r="F2" s="1">
        <v>39568</v>
      </c>
      <c r="G2">
        <v>585174222</v>
      </c>
      <c r="H2">
        <v>126</v>
      </c>
      <c r="I2">
        <v>140000000</v>
      </c>
      <c r="J2" t="s">
        <v>45</v>
      </c>
      <c r="K2" t="s">
        <v>46</v>
      </c>
      <c r="L2" t="s">
        <v>43</v>
      </c>
      <c r="M2" t="s">
        <v>47</v>
      </c>
      <c r="N2">
        <v>18.1675</v>
      </c>
      <c r="O2" t="s">
        <v>48</v>
      </c>
      <c r="P2" t="s">
        <v>49</v>
      </c>
      <c r="Q2" t="s">
        <v>50</v>
      </c>
      <c r="R2" t="s">
        <v>51</v>
      </c>
      <c r="S2" t="s">
        <v>52</v>
      </c>
      <c r="T2" t="s">
        <v>53</v>
      </c>
      <c r="U2" t="s">
        <v>54</v>
      </c>
      <c r="V2" t="s">
        <v>55</v>
      </c>
      <c r="W2" t="s">
        <v>56</v>
      </c>
      <c r="X2" t="s">
        <v>57</v>
      </c>
      <c r="Y2" t="s">
        <v>58</v>
      </c>
      <c r="Z2">
        <v>7.9</v>
      </c>
      <c r="AA2">
        <v>1198446</v>
      </c>
      <c r="AB2" t="s">
        <v>59</v>
      </c>
      <c r="AC2">
        <v>4</v>
      </c>
      <c r="AD2">
        <v>2008</v>
      </c>
      <c r="AE2">
        <v>18</v>
      </c>
      <c r="AF2" t="s">
        <v>60</v>
      </c>
      <c r="AG2">
        <v>-43</v>
      </c>
      <c r="AH2">
        <v>20.187420177951399</v>
      </c>
      <c r="AI2">
        <v>0.45880500404434998</v>
      </c>
      <c r="AJ2" t="s">
        <v>61</v>
      </c>
      <c r="AK2" t="s">
        <v>62</v>
      </c>
      <c r="AL2">
        <v>65</v>
      </c>
      <c r="AM2">
        <v>0</v>
      </c>
      <c r="AN2">
        <v>90</v>
      </c>
      <c r="AO2">
        <v>0</v>
      </c>
      <c r="AP2" t="s">
        <v>63</v>
      </c>
      <c r="AQ2" t="s">
        <v>63</v>
      </c>
    </row>
    <row r="3" spans="1:43" x14ac:dyDescent="0.2">
      <c r="A3">
        <v>9262</v>
      </c>
      <c r="B3" t="s">
        <v>64</v>
      </c>
      <c r="C3">
        <v>5.4</v>
      </c>
      <c r="D3">
        <v>250</v>
      </c>
      <c r="E3" t="s">
        <v>44</v>
      </c>
      <c r="F3" s="1">
        <v>39568</v>
      </c>
      <c r="G3">
        <v>7926601</v>
      </c>
      <c r="H3">
        <v>97</v>
      </c>
      <c r="I3">
        <v>25000000</v>
      </c>
      <c r="J3" t="s">
        <v>65</v>
      </c>
      <c r="K3" t="s">
        <v>46</v>
      </c>
      <c r="L3" t="s">
        <v>64</v>
      </c>
      <c r="M3" t="s">
        <v>66</v>
      </c>
      <c r="N3">
        <v>1.2793000000000001</v>
      </c>
      <c r="O3" t="s">
        <v>67</v>
      </c>
      <c r="P3" t="s">
        <v>68</v>
      </c>
      <c r="Q3" t="s">
        <v>69</v>
      </c>
      <c r="R3" t="s">
        <v>51</v>
      </c>
      <c r="S3" t="s">
        <v>70</v>
      </c>
      <c r="T3" t="s">
        <v>71</v>
      </c>
      <c r="U3" t="s">
        <v>72</v>
      </c>
      <c r="V3" t="s">
        <v>73</v>
      </c>
      <c r="W3" t="s">
        <v>72</v>
      </c>
      <c r="X3" t="s">
        <v>74</v>
      </c>
      <c r="Y3" t="s">
        <v>75</v>
      </c>
      <c r="Z3">
        <v>5.3</v>
      </c>
      <c r="AA3">
        <v>12866</v>
      </c>
      <c r="AB3" t="s">
        <v>76</v>
      </c>
      <c r="AC3">
        <v>4</v>
      </c>
      <c r="AD3">
        <v>2008</v>
      </c>
      <c r="AE3">
        <v>18</v>
      </c>
      <c r="AF3" t="s">
        <v>77</v>
      </c>
      <c r="AG3">
        <v>-43</v>
      </c>
      <c r="AH3">
        <v>15.885735002409399</v>
      </c>
      <c r="AI3">
        <v>0.36103943187294202</v>
      </c>
      <c r="AJ3" t="s">
        <v>61</v>
      </c>
      <c r="AK3" t="s">
        <v>78</v>
      </c>
      <c r="AL3">
        <v>18</v>
      </c>
      <c r="AM3">
        <v>0</v>
      </c>
      <c r="AN3">
        <v>29</v>
      </c>
      <c r="AO3">
        <v>0</v>
      </c>
      <c r="AP3" t="s">
        <v>63</v>
      </c>
      <c r="AQ3" t="s">
        <v>63</v>
      </c>
    </row>
    <row r="4" spans="1:43" x14ac:dyDescent="0.2">
      <c r="A4">
        <v>10761</v>
      </c>
      <c r="B4" t="s">
        <v>79</v>
      </c>
      <c r="C4">
        <v>6.444</v>
      </c>
      <c r="D4">
        <v>1738</v>
      </c>
      <c r="E4" t="s">
        <v>44</v>
      </c>
      <c r="F4" s="1">
        <v>39568</v>
      </c>
      <c r="G4">
        <v>106407672</v>
      </c>
      <c r="H4">
        <v>101</v>
      </c>
      <c r="I4">
        <v>40000000</v>
      </c>
      <c r="J4" t="s">
        <v>80</v>
      </c>
      <c r="K4" t="s">
        <v>46</v>
      </c>
      <c r="L4" t="s">
        <v>79</v>
      </c>
      <c r="M4" t="s">
        <v>81</v>
      </c>
      <c r="N4">
        <v>4.1786000000000003</v>
      </c>
      <c r="O4" t="s">
        <v>82</v>
      </c>
      <c r="P4" t="s">
        <v>83</v>
      </c>
      <c r="Q4" t="s">
        <v>84</v>
      </c>
      <c r="R4" t="s">
        <v>85</v>
      </c>
      <c r="S4" t="s">
        <v>70</v>
      </c>
      <c r="T4" t="s">
        <v>86</v>
      </c>
      <c r="U4" t="s">
        <v>87</v>
      </c>
      <c r="V4" t="s">
        <v>88</v>
      </c>
      <c r="W4" t="s">
        <v>89</v>
      </c>
      <c r="X4" t="s">
        <v>90</v>
      </c>
      <c r="Y4" t="s">
        <v>91</v>
      </c>
      <c r="Z4">
        <v>5.8</v>
      </c>
      <c r="AA4">
        <v>79195</v>
      </c>
      <c r="AB4" t="s">
        <v>92</v>
      </c>
      <c r="AC4">
        <v>4</v>
      </c>
      <c r="AD4">
        <v>2008</v>
      </c>
      <c r="AE4">
        <v>18</v>
      </c>
      <c r="AF4" t="s">
        <v>93</v>
      </c>
      <c r="AG4">
        <v>-43</v>
      </c>
      <c r="AH4">
        <v>18.4827882469333</v>
      </c>
      <c r="AI4">
        <v>0.42006336924848398</v>
      </c>
      <c r="AJ4" t="s">
        <v>61</v>
      </c>
      <c r="AK4" t="s">
        <v>94</v>
      </c>
      <c r="AL4">
        <v>85</v>
      </c>
      <c r="AM4">
        <v>0</v>
      </c>
      <c r="AN4">
        <v>90</v>
      </c>
      <c r="AO4">
        <v>0</v>
      </c>
      <c r="AP4" t="s">
        <v>63</v>
      </c>
      <c r="AQ4" t="s">
        <v>63</v>
      </c>
    </row>
    <row r="5" spans="1:43" x14ac:dyDescent="0.2">
      <c r="A5">
        <v>7459</v>
      </c>
      <c r="B5" t="s">
        <v>95</v>
      </c>
      <c r="C5">
        <v>6.3230000000000004</v>
      </c>
      <c r="D5">
        <v>1686</v>
      </c>
      <c r="E5" t="s">
        <v>44</v>
      </c>
      <c r="F5" s="1">
        <v>39575</v>
      </c>
      <c r="G5">
        <v>93900000</v>
      </c>
      <c r="H5">
        <v>135</v>
      </c>
      <c r="I5">
        <v>120000000</v>
      </c>
      <c r="J5" t="s">
        <v>96</v>
      </c>
      <c r="K5" t="s">
        <v>46</v>
      </c>
      <c r="L5" t="s">
        <v>95</v>
      </c>
      <c r="M5" t="s">
        <v>97</v>
      </c>
      <c r="N5">
        <v>5.7001999999999997</v>
      </c>
      <c r="O5" t="s">
        <v>98</v>
      </c>
      <c r="P5" t="s">
        <v>99</v>
      </c>
      <c r="Q5" t="s">
        <v>100</v>
      </c>
      <c r="R5" t="s">
        <v>51</v>
      </c>
      <c r="S5" t="s">
        <v>101</v>
      </c>
      <c r="T5" t="s">
        <v>102</v>
      </c>
      <c r="U5" t="s">
        <v>103</v>
      </c>
      <c r="V5" t="s">
        <v>104</v>
      </c>
      <c r="W5" t="s">
        <v>105</v>
      </c>
      <c r="X5" t="s">
        <v>106</v>
      </c>
      <c r="Y5" t="s">
        <v>107</v>
      </c>
      <c r="Z5">
        <v>6.1</v>
      </c>
      <c r="AA5">
        <v>82210</v>
      </c>
      <c r="AB5" t="s">
        <v>108</v>
      </c>
      <c r="AC5">
        <v>5</v>
      </c>
      <c r="AD5">
        <v>2008</v>
      </c>
      <c r="AE5">
        <v>19</v>
      </c>
      <c r="AF5" t="s">
        <v>109</v>
      </c>
      <c r="AG5">
        <v>-36</v>
      </c>
      <c r="AH5">
        <v>18.357740954828099</v>
      </c>
      <c r="AI5">
        <v>0.49615516094130002</v>
      </c>
      <c r="AJ5" t="s">
        <v>61</v>
      </c>
      <c r="AK5" t="s">
        <v>110</v>
      </c>
      <c r="AL5">
        <v>68</v>
      </c>
      <c r="AM5">
        <v>0</v>
      </c>
      <c r="AN5">
        <v>78</v>
      </c>
      <c r="AO5">
        <v>0</v>
      </c>
      <c r="AP5" t="s">
        <v>63</v>
      </c>
      <c r="AQ5" t="s">
        <v>63</v>
      </c>
    </row>
    <row r="6" spans="1:43" x14ac:dyDescent="0.2">
      <c r="A6">
        <v>9029</v>
      </c>
      <c r="B6" t="s">
        <v>111</v>
      </c>
      <c r="C6">
        <v>6.1</v>
      </c>
      <c r="D6">
        <v>3177</v>
      </c>
      <c r="E6" t="s">
        <v>44</v>
      </c>
      <c r="F6" s="1">
        <v>39575</v>
      </c>
      <c r="G6">
        <v>219400000</v>
      </c>
      <c r="H6">
        <v>99</v>
      </c>
      <c r="I6">
        <v>35000000</v>
      </c>
      <c r="J6" t="s">
        <v>112</v>
      </c>
      <c r="K6" t="s">
        <v>46</v>
      </c>
      <c r="L6" t="s">
        <v>111</v>
      </c>
      <c r="M6" t="s">
        <v>113</v>
      </c>
      <c r="N6">
        <v>3.5261999999999998</v>
      </c>
      <c r="O6" t="s">
        <v>114</v>
      </c>
      <c r="P6" t="s">
        <v>83</v>
      </c>
      <c r="Q6" t="s">
        <v>115</v>
      </c>
      <c r="R6" t="s">
        <v>51</v>
      </c>
      <c r="S6" t="s">
        <v>116</v>
      </c>
      <c r="T6" t="s">
        <v>117</v>
      </c>
      <c r="U6" t="s">
        <v>118</v>
      </c>
      <c r="V6" t="s">
        <v>119</v>
      </c>
      <c r="W6" t="s">
        <v>120</v>
      </c>
      <c r="X6" t="s">
        <v>121</v>
      </c>
      <c r="Y6" t="s">
        <v>122</v>
      </c>
      <c r="Z6">
        <v>6.1</v>
      </c>
      <c r="AA6">
        <v>193665</v>
      </c>
      <c r="AB6" t="s">
        <v>123</v>
      </c>
      <c r="AC6">
        <v>5</v>
      </c>
      <c r="AD6">
        <v>2008</v>
      </c>
      <c r="AE6">
        <v>19</v>
      </c>
      <c r="AF6" t="s">
        <v>124</v>
      </c>
      <c r="AG6">
        <v>-36</v>
      </c>
      <c r="AH6">
        <v>19.206407110363202</v>
      </c>
      <c r="AI6">
        <v>0.51909208406387197</v>
      </c>
      <c r="AJ6" t="s">
        <v>61</v>
      </c>
      <c r="AK6" t="s">
        <v>125</v>
      </c>
      <c r="AL6">
        <v>49</v>
      </c>
      <c r="AM6">
        <v>1</v>
      </c>
      <c r="AN6">
        <v>60</v>
      </c>
      <c r="AO6">
        <v>0.02</v>
      </c>
      <c r="AP6" t="s">
        <v>63</v>
      </c>
      <c r="AQ6" t="s">
        <v>63</v>
      </c>
    </row>
    <row r="7" spans="1:43" x14ac:dyDescent="0.2">
      <c r="A7">
        <v>14574</v>
      </c>
      <c r="B7" t="s">
        <v>126</v>
      </c>
      <c r="C7">
        <v>7.8220000000000001</v>
      </c>
      <c r="D7">
        <v>7423</v>
      </c>
      <c r="E7" t="s">
        <v>44</v>
      </c>
      <c r="F7" s="1">
        <v>39575</v>
      </c>
      <c r="G7">
        <v>20416563</v>
      </c>
      <c r="H7">
        <v>94</v>
      </c>
      <c r="I7">
        <v>12500000</v>
      </c>
      <c r="J7" t="s">
        <v>127</v>
      </c>
      <c r="K7" t="s">
        <v>46</v>
      </c>
      <c r="L7" t="s">
        <v>126</v>
      </c>
      <c r="M7" t="s">
        <v>128</v>
      </c>
      <c r="N7">
        <v>8.4727999999999994</v>
      </c>
      <c r="O7" t="s">
        <v>129</v>
      </c>
      <c r="P7" t="s">
        <v>130</v>
      </c>
      <c r="Q7" t="s">
        <v>131</v>
      </c>
      <c r="R7" t="s">
        <v>85</v>
      </c>
      <c r="S7" t="s">
        <v>132</v>
      </c>
      <c r="T7" t="s">
        <v>133</v>
      </c>
      <c r="U7" t="s">
        <v>134</v>
      </c>
      <c r="V7" t="s">
        <v>135</v>
      </c>
      <c r="W7" t="s">
        <v>136</v>
      </c>
      <c r="X7" t="s">
        <v>137</v>
      </c>
      <c r="Y7" t="s">
        <v>138</v>
      </c>
      <c r="Z7">
        <v>7.7</v>
      </c>
      <c r="AA7">
        <v>267516</v>
      </c>
      <c r="AB7" t="s">
        <v>139</v>
      </c>
      <c r="AC7">
        <v>5</v>
      </c>
      <c r="AD7">
        <v>2008</v>
      </c>
      <c r="AE7">
        <v>19</v>
      </c>
      <c r="AF7" t="s">
        <v>140</v>
      </c>
      <c r="AG7">
        <v>-36</v>
      </c>
      <c r="AH7">
        <v>16.8318570901369</v>
      </c>
      <c r="AI7">
        <v>0.45491505649018699</v>
      </c>
      <c r="AJ7" t="s">
        <v>61</v>
      </c>
      <c r="AK7" t="s">
        <v>141</v>
      </c>
      <c r="AL7">
        <v>31</v>
      </c>
      <c r="AM7">
        <v>6</v>
      </c>
      <c r="AN7">
        <v>55</v>
      </c>
      <c r="AO7">
        <v>0.11</v>
      </c>
      <c r="AP7" t="s">
        <v>63</v>
      </c>
      <c r="AQ7" t="s">
        <v>63</v>
      </c>
    </row>
    <row r="8" spans="1:43" x14ac:dyDescent="0.2">
      <c r="A8">
        <v>8338</v>
      </c>
      <c r="B8" t="s">
        <v>142</v>
      </c>
      <c r="C8">
        <v>6.5</v>
      </c>
      <c r="D8">
        <v>1318</v>
      </c>
      <c r="E8" t="s">
        <v>44</v>
      </c>
      <c r="F8" s="1">
        <v>39582</v>
      </c>
      <c r="G8">
        <v>19844979</v>
      </c>
      <c r="H8">
        <v>121</v>
      </c>
      <c r="I8">
        <v>25000000</v>
      </c>
      <c r="J8" t="s">
        <v>143</v>
      </c>
      <c r="K8" t="s">
        <v>46</v>
      </c>
      <c r="L8" t="s">
        <v>142</v>
      </c>
      <c r="M8" t="s">
        <v>144</v>
      </c>
      <c r="N8">
        <v>3.9034</v>
      </c>
      <c r="O8" t="s">
        <v>145</v>
      </c>
      <c r="P8" t="s">
        <v>146</v>
      </c>
      <c r="Q8" t="s">
        <v>147</v>
      </c>
      <c r="R8" t="s">
        <v>148</v>
      </c>
      <c r="S8" t="s">
        <v>149</v>
      </c>
      <c r="T8" t="s">
        <v>150</v>
      </c>
      <c r="U8" t="s">
        <v>151</v>
      </c>
      <c r="V8" t="s">
        <v>152</v>
      </c>
      <c r="W8" t="s">
        <v>153</v>
      </c>
      <c r="X8" t="s">
        <v>154</v>
      </c>
      <c r="Y8" t="s">
        <v>155</v>
      </c>
      <c r="Z8">
        <v>6.5</v>
      </c>
      <c r="AA8">
        <v>76726</v>
      </c>
      <c r="AB8" t="s">
        <v>156</v>
      </c>
      <c r="AC8">
        <v>5</v>
      </c>
      <c r="AD8">
        <v>2008</v>
      </c>
      <c r="AE8">
        <v>20</v>
      </c>
      <c r="AF8" t="s">
        <v>157</v>
      </c>
      <c r="AG8">
        <v>-29</v>
      </c>
      <c r="AH8">
        <v>16.803461636388199</v>
      </c>
      <c r="AI8">
        <v>0.56011538787960802</v>
      </c>
      <c r="AJ8" t="s">
        <v>61</v>
      </c>
      <c r="AK8" t="s">
        <v>158</v>
      </c>
      <c r="AL8">
        <v>36</v>
      </c>
      <c r="AM8">
        <v>0</v>
      </c>
      <c r="AN8">
        <v>59</v>
      </c>
      <c r="AO8">
        <v>0</v>
      </c>
      <c r="AP8" t="s">
        <v>63</v>
      </c>
      <c r="AQ8" t="s">
        <v>63</v>
      </c>
    </row>
    <row r="9" spans="1:43" x14ac:dyDescent="0.2">
      <c r="A9">
        <v>2454</v>
      </c>
      <c r="B9" t="s">
        <v>159</v>
      </c>
      <c r="C9">
        <v>6.6269999999999998</v>
      </c>
      <c r="D9">
        <v>6592</v>
      </c>
      <c r="E9" t="s">
        <v>44</v>
      </c>
      <c r="F9" s="1">
        <v>39583</v>
      </c>
      <c r="G9">
        <v>419665568</v>
      </c>
      <c r="H9">
        <v>150</v>
      </c>
      <c r="I9">
        <v>225000000</v>
      </c>
      <c r="J9" t="s">
        <v>160</v>
      </c>
      <c r="K9" t="s">
        <v>46</v>
      </c>
      <c r="L9" t="s">
        <v>159</v>
      </c>
      <c r="M9" t="s">
        <v>161</v>
      </c>
      <c r="N9">
        <v>6.0989000000000004</v>
      </c>
      <c r="O9" t="s">
        <v>162</v>
      </c>
      <c r="P9" t="s">
        <v>163</v>
      </c>
      <c r="Q9" t="s">
        <v>164</v>
      </c>
      <c r="R9" t="s">
        <v>51</v>
      </c>
      <c r="S9" t="s">
        <v>70</v>
      </c>
      <c r="T9" t="s">
        <v>165</v>
      </c>
      <c r="U9" t="s">
        <v>166</v>
      </c>
      <c r="V9" t="s">
        <v>167</v>
      </c>
      <c r="W9" t="s">
        <v>168</v>
      </c>
      <c r="X9" t="s">
        <v>169</v>
      </c>
      <c r="Y9" t="s">
        <v>170</v>
      </c>
      <c r="Z9">
        <v>6.5</v>
      </c>
      <c r="AA9">
        <v>235970</v>
      </c>
      <c r="AB9" t="s">
        <v>171</v>
      </c>
      <c r="AC9">
        <v>5</v>
      </c>
      <c r="AD9">
        <v>2008</v>
      </c>
      <c r="AE9">
        <v>20</v>
      </c>
      <c r="AF9" t="s">
        <v>172</v>
      </c>
      <c r="AG9">
        <v>-28</v>
      </c>
      <c r="AH9">
        <v>19.854968687769102</v>
      </c>
      <c r="AI9">
        <v>0.68465409268169497</v>
      </c>
      <c r="AJ9" t="s">
        <v>61</v>
      </c>
      <c r="AK9" t="s">
        <v>173</v>
      </c>
      <c r="AL9">
        <v>66</v>
      </c>
      <c r="AM9">
        <v>0</v>
      </c>
      <c r="AN9">
        <v>69</v>
      </c>
      <c r="AO9">
        <v>0</v>
      </c>
      <c r="AP9" t="s">
        <v>63</v>
      </c>
      <c r="AQ9" t="s">
        <v>63</v>
      </c>
    </row>
    <row r="10" spans="1:43" x14ac:dyDescent="0.2">
      <c r="A10">
        <v>217</v>
      </c>
      <c r="B10" t="s">
        <v>174</v>
      </c>
      <c r="C10">
        <v>6.0179999999999998</v>
      </c>
      <c r="D10">
        <v>8728</v>
      </c>
      <c r="E10" t="s">
        <v>44</v>
      </c>
      <c r="F10" s="1">
        <v>39589</v>
      </c>
      <c r="G10">
        <v>786636033</v>
      </c>
      <c r="H10">
        <v>122</v>
      </c>
      <c r="I10">
        <v>185000000</v>
      </c>
      <c r="J10" t="s">
        <v>175</v>
      </c>
      <c r="K10" t="s">
        <v>46</v>
      </c>
      <c r="L10" t="s">
        <v>174</v>
      </c>
      <c r="M10" t="s">
        <v>176</v>
      </c>
      <c r="N10">
        <v>6.5548000000000002</v>
      </c>
      <c r="O10" t="s">
        <v>177</v>
      </c>
      <c r="P10" t="s">
        <v>178</v>
      </c>
      <c r="Q10" t="s">
        <v>179</v>
      </c>
      <c r="R10" t="s">
        <v>51</v>
      </c>
      <c r="S10" t="s">
        <v>180</v>
      </c>
      <c r="T10" t="s">
        <v>181</v>
      </c>
      <c r="U10" t="s">
        <v>182</v>
      </c>
      <c r="V10" t="s">
        <v>183</v>
      </c>
      <c r="W10" t="s">
        <v>184</v>
      </c>
      <c r="X10" t="s">
        <v>185</v>
      </c>
      <c r="Y10" t="s">
        <v>186</v>
      </c>
      <c r="Z10">
        <v>6.2</v>
      </c>
      <c r="AA10">
        <v>508621</v>
      </c>
      <c r="AB10" t="s">
        <v>187</v>
      </c>
      <c r="AC10">
        <v>5</v>
      </c>
      <c r="AD10">
        <v>2008</v>
      </c>
      <c r="AE10">
        <v>21</v>
      </c>
      <c r="AF10" t="s">
        <v>188</v>
      </c>
      <c r="AG10">
        <v>-22</v>
      </c>
      <c r="AH10">
        <v>20.483276226727099</v>
      </c>
      <c r="AI10">
        <v>0.89057722724900601</v>
      </c>
      <c r="AJ10" t="s">
        <v>61</v>
      </c>
      <c r="AK10" t="s">
        <v>189</v>
      </c>
      <c r="AL10">
        <v>70</v>
      </c>
      <c r="AM10">
        <v>0</v>
      </c>
      <c r="AN10">
        <v>86</v>
      </c>
      <c r="AO10">
        <v>0</v>
      </c>
      <c r="AP10" t="s">
        <v>63</v>
      </c>
      <c r="AQ10" t="s">
        <v>63</v>
      </c>
    </row>
    <row r="11" spans="1:43" x14ac:dyDescent="0.2">
      <c r="A11">
        <v>10665</v>
      </c>
      <c r="B11" t="s">
        <v>190</v>
      </c>
      <c r="C11">
        <v>6.1</v>
      </c>
      <c r="D11">
        <v>2559</v>
      </c>
      <c r="E11" t="s">
        <v>44</v>
      </c>
      <c r="F11" s="1">
        <v>39597</v>
      </c>
      <c r="G11">
        <v>83051676</v>
      </c>
      <c r="H11">
        <v>86</v>
      </c>
      <c r="I11">
        <v>9000000</v>
      </c>
      <c r="J11" t="s">
        <v>191</v>
      </c>
      <c r="K11" t="s">
        <v>46</v>
      </c>
      <c r="L11" t="s">
        <v>190</v>
      </c>
      <c r="M11" t="s">
        <v>192</v>
      </c>
      <c r="N11">
        <v>5.3548</v>
      </c>
      <c r="O11" t="s">
        <v>193</v>
      </c>
      <c r="P11" t="s">
        <v>194</v>
      </c>
      <c r="Q11" t="s">
        <v>195</v>
      </c>
      <c r="R11" t="s">
        <v>51</v>
      </c>
      <c r="S11" t="s">
        <v>70</v>
      </c>
      <c r="T11" t="s">
        <v>196</v>
      </c>
      <c r="U11" t="s">
        <v>197</v>
      </c>
      <c r="V11" t="s">
        <v>198</v>
      </c>
      <c r="W11" t="s">
        <v>197</v>
      </c>
      <c r="X11" t="s">
        <v>199</v>
      </c>
      <c r="Y11" t="s">
        <v>200</v>
      </c>
      <c r="Z11">
        <v>6.1</v>
      </c>
      <c r="AA11">
        <v>155018</v>
      </c>
      <c r="AB11" t="s">
        <v>201</v>
      </c>
      <c r="AC11">
        <v>5</v>
      </c>
      <c r="AD11">
        <v>2008</v>
      </c>
      <c r="AE11">
        <v>22</v>
      </c>
      <c r="AF11" t="s">
        <v>202</v>
      </c>
      <c r="AG11">
        <v>-14</v>
      </c>
      <c r="AH11">
        <v>18.234973586474698</v>
      </c>
      <c r="AI11">
        <v>1.21566490576498</v>
      </c>
      <c r="AJ11" t="s">
        <v>61</v>
      </c>
      <c r="AK11" t="s">
        <v>203</v>
      </c>
      <c r="AL11">
        <v>42</v>
      </c>
      <c r="AM11">
        <v>2</v>
      </c>
      <c r="AN11">
        <v>51</v>
      </c>
      <c r="AO11">
        <v>0.04</v>
      </c>
      <c r="AP11" t="s">
        <v>63</v>
      </c>
      <c r="AQ11" t="s">
        <v>63</v>
      </c>
    </row>
    <row r="12" spans="1:43" x14ac:dyDescent="0.2">
      <c r="A12">
        <v>19486</v>
      </c>
      <c r="B12" t="s">
        <v>204</v>
      </c>
      <c r="C12">
        <v>7.202</v>
      </c>
      <c r="D12">
        <v>141</v>
      </c>
      <c r="E12" t="s">
        <v>44</v>
      </c>
      <c r="F12" s="1">
        <v>39599</v>
      </c>
      <c r="G12">
        <v>7200000</v>
      </c>
      <c r="H12">
        <v>120</v>
      </c>
      <c r="I12">
        <v>8500000</v>
      </c>
      <c r="J12" t="s">
        <v>205</v>
      </c>
      <c r="K12" t="s">
        <v>206</v>
      </c>
      <c r="L12" t="s">
        <v>207</v>
      </c>
      <c r="M12" t="s">
        <v>208</v>
      </c>
      <c r="N12">
        <v>4.351</v>
      </c>
      <c r="O12" t="s">
        <v>209</v>
      </c>
      <c r="P12" t="s">
        <v>210</v>
      </c>
      <c r="Q12" t="s">
        <v>211</v>
      </c>
      <c r="R12" t="s">
        <v>212</v>
      </c>
      <c r="S12" t="s">
        <v>213</v>
      </c>
      <c r="T12" t="s">
        <v>214</v>
      </c>
      <c r="U12" t="s">
        <v>215</v>
      </c>
      <c r="V12" t="s">
        <v>216</v>
      </c>
      <c r="W12" t="s">
        <v>215</v>
      </c>
      <c r="X12" t="s">
        <v>217</v>
      </c>
      <c r="Y12" t="s">
        <v>218</v>
      </c>
      <c r="Z12">
        <v>6.9</v>
      </c>
      <c r="AA12">
        <v>4401</v>
      </c>
      <c r="AB12" t="s">
        <v>219</v>
      </c>
      <c r="AC12">
        <v>5</v>
      </c>
      <c r="AD12">
        <v>2008</v>
      </c>
      <c r="AE12">
        <v>22</v>
      </c>
      <c r="AF12" t="s">
        <v>220</v>
      </c>
      <c r="AG12">
        <v>-12</v>
      </c>
      <c r="AH12">
        <v>15.7895917228751</v>
      </c>
      <c r="AI12">
        <v>1.2145839786827</v>
      </c>
      <c r="AJ12" t="s">
        <v>61</v>
      </c>
      <c r="AK12" t="s">
        <v>221</v>
      </c>
      <c r="AL12">
        <v>5</v>
      </c>
      <c r="AM12">
        <v>0</v>
      </c>
      <c r="AN12">
        <v>10</v>
      </c>
      <c r="AO12">
        <v>0</v>
      </c>
      <c r="AP12" t="s">
        <v>63</v>
      </c>
      <c r="AQ12" t="s">
        <v>63</v>
      </c>
    </row>
    <row r="13" spans="1:43" x14ac:dyDescent="0.2">
      <c r="A13">
        <v>9502</v>
      </c>
      <c r="B13" t="s">
        <v>222</v>
      </c>
      <c r="C13">
        <v>7.3079999999999998</v>
      </c>
      <c r="D13">
        <v>12186</v>
      </c>
      <c r="E13" t="s">
        <v>44</v>
      </c>
      <c r="F13" s="1">
        <v>39603</v>
      </c>
      <c r="G13">
        <v>632091832</v>
      </c>
      <c r="H13">
        <v>90</v>
      </c>
      <c r="I13">
        <v>130000000</v>
      </c>
      <c r="J13" t="s">
        <v>223</v>
      </c>
      <c r="K13" t="s">
        <v>46</v>
      </c>
      <c r="L13" t="s">
        <v>222</v>
      </c>
      <c r="M13" t="s">
        <v>224</v>
      </c>
      <c r="N13">
        <v>16.549099999999999</v>
      </c>
      <c r="O13" t="s">
        <v>225</v>
      </c>
      <c r="P13" t="s">
        <v>226</v>
      </c>
      <c r="Q13" t="s">
        <v>227</v>
      </c>
      <c r="R13" t="s">
        <v>51</v>
      </c>
      <c r="S13" t="s">
        <v>70</v>
      </c>
      <c r="T13" t="s">
        <v>228</v>
      </c>
      <c r="U13" t="s">
        <v>229</v>
      </c>
      <c r="V13" t="s">
        <v>230</v>
      </c>
      <c r="W13" t="s">
        <v>231</v>
      </c>
      <c r="X13" t="s">
        <v>232</v>
      </c>
      <c r="Y13" t="s">
        <v>233</v>
      </c>
      <c r="Z13">
        <v>7.6</v>
      </c>
      <c r="AA13">
        <v>564552</v>
      </c>
      <c r="AB13" t="s">
        <v>234</v>
      </c>
      <c r="AC13">
        <v>6</v>
      </c>
      <c r="AD13">
        <v>2008</v>
      </c>
      <c r="AE13">
        <v>23</v>
      </c>
      <c r="AF13" t="s">
        <v>235</v>
      </c>
      <c r="AG13">
        <v>-8</v>
      </c>
      <c r="AH13">
        <v>20.264545246935</v>
      </c>
      <c r="AI13">
        <v>2.2516161385483402</v>
      </c>
      <c r="AJ13" t="s">
        <v>61</v>
      </c>
      <c r="AK13" t="s">
        <v>236</v>
      </c>
      <c r="AL13">
        <v>71</v>
      </c>
      <c r="AM13">
        <v>0</v>
      </c>
      <c r="AN13">
        <v>88</v>
      </c>
      <c r="AO13">
        <v>0</v>
      </c>
      <c r="AP13" t="s">
        <v>63</v>
      </c>
      <c r="AQ13" t="s">
        <v>63</v>
      </c>
    </row>
    <row r="14" spans="1:43" x14ac:dyDescent="0.2">
      <c r="A14">
        <v>10661</v>
      </c>
      <c r="B14" t="s">
        <v>237</v>
      </c>
      <c r="C14">
        <v>5.7</v>
      </c>
      <c r="D14">
        <v>3928</v>
      </c>
      <c r="E14" t="s">
        <v>44</v>
      </c>
      <c r="F14" s="1">
        <v>39604</v>
      </c>
      <c r="G14">
        <v>204313400</v>
      </c>
      <c r="H14">
        <v>113</v>
      </c>
      <c r="I14">
        <v>90000000</v>
      </c>
      <c r="J14" t="s">
        <v>238</v>
      </c>
      <c r="K14" t="s">
        <v>46</v>
      </c>
      <c r="L14" t="s">
        <v>237</v>
      </c>
      <c r="M14" t="s">
        <v>239</v>
      </c>
      <c r="N14">
        <v>5.1397000000000004</v>
      </c>
      <c r="O14" t="s">
        <v>240</v>
      </c>
      <c r="P14" t="s">
        <v>241</v>
      </c>
      <c r="Q14" t="s">
        <v>242</v>
      </c>
      <c r="R14" t="s">
        <v>51</v>
      </c>
      <c r="S14" t="s">
        <v>243</v>
      </c>
      <c r="T14" t="s">
        <v>244</v>
      </c>
      <c r="U14" t="s">
        <v>245</v>
      </c>
      <c r="V14" t="s">
        <v>246</v>
      </c>
      <c r="W14" t="s">
        <v>247</v>
      </c>
      <c r="X14" t="s">
        <v>248</v>
      </c>
      <c r="Y14" t="s">
        <v>91</v>
      </c>
      <c r="Z14">
        <v>5.6</v>
      </c>
      <c r="AA14">
        <v>224530</v>
      </c>
      <c r="AB14" t="s">
        <v>249</v>
      </c>
      <c r="AC14">
        <v>6</v>
      </c>
      <c r="AD14">
        <v>2008</v>
      </c>
      <c r="AE14">
        <v>23</v>
      </c>
      <c r="AF14" t="s">
        <v>250</v>
      </c>
      <c r="AG14">
        <v>-7</v>
      </c>
      <c r="AH14">
        <v>19.135165652350199</v>
      </c>
      <c r="AI14">
        <v>2.3918957065437798</v>
      </c>
      <c r="AJ14" t="s">
        <v>61</v>
      </c>
      <c r="AK14" t="s">
        <v>251</v>
      </c>
      <c r="AL14">
        <v>48</v>
      </c>
      <c r="AM14">
        <v>1</v>
      </c>
      <c r="AN14">
        <v>56</v>
      </c>
      <c r="AO14">
        <v>0.02</v>
      </c>
      <c r="AP14" t="s">
        <v>63</v>
      </c>
      <c r="AQ14" t="s">
        <v>63</v>
      </c>
    </row>
    <row r="15" spans="1:43" x14ac:dyDescent="0.2">
      <c r="A15">
        <v>13506</v>
      </c>
      <c r="B15" t="s">
        <v>252</v>
      </c>
      <c r="C15">
        <v>6.3</v>
      </c>
      <c r="D15">
        <v>154</v>
      </c>
      <c r="E15" t="s">
        <v>44</v>
      </c>
      <c r="F15" s="1">
        <v>39605</v>
      </c>
      <c r="G15">
        <v>38135878</v>
      </c>
      <c r="H15">
        <v>123</v>
      </c>
      <c r="I15">
        <v>2000000</v>
      </c>
      <c r="J15" t="s">
        <v>253</v>
      </c>
      <c r="K15" t="s">
        <v>254</v>
      </c>
      <c r="L15" t="s">
        <v>255</v>
      </c>
      <c r="M15" t="s">
        <v>256</v>
      </c>
      <c r="N15">
        <v>2.8772000000000002</v>
      </c>
      <c r="O15" t="s">
        <v>257</v>
      </c>
      <c r="P15" t="s">
        <v>258</v>
      </c>
      <c r="Q15" t="s">
        <v>259</v>
      </c>
      <c r="R15" t="s">
        <v>260</v>
      </c>
      <c r="S15" t="s">
        <v>261</v>
      </c>
      <c r="T15" t="s">
        <v>262</v>
      </c>
      <c r="U15" t="s">
        <v>263</v>
      </c>
      <c r="V15" t="s">
        <v>264</v>
      </c>
      <c r="W15" t="s">
        <v>265</v>
      </c>
      <c r="X15" t="s">
        <v>266</v>
      </c>
      <c r="Y15" t="s">
        <v>267</v>
      </c>
      <c r="Z15">
        <v>6.6</v>
      </c>
      <c r="AA15">
        <v>8939</v>
      </c>
      <c r="AB15" t="s">
        <v>268</v>
      </c>
      <c r="AC15">
        <v>6</v>
      </c>
      <c r="AD15">
        <v>2008</v>
      </c>
      <c r="AE15">
        <v>23</v>
      </c>
      <c r="AF15" t="s">
        <v>269</v>
      </c>
      <c r="AG15">
        <v>-6</v>
      </c>
      <c r="AH15">
        <v>17.4566661030067</v>
      </c>
      <c r="AI15">
        <v>2.4938094432866702</v>
      </c>
      <c r="AJ15" t="s">
        <v>61</v>
      </c>
      <c r="AK15" t="s">
        <v>270</v>
      </c>
      <c r="AL15">
        <v>15</v>
      </c>
      <c r="AM15">
        <v>0</v>
      </c>
      <c r="AN15">
        <v>23</v>
      </c>
      <c r="AO15">
        <v>0</v>
      </c>
      <c r="AP15" t="s">
        <v>63</v>
      </c>
      <c r="AQ15" t="s">
        <v>63</v>
      </c>
    </row>
    <row r="16" spans="1:43" x14ac:dyDescent="0.2">
      <c r="A16">
        <v>14394</v>
      </c>
      <c r="B16" t="s">
        <v>271</v>
      </c>
      <c r="C16">
        <v>6.5</v>
      </c>
      <c r="D16">
        <v>42</v>
      </c>
      <c r="E16" t="s">
        <v>44</v>
      </c>
      <c r="F16" s="1">
        <v>39605</v>
      </c>
      <c r="G16">
        <v>8130000</v>
      </c>
      <c r="H16">
        <v>125</v>
      </c>
      <c r="I16">
        <v>820000</v>
      </c>
      <c r="J16" t="s">
        <v>272</v>
      </c>
      <c r="K16" t="s">
        <v>273</v>
      </c>
      <c r="L16" t="s">
        <v>274</v>
      </c>
      <c r="M16" t="s">
        <v>275</v>
      </c>
      <c r="N16">
        <v>2.9173</v>
      </c>
      <c r="O16" t="s">
        <v>276</v>
      </c>
      <c r="P16" t="s">
        <v>277</v>
      </c>
      <c r="Q16" t="s">
        <v>278</v>
      </c>
      <c r="R16" t="s">
        <v>279</v>
      </c>
      <c r="S16" t="s">
        <v>280</v>
      </c>
      <c r="T16" t="s">
        <v>281</v>
      </c>
      <c r="U16" t="s">
        <v>282</v>
      </c>
      <c r="V16" t="s">
        <v>283</v>
      </c>
      <c r="W16" t="s">
        <v>284</v>
      </c>
      <c r="X16" t="s">
        <v>285</v>
      </c>
      <c r="Y16" t="s">
        <v>286</v>
      </c>
      <c r="Z16">
        <v>6.7</v>
      </c>
      <c r="AA16">
        <v>8057</v>
      </c>
      <c r="AB16" t="s">
        <v>287</v>
      </c>
      <c r="AC16">
        <v>6</v>
      </c>
      <c r="AD16">
        <v>2008</v>
      </c>
      <c r="AE16">
        <v>23</v>
      </c>
      <c r="AF16" t="s">
        <v>288</v>
      </c>
      <c r="AG16">
        <v>-6</v>
      </c>
      <c r="AH16">
        <v>15.911071604525199</v>
      </c>
      <c r="AI16">
        <v>2.27301022921788</v>
      </c>
      <c r="AJ16" t="s">
        <v>61</v>
      </c>
      <c r="AK16" t="s">
        <v>289</v>
      </c>
      <c r="AL16">
        <v>7</v>
      </c>
      <c r="AM16">
        <v>0</v>
      </c>
      <c r="AN16">
        <v>7</v>
      </c>
      <c r="AO16">
        <v>0</v>
      </c>
      <c r="AP16" t="s">
        <v>63</v>
      </c>
      <c r="AQ16" t="s">
        <v>63</v>
      </c>
    </row>
    <row r="17" spans="1:43" x14ac:dyDescent="0.2">
      <c r="A17">
        <v>8645</v>
      </c>
      <c r="B17" t="s">
        <v>290</v>
      </c>
      <c r="C17">
        <v>5.3970000000000002</v>
      </c>
      <c r="D17">
        <v>3798</v>
      </c>
      <c r="E17" t="s">
        <v>44</v>
      </c>
      <c r="F17" s="1">
        <v>39610</v>
      </c>
      <c r="G17">
        <v>163403799</v>
      </c>
      <c r="H17">
        <v>90</v>
      </c>
      <c r="I17">
        <v>60000000</v>
      </c>
      <c r="J17" t="s">
        <v>291</v>
      </c>
      <c r="K17" t="s">
        <v>46</v>
      </c>
      <c r="L17" t="s">
        <v>290</v>
      </c>
      <c r="M17" t="s">
        <v>292</v>
      </c>
      <c r="N17">
        <v>7.0620000000000003</v>
      </c>
      <c r="O17" t="s">
        <v>293</v>
      </c>
      <c r="P17" t="s">
        <v>294</v>
      </c>
      <c r="Q17" t="s">
        <v>295</v>
      </c>
      <c r="R17" t="s">
        <v>296</v>
      </c>
      <c r="S17" t="s">
        <v>297</v>
      </c>
      <c r="T17" t="s">
        <v>298</v>
      </c>
      <c r="U17" t="s">
        <v>299</v>
      </c>
      <c r="V17" t="s">
        <v>300</v>
      </c>
      <c r="W17" t="s">
        <v>299</v>
      </c>
      <c r="X17" t="s">
        <v>301</v>
      </c>
      <c r="Y17" t="s">
        <v>302</v>
      </c>
      <c r="Z17">
        <v>5</v>
      </c>
      <c r="AA17">
        <v>224995</v>
      </c>
      <c r="AB17" t="s">
        <v>303</v>
      </c>
      <c r="AC17">
        <v>6</v>
      </c>
      <c r="AD17">
        <v>2008</v>
      </c>
      <c r="AE17">
        <v>24</v>
      </c>
      <c r="AF17" t="s">
        <v>304</v>
      </c>
      <c r="AG17">
        <v>-1</v>
      </c>
      <c r="AH17">
        <v>18.911734995933699</v>
      </c>
      <c r="AI17">
        <v>9.4558674979668496</v>
      </c>
      <c r="AJ17" t="s">
        <v>61</v>
      </c>
      <c r="AK17" t="s">
        <v>305</v>
      </c>
      <c r="AL17">
        <v>52</v>
      </c>
      <c r="AM17">
        <v>0</v>
      </c>
      <c r="AN17">
        <v>61</v>
      </c>
      <c r="AO17">
        <v>0</v>
      </c>
      <c r="AP17" t="s">
        <v>63</v>
      </c>
      <c r="AQ17" t="s">
        <v>63</v>
      </c>
    </row>
    <row r="18" spans="1:43" x14ac:dyDescent="0.2">
      <c r="A18">
        <v>8885</v>
      </c>
      <c r="B18" t="s">
        <v>306</v>
      </c>
      <c r="C18">
        <v>7.7</v>
      </c>
      <c r="D18">
        <v>1018</v>
      </c>
      <c r="E18" t="s">
        <v>44</v>
      </c>
      <c r="F18" s="1">
        <v>39611</v>
      </c>
      <c r="G18">
        <v>11179372</v>
      </c>
      <c r="H18">
        <v>90</v>
      </c>
      <c r="I18">
        <v>1500000</v>
      </c>
      <c r="J18" t="s">
        <v>307</v>
      </c>
      <c r="K18" t="s">
        <v>308</v>
      </c>
      <c r="L18" t="s">
        <v>309</v>
      </c>
      <c r="M18" t="s">
        <v>310</v>
      </c>
      <c r="N18">
        <v>4.0117000000000003</v>
      </c>
      <c r="O18" t="s">
        <v>311</v>
      </c>
      <c r="P18" t="s">
        <v>312</v>
      </c>
      <c r="Q18" t="s">
        <v>313</v>
      </c>
      <c r="R18" t="s">
        <v>314</v>
      </c>
      <c r="S18" t="s">
        <v>315</v>
      </c>
      <c r="T18" t="s">
        <v>316</v>
      </c>
      <c r="U18" t="s">
        <v>317</v>
      </c>
      <c r="W18" t="s">
        <v>317</v>
      </c>
      <c r="X18" t="s">
        <v>318</v>
      </c>
      <c r="Y18" t="s">
        <v>319</v>
      </c>
      <c r="Z18">
        <v>8</v>
      </c>
      <c r="AA18">
        <v>62192</v>
      </c>
      <c r="AB18" t="s">
        <v>320</v>
      </c>
      <c r="AC18">
        <v>6</v>
      </c>
      <c r="AD18">
        <v>2008</v>
      </c>
      <c r="AE18">
        <v>24</v>
      </c>
      <c r="AF18" t="s">
        <v>321</v>
      </c>
      <c r="AG18">
        <v>0</v>
      </c>
      <c r="AH18">
        <v>16.229580941828701</v>
      </c>
      <c r="AI18">
        <v>16.229580941828701</v>
      </c>
      <c r="AJ18" t="s">
        <v>61</v>
      </c>
      <c r="AK18" t="s">
        <v>322</v>
      </c>
      <c r="AL18">
        <v>27</v>
      </c>
      <c r="AM18">
        <v>0</v>
      </c>
      <c r="AN18">
        <v>70</v>
      </c>
      <c r="AO18">
        <v>0</v>
      </c>
      <c r="AP18" t="s">
        <v>63</v>
      </c>
      <c r="AQ18" t="s">
        <v>63</v>
      </c>
    </row>
    <row r="19" spans="1:43" x14ac:dyDescent="0.2">
      <c r="A19">
        <v>9539</v>
      </c>
      <c r="B19" t="s">
        <v>323</v>
      </c>
      <c r="C19">
        <v>7.3</v>
      </c>
      <c r="D19">
        <v>2878</v>
      </c>
      <c r="E19" t="s">
        <v>44</v>
      </c>
      <c r="F19" s="1">
        <v>39611</v>
      </c>
      <c r="G19">
        <v>1100000</v>
      </c>
      <c r="H19">
        <v>99</v>
      </c>
      <c r="I19">
        <v>6500000</v>
      </c>
      <c r="J19" t="s">
        <v>324</v>
      </c>
      <c r="K19" t="s">
        <v>325</v>
      </c>
      <c r="L19" t="s">
        <v>323</v>
      </c>
      <c r="M19" t="s">
        <v>326</v>
      </c>
      <c r="N19">
        <v>23.639800000000001</v>
      </c>
      <c r="O19" t="s">
        <v>327</v>
      </c>
      <c r="P19" t="s">
        <v>328</v>
      </c>
      <c r="Q19" t="s">
        <v>329</v>
      </c>
      <c r="R19" t="s">
        <v>330</v>
      </c>
      <c r="S19" t="s">
        <v>331</v>
      </c>
      <c r="T19" t="s">
        <v>332</v>
      </c>
      <c r="U19" t="s">
        <v>333</v>
      </c>
      <c r="V19" t="s">
        <v>334</v>
      </c>
      <c r="W19" t="s">
        <v>333</v>
      </c>
      <c r="X19" t="s">
        <v>335</v>
      </c>
      <c r="Y19" t="s">
        <v>336</v>
      </c>
      <c r="Z19">
        <v>7</v>
      </c>
      <c r="AA19">
        <v>117172</v>
      </c>
      <c r="AB19" t="s">
        <v>337</v>
      </c>
      <c r="AC19">
        <v>6</v>
      </c>
      <c r="AD19">
        <v>2008</v>
      </c>
      <c r="AE19">
        <v>24</v>
      </c>
      <c r="AF19" t="s">
        <v>338</v>
      </c>
      <c r="AG19">
        <v>0</v>
      </c>
      <c r="AH19">
        <v>13.910821646859</v>
      </c>
      <c r="AI19">
        <v>13.910821646859</v>
      </c>
      <c r="AJ19" t="s">
        <v>61</v>
      </c>
      <c r="AK19" t="s">
        <v>339</v>
      </c>
      <c r="AL19">
        <v>11</v>
      </c>
      <c r="AM19">
        <v>0</v>
      </c>
      <c r="AN19">
        <v>60</v>
      </c>
      <c r="AO19">
        <v>0</v>
      </c>
      <c r="AP19" t="s">
        <v>63</v>
      </c>
      <c r="AQ19" t="s">
        <v>63</v>
      </c>
    </row>
    <row r="20" spans="1:43" x14ac:dyDescent="0.2">
      <c r="A20">
        <v>8909</v>
      </c>
      <c r="B20" t="s">
        <v>340</v>
      </c>
      <c r="C20">
        <v>6.5</v>
      </c>
      <c r="D20">
        <v>7348</v>
      </c>
      <c r="E20" t="s">
        <v>44</v>
      </c>
      <c r="F20" s="1">
        <v>39618</v>
      </c>
      <c r="G20">
        <v>342463063</v>
      </c>
      <c r="H20">
        <v>110</v>
      </c>
      <c r="I20">
        <v>75000000</v>
      </c>
      <c r="J20" t="s">
        <v>341</v>
      </c>
      <c r="K20" t="s">
        <v>46</v>
      </c>
      <c r="L20" t="s">
        <v>340</v>
      </c>
      <c r="M20" t="s">
        <v>342</v>
      </c>
      <c r="N20">
        <v>6.0434000000000001</v>
      </c>
      <c r="O20" t="s">
        <v>343</v>
      </c>
      <c r="P20" t="s">
        <v>344</v>
      </c>
      <c r="Q20" t="s">
        <v>345</v>
      </c>
      <c r="R20" t="s">
        <v>51</v>
      </c>
      <c r="S20" t="s">
        <v>70</v>
      </c>
      <c r="T20" t="s">
        <v>346</v>
      </c>
      <c r="U20" t="s">
        <v>347</v>
      </c>
      <c r="V20" t="s">
        <v>348</v>
      </c>
      <c r="W20" t="s">
        <v>349</v>
      </c>
      <c r="X20" t="s">
        <v>350</v>
      </c>
      <c r="Y20" t="s">
        <v>351</v>
      </c>
      <c r="Z20">
        <v>6.7</v>
      </c>
      <c r="AA20">
        <v>424555</v>
      </c>
      <c r="AB20" t="s">
        <v>352</v>
      </c>
      <c r="AC20">
        <v>6</v>
      </c>
      <c r="AD20">
        <v>2008</v>
      </c>
      <c r="AE20">
        <v>25</v>
      </c>
      <c r="AF20" t="s">
        <v>353</v>
      </c>
      <c r="AG20">
        <v>7</v>
      </c>
      <c r="AH20">
        <v>19.651674367515302</v>
      </c>
      <c r="AI20">
        <v>2.4564592959394198</v>
      </c>
      <c r="AJ20" t="s">
        <v>61</v>
      </c>
      <c r="AK20" t="s">
        <v>354</v>
      </c>
      <c r="AL20">
        <v>58</v>
      </c>
      <c r="AM20">
        <v>1</v>
      </c>
      <c r="AN20">
        <v>68</v>
      </c>
      <c r="AO20">
        <v>0.01</v>
      </c>
      <c r="AP20" t="s">
        <v>63</v>
      </c>
      <c r="AQ20" t="s">
        <v>63</v>
      </c>
    </row>
    <row r="21" spans="1:43" x14ac:dyDescent="0.2">
      <c r="A21">
        <v>12177</v>
      </c>
      <c r="B21" t="s">
        <v>355</v>
      </c>
      <c r="C21">
        <v>4.085</v>
      </c>
      <c r="D21">
        <v>744</v>
      </c>
      <c r="E21" t="s">
        <v>44</v>
      </c>
      <c r="F21" s="1">
        <v>39619</v>
      </c>
      <c r="G21">
        <v>40854735</v>
      </c>
      <c r="H21">
        <v>87</v>
      </c>
      <c r="I21">
        <v>62000000</v>
      </c>
      <c r="J21" t="s">
        <v>356</v>
      </c>
      <c r="K21" t="s">
        <v>46</v>
      </c>
      <c r="L21" t="s">
        <v>355</v>
      </c>
      <c r="M21" t="s">
        <v>357</v>
      </c>
      <c r="N21">
        <v>2.1444000000000001</v>
      </c>
      <c r="O21" t="s">
        <v>358</v>
      </c>
      <c r="P21" t="s">
        <v>83</v>
      </c>
      <c r="Q21" t="s">
        <v>359</v>
      </c>
      <c r="R21" t="s">
        <v>360</v>
      </c>
      <c r="S21" t="s">
        <v>70</v>
      </c>
      <c r="T21" t="s">
        <v>361</v>
      </c>
      <c r="U21" t="s">
        <v>362</v>
      </c>
      <c r="V21" t="s">
        <v>363</v>
      </c>
      <c r="W21" t="s">
        <v>364</v>
      </c>
      <c r="X21" t="s">
        <v>365</v>
      </c>
      <c r="Y21" t="s">
        <v>366</v>
      </c>
      <c r="Z21">
        <v>3.8</v>
      </c>
      <c r="AA21">
        <v>56440</v>
      </c>
      <c r="AB21" t="s">
        <v>367</v>
      </c>
      <c r="AC21">
        <v>6</v>
      </c>
      <c r="AD21">
        <v>2008</v>
      </c>
      <c r="AE21">
        <v>25</v>
      </c>
      <c r="AF21" t="s">
        <v>368</v>
      </c>
      <c r="AG21">
        <v>8</v>
      </c>
      <c r="AH21">
        <v>17.525533308902599</v>
      </c>
      <c r="AI21">
        <v>1.9472814787669599</v>
      </c>
      <c r="AJ21" t="s">
        <v>61</v>
      </c>
      <c r="AK21" t="s">
        <v>369</v>
      </c>
      <c r="AL21">
        <v>24</v>
      </c>
      <c r="AM21">
        <v>0</v>
      </c>
      <c r="AN21">
        <v>30</v>
      </c>
      <c r="AO21">
        <v>0</v>
      </c>
      <c r="AP21" t="s">
        <v>63</v>
      </c>
      <c r="AQ21" t="s">
        <v>63</v>
      </c>
    </row>
    <row r="22" spans="1:43" x14ac:dyDescent="0.2">
      <c r="A22">
        <v>10681</v>
      </c>
      <c r="B22" t="s">
        <v>370</v>
      </c>
      <c r="C22">
        <v>8.1</v>
      </c>
      <c r="D22">
        <v>19633</v>
      </c>
      <c r="E22" t="s">
        <v>44</v>
      </c>
      <c r="F22" s="1">
        <v>39621</v>
      </c>
      <c r="G22">
        <v>521311860</v>
      </c>
      <c r="H22">
        <v>98</v>
      </c>
      <c r="I22">
        <v>180000000</v>
      </c>
      <c r="J22" t="s">
        <v>371</v>
      </c>
      <c r="K22" t="s">
        <v>46</v>
      </c>
      <c r="L22" t="s">
        <v>370</v>
      </c>
      <c r="M22" t="s">
        <v>372</v>
      </c>
      <c r="N22">
        <v>11.9175</v>
      </c>
      <c r="O22" t="s">
        <v>373</v>
      </c>
      <c r="P22" t="s">
        <v>374</v>
      </c>
      <c r="Q22" t="s">
        <v>375</v>
      </c>
      <c r="R22" t="s">
        <v>51</v>
      </c>
      <c r="S22" t="s">
        <v>70</v>
      </c>
      <c r="T22" t="s">
        <v>376</v>
      </c>
      <c r="U22" t="s">
        <v>377</v>
      </c>
      <c r="V22" t="s">
        <v>378</v>
      </c>
      <c r="W22" t="s">
        <v>379</v>
      </c>
      <c r="X22" t="s">
        <v>380</v>
      </c>
      <c r="Y22" t="s">
        <v>381</v>
      </c>
      <c r="Z22">
        <v>8.4</v>
      </c>
      <c r="AA22">
        <v>1288659</v>
      </c>
      <c r="AB22" t="s">
        <v>382</v>
      </c>
      <c r="AC22">
        <v>6</v>
      </c>
      <c r="AD22">
        <v>2008</v>
      </c>
      <c r="AE22">
        <v>25</v>
      </c>
      <c r="AF22" t="s">
        <v>383</v>
      </c>
      <c r="AG22">
        <v>10</v>
      </c>
      <c r="AH22">
        <v>20.071859002212999</v>
      </c>
      <c r="AI22">
        <v>1.8247144547466401</v>
      </c>
      <c r="AJ22" t="s">
        <v>61</v>
      </c>
      <c r="AK22" t="s">
        <v>384</v>
      </c>
      <c r="AL22">
        <v>72</v>
      </c>
      <c r="AM22">
        <v>1</v>
      </c>
      <c r="AN22">
        <v>105</v>
      </c>
      <c r="AO22">
        <v>0.01</v>
      </c>
      <c r="AP22" t="s">
        <v>63</v>
      </c>
      <c r="AQ22" t="s">
        <v>63</v>
      </c>
    </row>
    <row r="23" spans="1:43" x14ac:dyDescent="0.2">
      <c r="A23">
        <v>11802</v>
      </c>
      <c r="B23" t="s">
        <v>385</v>
      </c>
      <c r="C23">
        <v>4.9240000000000004</v>
      </c>
      <c r="D23">
        <v>474</v>
      </c>
      <c r="E23" t="s">
        <v>44</v>
      </c>
      <c r="F23" s="1">
        <v>39624</v>
      </c>
      <c r="G23">
        <v>64762724</v>
      </c>
      <c r="H23">
        <v>81</v>
      </c>
      <c r="I23">
        <v>37000000</v>
      </c>
      <c r="J23" t="s">
        <v>386</v>
      </c>
      <c r="K23" t="s">
        <v>46</v>
      </c>
      <c r="L23" t="s">
        <v>385</v>
      </c>
      <c r="M23" t="s">
        <v>387</v>
      </c>
      <c r="N23">
        <v>2.5998000000000001</v>
      </c>
      <c r="O23" t="s">
        <v>388</v>
      </c>
      <c r="P23" t="s">
        <v>389</v>
      </c>
      <c r="Q23" t="s">
        <v>390</v>
      </c>
      <c r="R23" t="s">
        <v>391</v>
      </c>
      <c r="S23" t="s">
        <v>392</v>
      </c>
      <c r="T23" t="s">
        <v>393</v>
      </c>
      <c r="U23" t="s">
        <v>394</v>
      </c>
      <c r="V23" t="s">
        <v>395</v>
      </c>
      <c r="W23" t="s">
        <v>396</v>
      </c>
      <c r="X23" t="s">
        <v>397</v>
      </c>
      <c r="Y23" t="s">
        <v>398</v>
      </c>
      <c r="Z23">
        <v>4.5</v>
      </c>
      <c r="AA23">
        <v>13174</v>
      </c>
      <c r="AB23" t="s">
        <v>399</v>
      </c>
      <c r="AC23">
        <v>6</v>
      </c>
      <c r="AD23">
        <v>2008</v>
      </c>
      <c r="AE23">
        <v>26</v>
      </c>
      <c r="AF23" t="s">
        <v>400</v>
      </c>
      <c r="AG23">
        <v>13</v>
      </c>
      <c r="AH23">
        <v>17.9862407643319</v>
      </c>
      <c r="AI23">
        <v>1.2847314831665599</v>
      </c>
      <c r="AJ23" t="s">
        <v>61</v>
      </c>
      <c r="AK23" t="s">
        <v>401</v>
      </c>
      <c r="AL23">
        <v>33</v>
      </c>
      <c r="AM23">
        <v>0</v>
      </c>
      <c r="AN23">
        <v>38</v>
      </c>
      <c r="AO23">
        <v>0</v>
      </c>
      <c r="AP23" t="s">
        <v>63</v>
      </c>
      <c r="AQ23" t="s">
        <v>63</v>
      </c>
    </row>
    <row r="24" spans="1:43" x14ac:dyDescent="0.2">
      <c r="A24">
        <v>1735</v>
      </c>
      <c r="B24" t="s">
        <v>402</v>
      </c>
      <c r="C24">
        <v>5.5</v>
      </c>
      <c r="D24">
        <v>4640</v>
      </c>
      <c r="E24" t="s">
        <v>44</v>
      </c>
      <c r="F24" s="1">
        <v>39630</v>
      </c>
      <c r="G24">
        <v>403449830</v>
      </c>
      <c r="H24">
        <v>112</v>
      </c>
      <c r="I24">
        <v>145000000</v>
      </c>
      <c r="J24" t="s">
        <v>403</v>
      </c>
      <c r="K24" t="s">
        <v>46</v>
      </c>
      <c r="L24" t="s">
        <v>402</v>
      </c>
      <c r="M24" t="s">
        <v>404</v>
      </c>
      <c r="N24">
        <v>6.9542000000000002</v>
      </c>
      <c r="O24" t="s">
        <v>405</v>
      </c>
      <c r="P24" t="s">
        <v>406</v>
      </c>
      <c r="Q24" t="s">
        <v>407</v>
      </c>
      <c r="R24" t="s">
        <v>408</v>
      </c>
      <c r="S24" t="s">
        <v>409</v>
      </c>
      <c r="T24" t="s">
        <v>410</v>
      </c>
      <c r="U24" t="s">
        <v>411</v>
      </c>
      <c r="V24" t="s">
        <v>412</v>
      </c>
      <c r="W24" t="s">
        <v>413</v>
      </c>
      <c r="X24" t="s">
        <v>414</v>
      </c>
      <c r="Y24" t="s">
        <v>415</v>
      </c>
      <c r="Z24">
        <v>5.2</v>
      </c>
      <c r="AA24">
        <v>177733</v>
      </c>
      <c r="AB24" t="s">
        <v>416</v>
      </c>
      <c r="AC24">
        <v>7</v>
      </c>
      <c r="AD24">
        <v>2008</v>
      </c>
      <c r="AE24">
        <v>27</v>
      </c>
      <c r="AF24" t="s">
        <v>417</v>
      </c>
      <c r="AG24">
        <v>19</v>
      </c>
      <c r="AH24">
        <v>19.815562703371601</v>
      </c>
      <c r="AI24">
        <v>0.99077813516858004</v>
      </c>
      <c r="AJ24" t="s">
        <v>61</v>
      </c>
      <c r="AK24" t="s">
        <v>418</v>
      </c>
      <c r="AL24">
        <v>57</v>
      </c>
      <c r="AM24">
        <v>1</v>
      </c>
      <c r="AN24">
        <v>65</v>
      </c>
      <c r="AO24">
        <v>0.02</v>
      </c>
      <c r="AP24" t="s">
        <v>63</v>
      </c>
      <c r="AQ24" t="s">
        <v>63</v>
      </c>
    </row>
    <row r="25" spans="1:43" x14ac:dyDescent="0.2">
      <c r="A25">
        <v>8960</v>
      </c>
      <c r="B25" t="s">
        <v>419</v>
      </c>
      <c r="C25">
        <v>6.35</v>
      </c>
      <c r="D25">
        <v>9947</v>
      </c>
      <c r="E25" t="s">
        <v>44</v>
      </c>
      <c r="F25" s="1">
        <v>39630</v>
      </c>
      <c r="G25">
        <v>629400000</v>
      </c>
      <c r="H25">
        <v>92</v>
      </c>
      <c r="I25">
        <v>150000000</v>
      </c>
      <c r="J25" t="s">
        <v>420</v>
      </c>
      <c r="K25" t="s">
        <v>46</v>
      </c>
      <c r="L25" t="s">
        <v>419</v>
      </c>
      <c r="M25" t="s">
        <v>421</v>
      </c>
      <c r="N25">
        <v>7.7873000000000001</v>
      </c>
      <c r="O25" t="s">
        <v>422</v>
      </c>
      <c r="P25" t="s">
        <v>423</v>
      </c>
      <c r="Q25" t="s">
        <v>424</v>
      </c>
      <c r="R25" t="s">
        <v>51</v>
      </c>
      <c r="S25" t="s">
        <v>425</v>
      </c>
      <c r="T25" t="s">
        <v>426</v>
      </c>
      <c r="U25" t="s">
        <v>427</v>
      </c>
      <c r="V25" t="s">
        <v>428</v>
      </c>
      <c r="W25" t="s">
        <v>429</v>
      </c>
      <c r="X25" t="s">
        <v>430</v>
      </c>
      <c r="Y25" t="s">
        <v>431</v>
      </c>
      <c r="Z25">
        <v>6.4</v>
      </c>
      <c r="AA25">
        <v>533313</v>
      </c>
      <c r="AB25" t="s">
        <v>432</v>
      </c>
      <c r="AC25">
        <v>7</v>
      </c>
      <c r="AD25">
        <v>2008</v>
      </c>
      <c r="AE25">
        <v>27</v>
      </c>
      <c r="AF25" t="s">
        <v>433</v>
      </c>
      <c r="AG25">
        <v>19</v>
      </c>
      <c r="AH25">
        <v>20.2602775441833</v>
      </c>
      <c r="AI25">
        <v>1.0130138772091599</v>
      </c>
      <c r="AJ25" t="s">
        <v>61</v>
      </c>
      <c r="AK25" t="s">
        <v>434</v>
      </c>
      <c r="AL25">
        <v>78</v>
      </c>
      <c r="AM25">
        <v>0</v>
      </c>
      <c r="AN25">
        <v>92</v>
      </c>
      <c r="AO25">
        <v>0</v>
      </c>
      <c r="AP25" t="s">
        <v>63</v>
      </c>
      <c r="AQ25" t="s">
        <v>63</v>
      </c>
    </row>
    <row r="26" spans="1:43" x14ac:dyDescent="0.2">
      <c r="A26">
        <v>13990</v>
      </c>
      <c r="B26" t="s">
        <v>435</v>
      </c>
      <c r="C26">
        <v>6.4</v>
      </c>
      <c r="D26">
        <v>296</v>
      </c>
      <c r="E26" t="s">
        <v>44</v>
      </c>
      <c r="F26" s="1">
        <v>39632</v>
      </c>
      <c r="G26">
        <v>3175469</v>
      </c>
      <c r="H26">
        <v>99</v>
      </c>
      <c r="I26">
        <v>6000000</v>
      </c>
      <c r="J26" t="s">
        <v>436</v>
      </c>
      <c r="K26" t="s">
        <v>46</v>
      </c>
      <c r="L26" t="s">
        <v>435</v>
      </c>
      <c r="M26" t="s">
        <v>437</v>
      </c>
      <c r="N26">
        <v>1.9970000000000001</v>
      </c>
      <c r="O26" t="s">
        <v>438</v>
      </c>
      <c r="P26" t="s">
        <v>439</v>
      </c>
      <c r="Q26" t="s">
        <v>440</v>
      </c>
      <c r="R26" t="s">
        <v>441</v>
      </c>
      <c r="S26" t="s">
        <v>70</v>
      </c>
      <c r="T26" t="s">
        <v>442</v>
      </c>
      <c r="U26" t="s">
        <v>443</v>
      </c>
      <c r="V26" t="s">
        <v>444</v>
      </c>
      <c r="W26" t="s">
        <v>443</v>
      </c>
      <c r="X26" t="s">
        <v>445</v>
      </c>
      <c r="Y26" t="s">
        <v>446</v>
      </c>
      <c r="Z26">
        <v>6.9</v>
      </c>
      <c r="AA26">
        <v>31633</v>
      </c>
      <c r="AB26" t="s">
        <v>447</v>
      </c>
      <c r="AC26">
        <v>7</v>
      </c>
      <c r="AD26">
        <v>2008</v>
      </c>
      <c r="AE26">
        <v>27</v>
      </c>
      <c r="AF26" t="s">
        <v>448</v>
      </c>
      <c r="AG26">
        <v>21</v>
      </c>
      <c r="AH26">
        <v>14.970966210849401</v>
      </c>
      <c r="AI26">
        <v>0.68049846412951798</v>
      </c>
      <c r="AJ26" t="s">
        <v>61</v>
      </c>
      <c r="AK26" t="s">
        <v>449</v>
      </c>
      <c r="AL26">
        <v>19</v>
      </c>
      <c r="AM26">
        <v>0</v>
      </c>
      <c r="AN26">
        <v>29</v>
      </c>
      <c r="AO26">
        <v>0</v>
      </c>
      <c r="AP26" t="s">
        <v>63</v>
      </c>
      <c r="AQ26" t="s">
        <v>63</v>
      </c>
    </row>
    <row r="27" spans="1:43" x14ac:dyDescent="0.2">
      <c r="A27">
        <v>14467</v>
      </c>
      <c r="B27" t="s">
        <v>450</v>
      </c>
      <c r="C27">
        <v>6.8</v>
      </c>
      <c r="D27">
        <v>159</v>
      </c>
      <c r="E27" t="s">
        <v>44</v>
      </c>
      <c r="F27" s="1">
        <v>39633</v>
      </c>
      <c r="G27">
        <v>11100000</v>
      </c>
      <c r="H27">
        <v>155</v>
      </c>
      <c r="I27">
        <v>2300000</v>
      </c>
      <c r="J27" t="s">
        <v>451</v>
      </c>
      <c r="K27" t="s">
        <v>273</v>
      </c>
      <c r="L27" t="s">
        <v>452</v>
      </c>
      <c r="M27" t="s">
        <v>453</v>
      </c>
      <c r="N27">
        <v>2.9857</v>
      </c>
      <c r="O27" t="s">
        <v>454</v>
      </c>
      <c r="P27" t="s">
        <v>439</v>
      </c>
      <c r="Q27" t="s">
        <v>455</v>
      </c>
      <c r="R27" t="s">
        <v>279</v>
      </c>
      <c r="S27" t="s">
        <v>280</v>
      </c>
      <c r="T27" t="s">
        <v>456</v>
      </c>
      <c r="U27" t="s">
        <v>457</v>
      </c>
      <c r="V27" t="s">
        <v>458</v>
      </c>
      <c r="W27" t="s">
        <v>457</v>
      </c>
      <c r="X27" t="s">
        <v>459</v>
      </c>
      <c r="Y27" t="s">
        <v>460</v>
      </c>
      <c r="Z27">
        <v>7.4</v>
      </c>
      <c r="AA27">
        <v>29220</v>
      </c>
      <c r="AB27" t="s">
        <v>461</v>
      </c>
      <c r="AC27">
        <v>7</v>
      </c>
      <c r="AD27">
        <v>2008</v>
      </c>
      <c r="AE27">
        <v>27</v>
      </c>
      <c r="AF27" t="s">
        <v>462</v>
      </c>
      <c r="AG27">
        <v>22</v>
      </c>
      <c r="AH27">
        <v>16.2224557563726</v>
      </c>
      <c r="AI27">
        <v>0.70532416332055003</v>
      </c>
      <c r="AJ27" t="s">
        <v>61</v>
      </c>
      <c r="AK27" t="s">
        <v>463</v>
      </c>
      <c r="AL27">
        <v>4</v>
      </c>
      <c r="AM27">
        <v>2</v>
      </c>
      <c r="AN27">
        <v>7</v>
      </c>
      <c r="AO27">
        <v>0.28999999999999998</v>
      </c>
      <c r="AP27" t="s">
        <v>63</v>
      </c>
      <c r="AQ27" t="s">
        <v>63</v>
      </c>
    </row>
    <row r="28" spans="1:43" x14ac:dyDescent="0.2">
      <c r="A28">
        <v>11260</v>
      </c>
      <c r="B28" t="s">
        <v>464</v>
      </c>
      <c r="C28">
        <v>5.3</v>
      </c>
      <c r="D28">
        <v>1487</v>
      </c>
      <c r="E28" t="s">
        <v>44</v>
      </c>
      <c r="F28" s="1">
        <v>39637</v>
      </c>
      <c r="G28">
        <v>50650079</v>
      </c>
      <c r="H28">
        <v>90</v>
      </c>
      <c r="I28">
        <v>60000000</v>
      </c>
      <c r="J28" t="s">
        <v>465</v>
      </c>
      <c r="K28" t="s">
        <v>46</v>
      </c>
      <c r="L28" t="s">
        <v>464</v>
      </c>
      <c r="M28" t="s">
        <v>466</v>
      </c>
      <c r="N28">
        <v>2.4571999999999998</v>
      </c>
      <c r="O28" t="s">
        <v>467</v>
      </c>
      <c r="P28" t="s">
        <v>468</v>
      </c>
      <c r="Q28" t="s">
        <v>469</v>
      </c>
      <c r="R28" t="s">
        <v>51</v>
      </c>
      <c r="S28" t="s">
        <v>70</v>
      </c>
      <c r="T28" t="s">
        <v>470</v>
      </c>
      <c r="U28" t="s">
        <v>471</v>
      </c>
      <c r="V28" t="s">
        <v>472</v>
      </c>
      <c r="W28" t="s">
        <v>473</v>
      </c>
      <c r="X28" t="s">
        <v>474</v>
      </c>
      <c r="Y28" t="s">
        <v>475</v>
      </c>
      <c r="Z28">
        <v>5.0999999999999996</v>
      </c>
      <c r="AA28">
        <v>45606</v>
      </c>
      <c r="AB28" t="s">
        <v>476</v>
      </c>
      <c r="AC28">
        <v>7</v>
      </c>
      <c r="AD28">
        <v>2008</v>
      </c>
      <c r="AE28">
        <v>28</v>
      </c>
      <c r="AF28" t="s">
        <v>477</v>
      </c>
      <c r="AG28">
        <v>26</v>
      </c>
      <c r="AH28">
        <v>17.740451368124599</v>
      </c>
      <c r="AI28">
        <v>0.65705375437498703</v>
      </c>
      <c r="AJ28" t="s">
        <v>61</v>
      </c>
      <c r="AK28" t="s">
        <v>478</v>
      </c>
      <c r="AL28">
        <v>46</v>
      </c>
      <c r="AM28">
        <v>3</v>
      </c>
      <c r="AN28">
        <v>56</v>
      </c>
      <c r="AO28">
        <v>0.05</v>
      </c>
      <c r="AP28" t="s">
        <v>63</v>
      </c>
      <c r="AQ28" t="s">
        <v>63</v>
      </c>
    </row>
    <row r="29" spans="1:43" x14ac:dyDescent="0.2">
      <c r="A29">
        <v>12289</v>
      </c>
      <c r="B29" t="s">
        <v>479</v>
      </c>
      <c r="C29">
        <v>7.1</v>
      </c>
      <c r="D29">
        <v>845</v>
      </c>
      <c r="E29" t="s">
        <v>44</v>
      </c>
      <c r="F29" s="1">
        <v>39639</v>
      </c>
      <c r="G29">
        <v>250100000</v>
      </c>
      <c r="H29">
        <v>145</v>
      </c>
      <c r="I29">
        <v>80341000</v>
      </c>
      <c r="J29" t="s">
        <v>480</v>
      </c>
      <c r="K29" t="s">
        <v>481</v>
      </c>
      <c r="L29" t="s">
        <v>482</v>
      </c>
      <c r="M29" t="s">
        <v>483</v>
      </c>
      <c r="N29">
        <v>4.3179999999999996</v>
      </c>
      <c r="O29" t="s">
        <v>484</v>
      </c>
      <c r="P29" t="s">
        <v>485</v>
      </c>
      <c r="Q29" t="s">
        <v>486</v>
      </c>
      <c r="R29" t="s">
        <v>487</v>
      </c>
      <c r="S29" t="s">
        <v>488</v>
      </c>
      <c r="T29" t="s">
        <v>489</v>
      </c>
      <c r="U29" t="s">
        <v>490</v>
      </c>
      <c r="V29" t="s">
        <v>491</v>
      </c>
      <c r="W29" t="s">
        <v>492</v>
      </c>
      <c r="X29" t="s">
        <v>493</v>
      </c>
      <c r="Y29" t="s">
        <v>494</v>
      </c>
      <c r="Z29">
        <v>7.3</v>
      </c>
      <c r="AA29">
        <v>49940</v>
      </c>
      <c r="AB29" t="s">
        <v>495</v>
      </c>
      <c r="AC29">
        <v>7</v>
      </c>
      <c r="AD29">
        <v>2008</v>
      </c>
      <c r="AE29">
        <v>28</v>
      </c>
      <c r="AF29" t="s">
        <v>496</v>
      </c>
      <c r="AG29">
        <v>28</v>
      </c>
      <c r="AH29">
        <v>19.337371399846202</v>
      </c>
      <c r="AI29">
        <v>0.66680591033952497</v>
      </c>
      <c r="AJ29" t="s">
        <v>61</v>
      </c>
      <c r="AK29" t="s">
        <v>497</v>
      </c>
      <c r="AL29">
        <v>37</v>
      </c>
      <c r="AM29">
        <v>0</v>
      </c>
      <c r="AN29">
        <v>65</v>
      </c>
      <c r="AO29">
        <v>0</v>
      </c>
      <c r="AP29" t="s">
        <v>63</v>
      </c>
      <c r="AQ29" t="s">
        <v>63</v>
      </c>
    </row>
    <row r="30" spans="1:43" x14ac:dyDescent="0.2">
      <c r="A30">
        <v>88751</v>
      </c>
      <c r="B30" t="s">
        <v>498</v>
      </c>
      <c r="C30">
        <v>6.0819999999999999</v>
      </c>
      <c r="D30">
        <v>5003</v>
      </c>
      <c r="E30" t="s">
        <v>44</v>
      </c>
      <c r="F30" s="1">
        <v>39639</v>
      </c>
      <c r="G30">
        <v>101702060</v>
      </c>
      <c r="H30">
        <v>93</v>
      </c>
      <c r="I30">
        <v>45000000</v>
      </c>
      <c r="J30" t="s">
        <v>499</v>
      </c>
      <c r="K30" t="s">
        <v>46</v>
      </c>
      <c r="L30" t="s">
        <v>498</v>
      </c>
      <c r="M30" t="s">
        <v>500</v>
      </c>
      <c r="N30">
        <v>5.4615999999999998</v>
      </c>
      <c r="O30" t="s">
        <v>501</v>
      </c>
      <c r="P30" t="s">
        <v>502</v>
      </c>
      <c r="Q30" t="s">
        <v>503</v>
      </c>
      <c r="R30" t="s">
        <v>51</v>
      </c>
      <c r="S30" t="s">
        <v>504</v>
      </c>
      <c r="T30" t="s">
        <v>505</v>
      </c>
      <c r="U30" t="s">
        <v>506</v>
      </c>
      <c r="V30" t="s">
        <v>507</v>
      </c>
      <c r="W30" t="s">
        <v>508</v>
      </c>
      <c r="X30" t="s">
        <v>509</v>
      </c>
      <c r="Y30" t="s">
        <v>510</v>
      </c>
      <c r="Z30">
        <v>5.8</v>
      </c>
      <c r="AA30">
        <v>138655</v>
      </c>
      <c r="AB30" t="s">
        <v>511</v>
      </c>
      <c r="AC30">
        <v>7</v>
      </c>
      <c r="AD30">
        <v>2008</v>
      </c>
      <c r="AE30">
        <v>28</v>
      </c>
      <c r="AF30" t="s">
        <v>512</v>
      </c>
      <c r="AG30">
        <v>28</v>
      </c>
      <c r="AH30">
        <v>18.4375581263001</v>
      </c>
      <c r="AI30">
        <v>0.63577786642414302</v>
      </c>
      <c r="AJ30" t="s">
        <v>61</v>
      </c>
      <c r="AK30" t="s">
        <v>513</v>
      </c>
      <c r="AL30">
        <v>61</v>
      </c>
      <c r="AM30">
        <v>0</v>
      </c>
      <c r="AN30">
        <v>71</v>
      </c>
      <c r="AO30">
        <v>0</v>
      </c>
      <c r="AP30" t="s">
        <v>63</v>
      </c>
      <c r="AQ30" t="s">
        <v>63</v>
      </c>
    </row>
    <row r="31" spans="1:43" x14ac:dyDescent="0.2">
      <c r="A31">
        <v>11253</v>
      </c>
      <c r="B31" t="s">
        <v>514</v>
      </c>
      <c r="C31">
        <v>6.7610000000000001</v>
      </c>
      <c r="D31">
        <v>5411</v>
      </c>
      <c r="E31" t="s">
        <v>44</v>
      </c>
      <c r="F31" s="1">
        <v>39640</v>
      </c>
      <c r="G31">
        <v>160388063</v>
      </c>
      <c r="H31">
        <v>120</v>
      </c>
      <c r="I31">
        <v>85000000</v>
      </c>
      <c r="J31" t="s">
        <v>515</v>
      </c>
      <c r="K31" t="s">
        <v>46</v>
      </c>
      <c r="L31" t="s">
        <v>514</v>
      </c>
      <c r="M31" t="s">
        <v>516</v>
      </c>
      <c r="N31">
        <v>7.6398999999999999</v>
      </c>
      <c r="O31" t="s">
        <v>517</v>
      </c>
      <c r="P31" t="s">
        <v>423</v>
      </c>
      <c r="Q31" t="s">
        <v>518</v>
      </c>
      <c r="R31" t="s">
        <v>519</v>
      </c>
      <c r="S31" t="s">
        <v>70</v>
      </c>
      <c r="T31" t="s">
        <v>520</v>
      </c>
      <c r="U31" t="s">
        <v>521</v>
      </c>
      <c r="V31" t="s">
        <v>522</v>
      </c>
      <c r="W31" t="s">
        <v>523</v>
      </c>
      <c r="X31" t="s">
        <v>524</v>
      </c>
      <c r="Y31" t="s">
        <v>351</v>
      </c>
      <c r="Z31">
        <v>7</v>
      </c>
      <c r="AA31">
        <v>296255</v>
      </c>
      <c r="AB31" t="s">
        <v>525</v>
      </c>
      <c r="AC31">
        <v>7</v>
      </c>
      <c r="AD31">
        <v>2008</v>
      </c>
      <c r="AE31">
        <v>28</v>
      </c>
      <c r="AF31" t="s">
        <v>526</v>
      </c>
      <c r="AG31">
        <v>29</v>
      </c>
      <c r="AH31">
        <v>18.8931068366627</v>
      </c>
      <c r="AI31">
        <v>0.62977022788875803</v>
      </c>
      <c r="AJ31" t="s">
        <v>61</v>
      </c>
      <c r="AK31" t="s">
        <v>527</v>
      </c>
      <c r="AL31">
        <v>52</v>
      </c>
      <c r="AM31">
        <v>0</v>
      </c>
      <c r="AN31">
        <v>59</v>
      </c>
      <c r="AO31">
        <v>0</v>
      </c>
      <c r="AP31" t="s">
        <v>63</v>
      </c>
      <c r="AQ31" t="s">
        <v>63</v>
      </c>
    </row>
    <row r="32" spans="1:43" x14ac:dyDescent="0.2">
      <c r="A32">
        <v>155</v>
      </c>
      <c r="B32" t="s">
        <v>528</v>
      </c>
      <c r="C32">
        <v>8.5239999999999991</v>
      </c>
      <c r="D32">
        <v>34672</v>
      </c>
      <c r="E32" t="s">
        <v>44</v>
      </c>
      <c r="F32" s="1">
        <v>39645</v>
      </c>
      <c r="G32">
        <v>1004558444</v>
      </c>
      <c r="H32">
        <v>152</v>
      </c>
      <c r="I32">
        <v>185000000</v>
      </c>
      <c r="J32" t="s">
        <v>529</v>
      </c>
      <c r="K32" t="s">
        <v>46</v>
      </c>
      <c r="L32" t="s">
        <v>528</v>
      </c>
      <c r="M32" t="s">
        <v>530</v>
      </c>
      <c r="N32">
        <v>27.139299999999999</v>
      </c>
      <c r="O32" t="s">
        <v>531</v>
      </c>
      <c r="P32" t="s">
        <v>532</v>
      </c>
      <c r="Q32" t="s">
        <v>533</v>
      </c>
      <c r="R32" t="s">
        <v>85</v>
      </c>
      <c r="S32" t="s">
        <v>534</v>
      </c>
      <c r="T32" t="s">
        <v>535</v>
      </c>
      <c r="U32" t="s">
        <v>536</v>
      </c>
      <c r="V32" t="s">
        <v>537</v>
      </c>
      <c r="W32" t="s">
        <v>538</v>
      </c>
      <c r="X32" t="s">
        <v>539</v>
      </c>
      <c r="Y32" t="s">
        <v>540</v>
      </c>
      <c r="Z32">
        <v>9.1</v>
      </c>
      <c r="AA32">
        <v>3094081</v>
      </c>
      <c r="AB32" t="s">
        <v>541</v>
      </c>
      <c r="AC32">
        <v>7</v>
      </c>
      <c r="AD32">
        <v>2008</v>
      </c>
      <c r="AE32">
        <v>29</v>
      </c>
      <c r="AF32" t="s">
        <v>542</v>
      </c>
      <c r="AG32">
        <v>34</v>
      </c>
      <c r="AH32">
        <v>20.7278139237023</v>
      </c>
      <c r="AI32">
        <v>0.59222325496292505</v>
      </c>
      <c r="AJ32" t="s">
        <v>61</v>
      </c>
      <c r="AK32" t="s">
        <v>543</v>
      </c>
      <c r="AL32">
        <v>73</v>
      </c>
      <c r="AM32">
        <v>1</v>
      </c>
      <c r="AN32">
        <v>117</v>
      </c>
      <c r="AO32">
        <v>0.01</v>
      </c>
      <c r="AP32" t="s">
        <v>63</v>
      </c>
      <c r="AQ32" t="s">
        <v>63</v>
      </c>
    </row>
    <row r="33" spans="1:43" x14ac:dyDescent="0.2">
      <c r="A33">
        <v>12171</v>
      </c>
      <c r="B33" t="s">
        <v>544</v>
      </c>
      <c r="C33">
        <v>5.6</v>
      </c>
      <c r="D33">
        <v>283</v>
      </c>
      <c r="E33" t="s">
        <v>44</v>
      </c>
      <c r="F33" s="1">
        <v>39647</v>
      </c>
      <c r="G33">
        <v>10000</v>
      </c>
      <c r="H33">
        <v>87</v>
      </c>
      <c r="I33">
        <v>10000</v>
      </c>
      <c r="J33" t="s">
        <v>545</v>
      </c>
      <c r="K33" t="s">
        <v>46</v>
      </c>
      <c r="L33" t="s">
        <v>544</v>
      </c>
      <c r="M33" t="s">
        <v>546</v>
      </c>
      <c r="N33">
        <v>2.0081000000000002</v>
      </c>
      <c r="O33" t="s">
        <v>547</v>
      </c>
      <c r="P33" t="s">
        <v>194</v>
      </c>
      <c r="Q33" t="s">
        <v>548</v>
      </c>
      <c r="R33" t="s">
        <v>441</v>
      </c>
      <c r="S33" t="s">
        <v>70</v>
      </c>
      <c r="T33" t="s">
        <v>549</v>
      </c>
      <c r="U33" t="s">
        <v>550</v>
      </c>
      <c r="V33" t="s">
        <v>551</v>
      </c>
      <c r="W33" t="s">
        <v>552</v>
      </c>
      <c r="X33" t="s">
        <v>553</v>
      </c>
      <c r="Y33" t="s">
        <v>554</v>
      </c>
      <c r="Z33">
        <v>5.5</v>
      </c>
      <c r="AA33">
        <v>13881</v>
      </c>
      <c r="AB33" t="s">
        <v>555</v>
      </c>
      <c r="AC33">
        <v>7</v>
      </c>
      <c r="AD33">
        <v>2008</v>
      </c>
      <c r="AE33">
        <v>29</v>
      </c>
      <c r="AF33" t="s">
        <v>556</v>
      </c>
      <c r="AG33">
        <v>36</v>
      </c>
      <c r="AH33">
        <v>9.2104403669765098</v>
      </c>
      <c r="AI33">
        <v>0.248930820729095</v>
      </c>
      <c r="AJ33" t="s">
        <v>61</v>
      </c>
      <c r="AK33" t="s">
        <v>557</v>
      </c>
      <c r="AL33">
        <v>7</v>
      </c>
      <c r="AM33">
        <v>0</v>
      </c>
      <c r="AN33">
        <v>27</v>
      </c>
      <c r="AO33">
        <v>0</v>
      </c>
      <c r="AP33" t="s">
        <v>63</v>
      </c>
      <c r="AQ33" t="s">
        <v>63</v>
      </c>
    </row>
    <row r="34" spans="1:43" x14ac:dyDescent="0.2">
      <c r="A34">
        <v>12429</v>
      </c>
      <c r="B34" t="s">
        <v>558</v>
      </c>
      <c r="C34">
        <v>7.8</v>
      </c>
      <c r="D34">
        <v>4580</v>
      </c>
      <c r="E34" t="s">
        <v>44</v>
      </c>
      <c r="F34" s="1">
        <v>39648</v>
      </c>
      <c r="G34">
        <v>202404009</v>
      </c>
      <c r="H34">
        <v>100</v>
      </c>
      <c r="I34">
        <v>34000000</v>
      </c>
      <c r="J34" t="s">
        <v>559</v>
      </c>
      <c r="K34" t="s">
        <v>206</v>
      </c>
      <c r="L34" t="s">
        <v>560</v>
      </c>
      <c r="M34" t="s">
        <v>561</v>
      </c>
      <c r="N34">
        <v>9.359</v>
      </c>
      <c r="O34" t="s">
        <v>562</v>
      </c>
      <c r="P34" t="s">
        <v>563</v>
      </c>
      <c r="Q34" t="s">
        <v>564</v>
      </c>
      <c r="R34" t="s">
        <v>565</v>
      </c>
      <c r="S34" t="s">
        <v>213</v>
      </c>
      <c r="T34" t="s">
        <v>566</v>
      </c>
      <c r="U34" t="s">
        <v>567</v>
      </c>
      <c r="V34" t="s">
        <v>568</v>
      </c>
      <c r="W34" t="s">
        <v>567</v>
      </c>
      <c r="X34" t="s">
        <v>569</v>
      </c>
      <c r="Y34" t="s">
        <v>570</v>
      </c>
      <c r="Z34">
        <v>7.6</v>
      </c>
      <c r="AA34">
        <v>180337</v>
      </c>
      <c r="AB34" t="s">
        <v>571</v>
      </c>
      <c r="AC34">
        <v>7</v>
      </c>
      <c r="AD34">
        <v>2008</v>
      </c>
      <c r="AE34">
        <v>29</v>
      </c>
      <c r="AF34" t="s">
        <v>572</v>
      </c>
      <c r="AG34">
        <v>37</v>
      </c>
      <c r="AH34">
        <v>19.125776307434201</v>
      </c>
      <c r="AI34">
        <v>0.50330990282721799</v>
      </c>
      <c r="AJ34" t="s">
        <v>61</v>
      </c>
      <c r="AK34" t="s">
        <v>573</v>
      </c>
      <c r="AL34">
        <v>38</v>
      </c>
      <c r="AM34">
        <v>4</v>
      </c>
      <c r="AN34">
        <v>70</v>
      </c>
      <c r="AO34">
        <v>0.06</v>
      </c>
      <c r="AP34" t="s">
        <v>63</v>
      </c>
      <c r="AQ34" t="s">
        <v>63</v>
      </c>
    </row>
    <row r="35" spans="1:43" x14ac:dyDescent="0.2">
      <c r="A35">
        <v>14098</v>
      </c>
      <c r="B35" t="s">
        <v>574</v>
      </c>
      <c r="C35">
        <v>5.7</v>
      </c>
      <c r="D35">
        <v>326</v>
      </c>
      <c r="E35" t="s">
        <v>44</v>
      </c>
      <c r="F35" s="1">
        <v>39651</v>
      </c>
      <c r="G35">
        <v>1415804</v>
      </c>
      <c r="H35">
        <v>105</v>
      </c>
      <c r="I35">
        <v>10000000</v>
      </c>
      <c r="J35" t="s">
        <v>575</v>
      </c>
      <c r="K35" t="s">
        <v>46</v>
      </c>
      <c r="L35" t="s">
        <v>574</v>
      </c>
      <c r="M35" t="s">
        <v>576</v>
      </c>
      <c r="N35">
        <v>3.1417999999999999</v>
      </c>
      <c r="O35" t="s">
        <v>577</v>
      </c>
      <c r="P35" t="s">
        <v>578</v>
      </c>
      <c r="Q35" t="s">
        <v>579</v>
      </c>
      <c r="R35" t="s">
        <v>51</v>
      </c>
      <c r="S35" t="s">
        <v>70</v>
      </c>
      <c r="T35" t="s">
        <v>580</v>
      </c>
      <c r="U35" t="s">
        <v>581</v>
      </c>
      <c r="V35" t="s">
        <v>582</v>
      </c>
      <c r="W35" t="s">
        <v>581</v>
      </c>
      <c r="X35" t="s">
        <v>583</v>
      </c>
      <c r="Y35" t="s">
        <v>584</v>
      </c>
      <c r="Z35">
        <v>5.4</v>
      </c>
      <c r="AA35">
        <v>13603</v>
      </c>
      <c r="AB35" t="s">
        <v>585</v>
      </c>
      <c r="AC35">
        <v>7</v>
      </c>
      <c r="AD35">
        <v>2008</v>
      </c>
      <c r="AE35">
        <v>30</v>
      </c>
      <c r="AF35" t="s">
        <v>586</v>
      </c>
      <c r="AG35">
        <v>40</v>
      </c>
      <c r="AH35">
        <v>14.1632088318882</v>
      </c>
      <c r="AI35">
        <v>0.34544411785093199</v>
      </c>
      <c r="AJ35" t="s">
        <v>61</v>
      </c>
      <c r="AK35" t="s">
        <v>587</v>
      </c>
      <c r="AL35">
        <v>9</v>
      </c>
      <c r="AM35">
        <v>0</v>
      </c>
      <c r="AN35">
        <v>28</v>
      </c>
      <c r="AO35">
        <v>0</v>
      </c>
      <c r="AP35" t="s">
        <v>63</v>
      </c>
      <c r="AQ35" t="s">
        <v>63</v>
      </c>
    </row>
    <row r="36" spans="1:43" x14ac:dyDescent="0.2">
      <c r="A36">
        <v>8836</v>
      </c>
      <c r="B36" t="s">
        <v>588</v>
      </c>
      <c r="C36">
        <v>5.8460000000000001</v>
      </c>
      <c r="D36">
        <v>1575</v>
      </c>
      <c r="E36" t="s">
        <v>44</v>
      </c>
      <c r="F36" s="1">
        <v>39653</v>
      </c>
      <c r="G36">
        <v>69363381</v>
      </c>
      <c r="H36">
        <v>104</v>
      </c>
      <c r="I36">
        <v>30000000</v>
      </c>
      <c r="J36" t="s">
        <v>589</v>
      </c>
      <c r="K36" t="s">
        <v>46</v>
      </c>
      <c r="L36" t="s">
        <v>588</v>
      </c>
      <c r="M36" t="s">
        <v>590</v>
      </c>
      <c r="N36">
        <v>2.8959000000000001</v>
      </c>
      <c r="O36" t="s">
        <v>591</v>
      </c>
      <c r="P36" t="s">
        <v>592</v>
      </c>
      <c r="Q36" t="s">
        <v>593</v>
      </c>
      <c r="R36" t="s">
        <v>391</v>
      </c>
      <c r="S36" t="s">
        <v>70</v>
      </c>
      <c r="T36" t="s">
        <v>594</v>
      </c>
      <c r="U36" t="s">
        <v>595</v>
      </c>
      <c r="V36" t="s">
        <v>596</v>
      </c>
      <c r="W36" t="s">
        <v>597</v>
      </c>
      <c r="X36" t="s">
        <v>598</v>
      </c>
      <c r="Y36" t="s">
        <v>599</v>
      </c>
      <c r="Z36">
        <v>5.9</v>
      </c>
      <c r="AA36">
        <v>95952</v>
      </c>
      <c r="AB36" t="s">
        <v>600</v>
      </c>
      <c r="AC36">
        <v>7</v>
      </c>
      <c r="AD36">
        <v>2008</v>
      </c>
      <c r="AE36">
        <v>30</v>
      </c>
      <c r="AF36" t="s">
        <v>601</v>
      </c>
      <c r="AG36">
        <v>42</v>
      </c>
      <c r="AH36">
        <v>18.054869649339999</v>
      </c>
      <c r="AI36">
        <v>0.419880689519537</v>
      </c>
      <c r="AJ36" t="s">
        <v>61</v>
      </c>
      <c r="AK36" t="s">
        <v>602</v>
      </c>
      <c r="AL36">
        <v>55</v>
      </c>
      <c r="AM36">
        <v>0</v>
      </c>
      <c r="AN36">
        <v>61</v>
      </c>
      <c r="AO36">
        <v>0</v>
      </c>
      <c r="AP36" t="s">
        <v>63</v>
      </c>
      <c r="AQ36" t="s">
        <v>63</v>
      </c>
    </row>
    <row r="37" spans="1:43" x14ac:dyDescent="0.2">
      <c r="A37">
        <v>12133</v>
      </c>
      <c r="B37" t="s">
        <v>603</v>
      </c>
      <c r="C37">
        <v>6.6</v>
      </c>
      <c r="D37">
        <v>3265</v>
      </c>
      <c r="E37" t="s">
        <v>44</v>
      </c>
      <c r="F37" s="1">
        <v>39654</v>
      </c>
      <c r="G37">
        <v>128100000</v>
      </c>
      <c r="H37">
        <v>98</v>
      </c>
      <c r="I37">
        <v>65000000</v>
      </c>
      <c r="J37" t="s">
        <v>604</v>
      </c>
      <c r="K37" t="s">
        <v>46</v>
      </c>
      <c r="L37" t="s">
        <v>603</v>
      </c>
      <c r="M37" t="s">
        <v>605</v>
      </c>
      <c r="N37">
        <v>5.6204999999999998</v>
      </c>
      <c r="O37" t="s">
        <v>606</v>
      </c>
      <c r="P37" t="s">
        <v>607</v>
      </c>
      <c r="Q37" t="s">
        <v>608</v>
      </c>
      <c r="R37" t="s">
        <v>51</v>
      </c>
      <c r="S37" t="s">
        <v>609</v>
      </c>
      <c r="T37" t="s">
        <v>610</v>
      </c>
      <c r="U37" t="s">
        <v>611</v>
      </c>
      <c r="V37" t="s">
        <v>612</v>
      </c>
      <c r="W37" t="s">
        <v>613</v>
      </c>
      <c r="X37" t="s">
        <v>614</v>
      </c>
      <c r="Y37" t="s">
        <v>615</v>
      </c>
      <c r="Z37">
        <v>6.9</v>
      </c>
      <c r="AA37">
        <v>335904</v>
      </c>
      <c r="AB37" t="s">
        <v>616</v>
      </c>
      <c r="AC37">
        <v>7</v>
      </c>
      <c r="AD37">
        <v>2008</v>
      </c>
      <c r="AE37">
        <v>30</v>
      </c>
      <c r="AF37" t="s">
        <v>617</v>
      </c>
      <c r="AG37">
        <v>43</v>
      </c>
      <c r="AH37">
        <v>18.668321774673299</v>
      </c>
      <c r="AI37">
        <v>0.42428004033348499</v>
      </c>
      <c r="AJ37" t="s">
        <v>61</v>
      </c>
      <c r="AK37" t="s">
        <v>618</v>
      </c>
      <c r="AL37">
        <v>36</v>
      </c>
      <c r="AM37">
        <v>1</v>
      </c>
      <c r="AN37">
        <v>49</v>
      </c>
      <c r="AO37">
        <v>0.02</v>
      </c>
      <c r="AP37" t="s">
        <v>63</v>
      </c>
      <c r="AQ37" t="s">
        <v>63</v>
      </c>
    </row>
    <row r="38" spans="1:43" x14ac:dyDescent="0.2">
      <c r="A38">
        <v>12568</v>
      </c>
      <c r="B38" t="s">
        <v>619</v>
      </c>
      <c r="C38">
        <v>6.3</v>
      </c>
      <c r="D38">
        <v>157</v>
      </c>
      <c r="E38" t="s">
        <v>44</v>
      </c>
      <c r="F38" s="1">
        <v>39654</v>
      </c>
      <c r="G38">
        <v>13204291</v>
      </c>
      <c r="H38">
        <v>133</v>
      </c>
      <c r="I38">
        <v>20000000</v>
      </c>
      <c r="J38" t="s">
        <v>620</v>
      </c>
      <c r="K38" t="s">
        <v>46</v>
      </c>
      <c r="L38" t="s">
        <v>619</v>
      </c>
      <c r="M38" t="s">
        <v>621</v>
      </c>
      <c r="N38">
        <v>2.4331</v>
      </c>
      <c r="O38" t="s">
        <v>622</v>
      </c>
      <c r="P38" t="s">
        <v>623</v>
      </c>
      <c r="Q38" t="s">
        <v>624</v>
      </c>
      <c r="R38" t="s">
        <v>625</v>
      </c>
      <c r="S38" t="s">
        <v>626</v>
      </c>
      <c r="T38" t="s">
        <v>627</v>
      </c>
      <c r="U38" t="s">
        <v>628</v>
      </c>
      <c r="V38" t="s">
        <v>629</v>
      </c>
      <c r="W38" t="s">
        <v>630</v>
      </c>
      <c r="X38" t="s">
        <v>631</v>
      </c>
      <c r="Y38" t="s">
        <v>632</v>
      </c>
      <c r="Z38">
        <v>6.6</v>
      </c>
      <c r="AA38">
        <v>14095</v>
      </c>
      <c r="AB38" t="s">
        <v>633</v>
      </c>
      <c r="AC38">
        <v>7</v>
      </c>
      <c r="AD38">
        <v>2008</v>
      </c>
      <c r="AE38">
        <v>30</v>
      </c>
      <c r="AF38" t="s">
        <v>634</v>
      </c>
      <c r="AG38">
        <v>43</v>
      </c>
      <c r="AH38">
        <v>16.3960524862214</v>
      </c>
      <c r="AI38">
        <v>0.372637556505033</v>
      </c>
      <c r="AJ38" t="s">
        <v>61</v>
      </c>
      <c r="AK38" t="s">
        <v>635</v>
      </c>
      <c r="AL38">
        <v>23</v>
      </c>
      <c r="AM38">
        <v>0</v>
      </c>
      <c r="AN38">
        <v>30</v>
      </c>
      <c r="AO38">
        <v>0</v>
      </c>
      <c r="AP38" t="s">
        <v>63</v>
      </c>
      <c r="AQ38" t="s">
        <v>63</v>
      </c>
    </row>
    <row r="39" spans="1:43" x14ac:dyDescent="0.2">
      <c r="A39" t="s">
        <v>636</v>
      </c>
      <c r="AI39">
        <f>SUBTOTAL(109,Table1[score])</f>
        <v>72.681182797373353</v>
      </c>
      <c r="AQ39">
        <f>SUBTOTAL(103,Table1[error])</f>
        <v>37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The_Incredible_Hulk_attributes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2026-02-17T17:20:13Z</dcterms:created>
  <dcterms:modified xsi:type="dcterms:W3CDTF">2026-02-17T18:05:20Z</dcterms:modified>
</cp:coreProperties>
</file>