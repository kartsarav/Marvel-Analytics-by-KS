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kitkat/github projects/Marvel-Analytics-by-KS/movie-release-optimization/data/processing/filter 3/xlsx/attributed/"/>
    </mc:Choice>
  </mc:AlternateContent>
  <xr:revisionPtr revIDLastSave="0" documentId="13_ncr:1_{9ECD4CD1-4348-A44D-9C94-7297F06B087A}" xr6:coauthVersionLast="47" xr6:coauthVersionMax="47" xr10:uidLastSave="{00000000-0000-0000-0000-000000000000}"/>
  <bookViews>
    <workbookView xWindow="380" yWindow="80" windowWidth="28040" windowHeight="17180" xr2:uid="{50A08EBE-D2B4-6E49-BFCD-C8EDBD95D5EF}"/>
  </bookViews>
  <sheets>
    <sheet name="Doctor_Strange_attribut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63" i="1" l="1"/>
  <c r="AQ63" i="1"/>
</calcChain>
</file>

<file path=xl/sharedStrings.xml><?xml version="1.0" encoding="utf-8"?>
<sst xmlns="http://schemas.openxmlformats.org/spreadsheetml/2006/main" count="1440" uniqueCount="1003">
  <si>
    <t>id</t>
  </si>
  <si>
    <t>title</t>
  </si>
  <si>
    <t>vote_average</t>
  </si>
  <si>
    <t>vote_count</t>
  </si>
  <si>
    <t>status</t>
  </si>
  <si>
    <t>release_date</t>
  </si>
  <si>
    <t>revenue</t>
  </si>
  <si>
    <t>runtime</t>
  </si>
  <si>
    <t>budget</t>
  </si>
  <si>
    <t>imdb_id</t>
  </si>
  <si>
    <t>original_language</t>
  </si>
  <si>
    <t>original_title</t>
  </si>
  <si>
    <t>overview</t>
  </si>
  <si>
    <t>popularity</t>
  </si>
  <si>
    <t>tagline</t>
  </si>
  <si>
    <t>genres</t>
  </si>
  <si>
    <t>production_companies</t>
  </si>
  <si>
    <t>production_countries</t>
  </si>
  <si>
    <t>spoken_languages</t>
  </si>
  <si>
    <t>cast</t>
  </si>
  <si>
    <t>director</t>
  </si>
  <si>
    <t>director_of_photography</t>
  </si>
  <si>
    <t>writers</t>
  </si>
  <si>
    <t>producers</t>
  </si>
  <si>
    <t>music_composer</t>
  </si>
  <si>
    <t>imdb_rating</t>
  </si>
  <si>
    <t>imdb_votes</t>
  </si>
  <si>
    <t>poster_path</t>
  </si>
  <si>
    <t>release_month</t>
  </si>
  <si>
    <t>release_year</t>
  </si>
  <si>
    <t>iso_week</t>
  </si>
  <si>
    <t>title_clean</t>
  </si>
  <si>
    <t>distance</t>
  </si>
  <si>
    <t>strength</t>
  </si>
  <si>
    <t>score</t>
  </si>
  <si>
    <t>marvel_movie</t>
  </si>
  <si>
    <t>attributes</t>
  </si>
  <si>
    <t>blank</t>
  </si>
  <si>
    <t>internet</t>
  </si>
  <si>
    <t>total</t>
  </si>
  <si>
    <t>internet_ratio</t>
  </si>
  <si>
    <t>internet_dominance</t>
  </si>
  <si>
    <t>error</t>
  </si>
  <si>
    <t>Bridget Jones's Baby</t>
  </si>
  <si>
    <t>Released</t>
  </si>
  <si>
    <t>tt1473832</t>
  </si>
  <si>
    <t>en</t>
  </si>
  <si>
    <t>After breaking up with Mark Darcy five years earlier, Bridget Jones' happily-ever-after hasn't quite gone according to plan. Fortysomething and single again, she decides to focus on her job as top news producer and surround herself with old friends and new. For once, Bridget has everything completely under control. Then her love life takes a turn - while a weekend away at a music festival, she meets a dashing American named Jack, who is everything Mark is not, and spends a night with him. A week later, she runs into newly-separated Mark, and has a one-night dalliance. In an unlikely twist, she finds herself pregnant, but with one hitch - she's not sure of the identity of her baby's father - Mark or Jack.</t>
  </si>
  <si>
    <t>Relationship status: beyond complicated</t>
  </si>
  <si>
    <t>Drama, Comedy, Romance</t>
  </si>
  <si>
    <t>studiocanal, working title films</t>
  </si>
  <si>
    <t>France, United Kingdom</t>
  </si>
  <si>
    <t>English, Portugu‚àö‚Ñ¢s</t>
  </si>
  <si>
    <t>Nick Mohammed, Ashley McGuire, Chooye Bay, Rafferty Railton, Sally Phillips, Enzo Cilenti, Dominic Coleman, Donald Douglas, Jag Patel, Jim Broadbent, Emma Thompson, Amy-Jayne Leigh, Freddie Barnden, Agni Scott, Tom Rosenthal, Erron Gordon, Cameron Lane, Patrick Dempsey, David Forest, Maitland Chandler, William Joseph Firth, Bruce Wang, James Faulkner, Ren‚àö¬©e Zellweger, Richard Rycroft, Ben Willbond, Neil Pearson, George Barnden, Ben Ashenden, Debra Gillett, Shirley Henderson, Souad Faress, John Webb, Joseph Harmon, Katia Elizarova, David Crow, Adam Leese, Jessica Hynes, Julian Rhind-Tutt, Hiten Patel, Patrick Malahide, Laura Pearce, Maria Alexe, Cathy Murphy, Paul Bentall, Ed Sheeran, Alana Hood, Darren Boyd, Dolly Wells, Beattie Edmondson, Kate O'Flynn, Joanna Scanlan, Lee Nicholas Harris, Charlie Rawes, Sarah Solemani, Kasia Ko‚âà√áeczek, Janet Henfrey, Celia Imrie, Laura Checkley, Shirley Dixon, James Callis, Abigail Kimber, Aiste S. Gram, Colin Firth, Gemma Jones</t>
  </si>
  <si>
    <t>Sharon Maguire</t>
  </si>
  <si>
    <t>Andrew Dunn</t>
  </si>
  <si>
    <t>Dan Mazer, Emma Thompson, Helen Fielding</t>
  </si>
  <si>
    <t>Helen Fielding, Eric Fellner, Debra Hayward, Amelia Granger, Tim Bevan, Liza Chasin</t>
  </si>
  <si>
    <t>Ellie Goulding, Craig Armstrong</t>
  </si>
  <si>
    <t>/5hHomngoPZrNoXOPlyaHV6eXaQW.jpg</t>
  </si>
  <si>
    <t>bridget jones's baby</t>
  </si>
  <si>
    <t>doctor strange</t>
  </si>
  <si>
    <t>london (1), premiere (2), new york city, new york (1), blank (53), italian speaking region (1), zurich film festival (1), french speaking region (1), german speaking region (1), dvd premiere (1), internet (1)</t>
  </si>
  <si>
    <t>no</t>
  </si>
  <si>
    <t>The Magnificent Seven</t>
  </si>
  <si>
    <t>tt2404435</t>
  </si>
  <si>
    <t>Looking to mine for gold, greedy industrialist Bartholomew Bogue seizes control of the Old West town of Rose Creek. With their lives in jeopardy, Emma Cullen and other desperate residents turn to bounty hunter Sam Chisolm for help. Chisolm recruits an eclectic group of gunslingers to take on Bogue and his ruthless henchmen. With a deadly showdown on the horizon, the seven mercenaries soon find themselves fighting for more than just money once the bullets start to fly.</t>
  </si>
  <si>
    <t>Justice has a number.</t>
  </si>
  <si>
    <t>Adventure, Action, Western</t>
  </si>
  <si>
    <t>metro-goldwyn-mayer, columbia pictures, lstar capital, village roadshow pictures, pin high, escape artists</t>
  </si>
  <si>
    <t>United States of America</t>
  </si>
  <si>
    <t>English, Italiano</t>
  </si>
  <si>
    <t>Ritchie Montgomery, Cam Gigandet, Walker Babington, Wally Welch, Kevin Wiggins, Peter Sarsgaard, William Lee Scott, Jackson Beals, Haley Bennett, Dodge Prince, Heath Lemme, Matt Bomer, Lee Byung-hun, Billy Slaughter, Jonathan Joss, David Miller, Vinnie Jones, Dylan Kenin, Manuel Garcia-Rulfo, Denzel Washington, Jody Mullins, Matthew Posey, Martin Sensmeier, David Manzanares, Vincent D'Onofrio, Sean Bridgers, Carrie Lazar, Mark Ashworth, Tim Halpin, Emily LaGroue, Fionn Camp, Ethan Hawke, Ed Lowry, Griff Furst, David Kallaway, Derek Lacasa, Kevin Wayne, Chase Williams, Vic Browder, Chris Pratt, Rob Mello, Chad Randall, Alix Angelis, Luke Grimes, Charles Bickham, Dane Rhodes, Thomas Blake, Jr., Emil Beheshti, Shona Gastian, Clint James, Sean Boyd</t>
  </si>
  <si>
    <t>Antoine Fuqua</t>
  </si>
  <si>
    <t>Mauro Fiore</t>
  </si>
  <si>
    <t>Shinobu Hashimoto, Richard Wenk, William Roberts, Nic Pizzolatto, Akira Kurosawa</t>
  </si>
  <si>
    <t>Todd Black, Roger Birnbaum, Bruce Berman</t>
  </si>
  <si>
    <t>Simon Franglen, James Horner</t>
  </si>
  <si>
    <t>/ezcS78TIjgr85pVdaPDd2rSPVNs.jpg</t>
  </si>
  <si>
    <t>the magnificent seven</t>
  </si>
  <si>
    <t>toronto international film festival (1), venice film festival (1), blank (60), donostia-san sebasti√°n international film festival (1), new york city, new york (1), premiere (1), american film festival (1), dvd premiere (1)</t>
  </si>
  <si>
    <t>tt3835080</t>
  </si>
  <si>
    <t>Five carnival workers are kidnapped and held hostage in an abandoned, Hell-like compound where they are forced to participate in a violent game, the goal of which is to survive twelve hours against a gang of sadistic clowns.</t>
  </si>
  <si>
    <t>Welcome to hell.</t>
  </si>
  <si>
    <t>Horror, Thriller</t>
  </si>
  <si>
    <t>spectacle entertainment group, windy hill pictures, protagonist pictures, bow + arrow entertainment, palmstar media, spookshow international films</t>
  </si>
  <si>
    <t>United Kingdom, United States of America</t>
  </si>
  <si>
    <t>Deutsch, English, Espa‚àö¬±ol</t>
  </si>
  <si>
    <t>Ginger Lynn Allen, Andrea Dora, Richard Brake, Kevin Jackson, Michael 'Red Bone' Alcott, Malcolm McDowell, Daniel Roebuck, Sandra Rosko, Butch Von Dreaux, Caleb West, W.F. Bell, Jeff Daniel Phillips, Alyssa Perper, Gabriel Pimentel, Meg Foster, Sheri Moon Zombie, Torsten Voges, Esperanza Am‚àö¬©rica, Kara Gibson, Jane Carr, E. G. Daily, Devin Sidell, Pancho Moler, Jermain Hollman, Lawrence Hilton-Jacobs, Tracey Walter, Megan Albertus, Judy Geeson, David Ury, Lew Temple, Shawn Rougeron</t>
  </si>
  <si>
    <t>Rob Zombie</t>
  </si>
  <si>
    <t>David Daniel</t>
  </si>
  <si>
    <t>Rob Zombie, Patrick DePeters, Buddy Patrick, Joe Aliberti, Mike Elliott, Andy Gould, Eddie Vaisman, Kevin Scott Frakes, Alice Xandra Thirteen, Greg Holstein, Michael Sherman, Robert Ogden Barnum, Matthew Helderman, Brian Slagel, Chris Woody McElroy, Matthew Perniciaro, Luke Taylor, Albert T. Dickerson III, Bradley Curneal, Robert Rhine, Blayne Fender</t>
  </si>
  <si>
    <t>John 5, Zeuss, Bob Marlette, Rob Zombie</t>
  </si>
  <si>
    <t>/jHkIIkP4O0vUkSACcizOPZQIiF7.jpg</t>
  </si>
  <si>
    <t>sundance film festival (1), bucheon international fantastic film festival (1), motelx - lisbon international horror film festival (1), blank (8), internet (2), grimmfest international festival of fantastic film (1), sitges film festival (1), limited (1), monsters of film, stockholm (1), horrorthon festival dublin (1), night visions international film festival (1), paris international fantastic film festival (1), dvd premiere (3), dvd and blu-ray premiere (1), tv premiere (1)</t>
  </si>
  <si>
    <t>Snowden</t>
  </si>
  <si>
    <t>tt3774114</t>
  </si>
  <si>
    <t>CIA employee Edward Snowden leaks thousands of classified documents to the press.</t>
  </si>
  <si>
    <t>The only safe place is on the run.</t>
  </si>
  <si>
    <t>Drama, History, Crime, Thriller</t>
  </si>
  <si>
    <t>krautpack entertainment, vendian entertainment, endgame entertainment, wild bunch, open road films, tg media</t>
  </si>
  <si>
    <t>France, Germany, United States of America</t>
  </si>
  <si>
    <t>English</t>
  </si>
  <si>
    <t>Tom Wilkinson, Ken Thomas, Edward Snowden, Michael Benz, Demetri Goritsas, Joseph Gordon-Levitt, Nicholas Rowe, Rhys Ifans, Melissa Leo, Alexandra Adomaitis, Mathangi Ray, Rachel Handshaw, Al Sotto, Scott Eastwood, Christy Meyer, Nicolas Cage, Ben Chaplin, Olga Koda, Robert Firth, Jaymes Butler, Logan Marshall-Green, Stanley I. Walker Jr., Christian Contreras, Eric Kofi Abrefa, Bhasker Patel, Jamie Hodge, Erol Sander, Joely Richardson, Shailene Woodley, Donald Trump, Gregory Schwabe, Stephanie Simbeck, Patrick Joseph Byrnes, Zachary Quinto, LaKeith Stanfield, Alan Rusbridger, Anatoly Kucherena, Parker Sawyers, Ben Schnetzer, Andreas Dubois, Timothy Olyphant</t>
  </si>
  <si>
    <t>Oliver Stone</t>
  </si>
  <si>
    <t>Anthony Dod Mantle</t>
  </si>
  <si>
    <t>Luke Harding, Anatoly Kucherena, Kieran Fitzgerald, Oliver Stone</t>
  </si>
  <si>
    <t>Eric Kopeloff, Christopher Woodrow, Bahman Naraghi, Romain Le Grand, Philip Schulz-Deyle, James D. Stern, Fernando Sulichin, Max Arvelaiz, J‚àö¬©r‚àö¬•me Seydoux, Douglas Hansen, Moritz Borman, Tom Ortenberg, Olivier Cottet-Puinel, Jos‚àö¬© Ib‚àö¬∞‚àö¬±ez, Michael Bassick, Peter Lawson</t>
  </si>
  <si>
    <t>Craig Armstrong</t>
  </si>
  <si>
    <t>/yfK7zxNL63VWfluFuoUaJj5PdNw.jpg</t>
  </si>
  <si>
    <t>snowden</t>
  </si>
  <si>
    <t>san diego comic-con (1), toronto international film festival (1), blank (50), helsinki international film festival (1), donostia-san sebasti√°n international film festival (1), zurich film festival (1), pac festival (1), bfi london film festival (1), haifa film festival (1), camerimage film festival (1), mar del plata film festival (1), dvd premiere (3), blu-ray release (1), sarajevo film festival (1), internet (1)</t>
  </si>
  <si>
    <t>Blair Witch</t>
  </si>
  <si>
    <t>tt1540011</t>
  </si>
  <si>
    <t>Students on a camping trip discover something sinister is lurking beyond the trees.</t>
  </si>
  <si>
    <t>There's something evil hiding in the woods.</t>
  </si>
  <si>
    <t>Thriller, Horror</t>
  </si>
  <si>
    <t>vertigo entertainment, lionsgate, room 101, snoot entertainment</t>
  </si>
  <si>
    <t>Canada, United States of America</t>
  </si>
  <si>
    <t>Valorie Curry, Corbin Reid, James Allen McCune, Heather Donahue, Brandon Scott, Wes Robinson, Callie Hernandez</t>
  </si>
  <si>
    <t>Adam Wingard</t>
  </si>
  <si>
    <t>Robby Baumgartner</t>
  </si>
  <si>
    <t>Daniel Myrick, Eduardo S‚àö¬∞nchez, Simon Barrett</t>
  </si>
  <si>
    <t>Roy Lee, Jenny Hinkey, Daniel Myrick, Eduardo S‚àö¬∞nchez, Michael Paseornek, John Powers Middleton, Jessica Wu, Eda Kowan, Jason Constantine, Keith Calder, Steven Schneider</t>
  </si>
  <si>
    <t>/Ai73frMEz68bibFGRlPKdWBaIaq.jpg</t>
  </si>
  <si>
    <t>blair witch</t>
  </si>
  <si>
    <t>san diego comic-con (1), toronto international film festival (1), blank (43), l'√©trange festival (1), barcelona (1), subtitled version (1), premiere (1)</t>
  </si>
  <si>
    <t>Storks</t>
  </si>
  <si>
    <t>tt4624424</t>
  </si>
  <si>
    <t>Storks deliver babies‚Äö√Ñ¬∂or at least they used to. Now they deliver packages for a global internet retail giant. Junior, the company‚Äö√Ñ√¥s top delivery stork, is about to be promoted when he accidentally activates the Baby Making Machine, producing an adorable and wholly unauthorized baby girl...</t>
  </si>
  <si>
    <t>Find Your Flock</t>
  </si>
  <si>
    <t>Adventure, Animation, Comedy, Family</t>
  </si>
  <si>
    <t>ratpac entertainment, warner animation group, warner bros. pictures</t>
  </si>
  <si>
    <t>Jordan Peele, Frederica Stoller, Craig Berry, Charlie Flynn, Danny Trejo, Jorma Taccone, Ike Barinholtz, Matt Flynn, Awkwafina, Katie Crown, John Venzon, Douglas I. Schwartz, Rosanna Bee, Christopher Nicholas Smith, Andy Samberg, Doug Sweetland, Jess Fulton, Jennifer Aniston, Stephen Kramer Glickman, Bradford Lewis, Anton Starkman, Keegan-Michael Key, Ty Burrell, Justin Shelton, Amanda Lund, Kelsey Grammer</t>
  </si>
  <si>
    <t>Doug Sweetland, Nicholas Stoller</t>
  </si>
  <si>
    <t>Craig Berry, Matt Flynn, Nicholas Stoller</t>
  </si>
  <si>
    <t>Jared Stern, Steven Mnuchin, Glenn Ficarra, Nicholas Stoller, Christopher Miller, John Requa, Bradford Lewis, Phil Lord</t>
  </si>
  <si>
    <t>Jeff Danna, Mychael Danna</t>
  </si>
  <si>
    <t>/pwGolX8JmGJhhcUjO5SJt38Uk0m.jpg</t>
  </si>
  <si>
    <t>storks</t>
  </si>
  <si>
    <t>france national animation film festival (1), blank (61), dvd premiere (2)</t>
  </si>
  <si>
    <t>USS Indianapolis: Men of Courage</t>
  </si>
  <si>
    <t>tt2032572</t>
  </si>
  <si>
    <t>The harrowing true story of the crew of the USS Indianapolis, who were stranded in the Philippine Sea for five days after delivering the atomic weapons that would eventually end WWII. As they awaited rescue, they endured extreme thirst, hunger, and relentless shark attacks.</t>
  </si>
  <si>
    <t>1196 men aboard, 5 days in water, 317 survived</t>
  </si>
  <si>
    <t>Action, War</t>
  </si>
  <si>
    <t>union patriot capital management, saturn films, patriot pictures, hannibal pictures, mvp films, uss indianapolis production</t>
  </si>
  <si>
    <t>English, √ä√≥‚Ä¢√ä√∫¬®√ã‚Ñ¢√ª</t>
  </si>
  <si>
    <t>Joey Capone, Bill Riales, Stan Houston, Craig Tate, Nicolas Cage, Adam Scott Miller, Emily Tennant, Emily Marie Palmer, Eric C. Schmitz, Jerod Daniel Perez, Steven Varnes, Jason Rice, Kirk Jordan, Jaime Channing, Jon Hayden, Shamar Sanders, Gary Grubbs, Matthew Pearson, Justin Nesbitt, Timothy Patrick Cavanaugh, Max Ryan, Callard Harris, Brian Presley, Michael Brannon, Pete Riehm, Marley Van Peebles, Zachary James Rukavina, Kenta William Tomeoki, Edward J. Delmore III, Yutaka Takeuchi, Mandela Van Peebles, Mattie Liptak, Judd Lormand, Zero Kazama, James Remar, Matt Lanter, Jos‚àö¬© Juli‚àö¬∞n, Jacob McManus, Patrice Cols, Casey Myers, Tom Sizemore, Currie Graham, Sasha Feldman, Brian Matney, Thomas Jane, Johnny Wactor, Joshua P. Dease, Rebecca N. Pena, Weronika Rosati, Shane Patrick Cavanaugh, Chris Lott, Cody Walker, Charity Sills, Charles Wiedman, Patrick O'Driscoll, Ladson Deyne</t>
  </si>
  <si>
    <t>Mario Van Peebles</t>
  </si>
  <si>
    <t>Andrzej Sekula</t>
  </si>
  <si>
    <t>Cam Cannon, Richard Rionda Del Castro</t>
  </si>
  <si>
    <t>Michael Mendelsohn, Mariusz ‚âà√Öukomski, Richard Rionda Del Castro</t>
  </si>
  <si>
    <t>Laurent Eyquem</t>
  </si>
  <si>
    <t>/aREeJV7avhlLnCicVG3fBjXiaW1.jpg</t>
  </si>
  <si>
    <t>uss indianapolis: men of courage</t>
  </si>
  <si>
    <t>blank (15), internet (4), lethbridge (1), dvd premiere (5), dvd and blu-ray premiere (1), tv premiere (2)</t>
  </si>
  <si>
    <t>My Life as a Zucchini</t>
  </si>
  <si>
    <t>tt2321405</t>
  </si>
  <si>
    <t>fr</t>
  </si>
  <si>
    <t>Ma vie de courgette</t>
  </si>
  <si>
    <t>After his mother‚Äö√Ñ√¥s death, Zucchini is befriended by a kind police officer, Raymond, who accompanies him to his new foster home filled with other orphans his age. There, with the help of his newfound friends, Zucchini eventually learns to trust and love as he searches for a new family of his own.</t>
  </si>
  <si>
    <t>SOMETIMES WE CRY BECAUSE WE'RE HAPPY.</t>
  </si>
  <si>
    <t>Animation, Comedy, Drama, Family</t>
  </si>
  <si>
    <t>g‚àö¬©b‚àö¬©ka films, rita productions, blue spirit, knm, rts, srg ssr, auvergne-rh‚àö¬•ne-alpes cin‚àö¬©ma, france 3 cin‚àö¬©ma, h‚àö¬©lium films</t>
  </si>
  <si>
    <t>France, Switzerland</t>
  </si>
  <si>
    <t>Fran‚àö√üais</t>
  </si>
  <si>
    <t>Evelyne Bouvier, Gaspard Schlatter, Anne-Laure Brasey, Elliot Sanchez, Monica Budde, Romane Cretegny, Raul Ribera, Michel Vuillermoz, Lou Wick, V‚àö¬©ronique Montel, Natacha Koutchoumov, L‚àö¬©onard Geneux, Adrien Barazzone, Brigitte Rosset, Sixtine Murat, Jean-Claude Issenmann, Iannis Jaccoud, Paulin Jaccoud, Estelle Hennard</t>
  </si>
  <si>
    <t>Claude Barras</t>
  </si>
  <si>
    <t>David Toutevoix</t>
  </si>
  <si>
    <t>Claude Barras, Morgan Navarro, C‚àö¬©line Sciamma, Gilles Paris, Germano Zullo</t>
  </si>
  <si>
    <t>Pauline Gygax, Armelle Glorennec, Kateryna Merkt, Max Karli, Michel Merkt, Marc Bonny</t>
  </si>
  <si>
    <t>Sophie Hunger</t>
  </si>
  <si>
    <t>/2uu8fIzl76C9MFiUQhjKYSLKVq.jpg</t>
  </si>
  <si>
    <t>my life as a zucchini</t>
  </si>
  <si>
    <t>cannes directors' fortnight (1), annecy international animation film festival (1), melbourne international film festival (1), sarajevo international film festival (1), festival du film francophone d'angoul√™me (1), san sebasti√°n film festival (1), venice days (1), venice film festival (1), fantoche international animation film festival (1), toronto international film festival (1), french speaking region (3), festival du film fran√ßais d'helv√©tie bienne (1), italian speaking region (1), zurich film festival (1), ghent film festival (1), namur international festival of french-speaking film (1), jihlava international documentary film festival (1), valladolid international film festival (1), animatou international animation film festival (1), bfi london film festival (1), la roche-sur-yon international film festival (1), blank (36), cinekid film festival (1), warsaw film festival (1), haifa film festival (1), amsterdamned (1), dok leipzig (1), filem'on international children's film festival brussels (1), cph pix: pix (1), thessaloniki international film festival (1), stockholm international film festival (1), leeds international film festival (1), gij√≥n international film festival (1), lux movie festival (1), singapore international film festival (1), limited (1), fcp 2016 (1), palm springs international film festival (1), sundance film festival (1), solothurn film festival (1), portland international film festival (1), german speaking region (1), glasgow film festival (1), providence children's film festival (1), belgrade film festival (1), anima brussels animation film festival (1), holland animation film festival (1), tokyo anime award festival (1), guadalajara international film festival (1), fargo film festival (1), vilnius international film festival (1), buenos aires international festival of independent cinema (1), beijing international film festival (2), animafest zagreb (1), sydney film festival (1), new zealand international film festival (1), fantasia international film festival (1), traverse city film festival (1), brisbane film festival (1), sala zitarrosa (1), tokyo international film festival (1), krak√≥w film festival (1), brussels international film festival (1), cine europa (1), dvd premiere (1), g√∂teborg film festival prisma (1)</t>
  </si>
  <si>
    <t>Queen of Katwe</t>
  </si>
  <si>
    <t>tt4341582</t>
  </si>
  <si>
    <t>A young girl overcomes her disadvantaged upbringing in the slums of Uganda to become a Chess master.</t>
  </si>
  <si>
    <t>In chess, the small one can become the big one.</t>
  </si>
  <si>
    <t>Drama</t>
  </si>
  <si>
    <t>cine mosaic, mirabai films</t>
  </si>
  <si>
    <t>Nikita Waligwa, Edgar Kanyike, Babirye Stellah, David Oyelowo, Martin Kabanza, Maurice Kirya, Hope Katende, Ronald Ssemaganda, Zohran Mamdani, Joanitta Bewulira-Wandera, Ntare Guma Mbaho Mwine, Ivan Jacobo, Ethan Nazario Lubega, Madina Nalwanga, Philip Luswata, Peter Odeke, Lupita Nyong'o, Esther Tebandeke, Taryn "Kay" Kyaze, Nicolas Levesque</t>
  </si>
  <si>
    <t>Mira Nair</t>
  </si>
  <si>
    <t>Sean Bobbitt</t>
  </si>
  <si>
    <t>Tim Crothers, William Wheeler</t>
  </si>
  <si>
    <t>Dan Silver, John B. Carls, Lydia Dean Pilcher, Troy Buder, Will Weiske, Connor Schell</t>
  </si>
  <si>
    <t>Alex Heffes</t>
  </si>
  <si>
    <t>/m8V2ud6uhV7qH6wEDoQ4Ujw99ji.jpg</t>
  </si>
  <si>
    <t>queen of katwe</t>
  </si>
  <si>
    <t>toronto international film festival (1), toronto (1), limited (1), blank (19), bfi london film festival (1), morelia international film festival (1), taipei golden horse film festival (1), brisbane asia pacific film festival (1), dvd premiere (1), internet (1)</t>
  </si>
  <si>
    <t>Miss Peregrine's Home for Peculiar Children</t>
  </si>
  <si>
    <t>tt1935859</t>
  </si>
  <si>
    <t>A teenager finds himself transported to an island where he must help protect a group of orphans with special powers from creatures intent on destroying them.</t>
  </si>
  <si>
    <t>Stay peculiar.</t>
  </si>
  <si>
    <t>Fantasy, Adventure, Drama, Family</t>
  </si>
  <si>
    <t>chernin entertainment, tim burton productions, tsg entertainment, 20th century fox</t>
  </si>
  <si>
    <t>Tim Burton, Vic Waghorn, Dafydd Hywel, Cameron King, Judi Dench, Christine Dalby, Aiden Flowers, Callum Wilson, Pamela DeAbreu, Ella Purnell, Scott Handy, Dan Mersh, Raffiella Chapman, Terence Stamp, Louis Davison, Brooke Jaye Taylor, Nicholas Amer, Chris O'Dowd, George Vricos, Helen Day, Badria Timimi, Jill Buchanan, Lauren McCrostie, O-Lan Jones, James Kermack, Justin Davies, Jennifer Jarackas, Neil Broome, Shaun Thomas, Nicholas Oteri, Eva Green, Joseph Odwelll, Rupert Everett, Hayden Keller-Stone, Andrew Fibkins, Kim Dickens, Thomas Odwell, Georgia Pemberton, Milo Parker, Philip Philmar, Pixie Davies, Cameron Greco, Joanne Manchester, Dino Fazzani, Jason Redshaw, Jackson Tessmer, Asa Butterfield, Erik Lunseth, Jack Brady, Finlay MacMillan, Ella Wahlestedt, Ioan Hefin, Jack Fibkins, Samuel L. Jackson, Stuart Davidson, Allison Janney</t>
  </si>
  <si>
    <t>Tim Burton</t>
  </si>
  <si>
    <t>Bruno Delbonnel</t>
  </si>
  <si>
    <t>Ransom Riggs, Jane Goldman</t>
  </si>
  <si>
    <t>Derek Frey, Nigel Gostelow, Katterli Frauenfelder, Peter Chernin, Jenno Topping</t>
  </si>
  <si>
    <t>Matthew Margeson, Michael Higham</t>
  </si>
  <si>
    <t>/CIlbMFOfYDj0MP23hsIYhFGrL6.jpg</t>
  </si>
  <si>
    <t>miss peregrine's home for peculiar children</t>
  </si>
  <si>
    <t>fantastic fest (1), blank (61), dvd premiere (1)</t>
  </si>
  <si>
    <t>Deepwater Horizon</t>
  </si>
  <si>
    <t>tt1860357</t>
  </si>
  <si>
    <t>A story set on the offshore drilling rig Deepwater Horizon, which exploded during April 2010 and created the worst oil spill in U.S. history.</t>
  </si>
  <si>
    <t>When faced with our darkest hour, hope is not a tactic.</t>
  </si>
  <si>
    <t>Drama, Action</t>
  </si>
  <si>
    <t>summit entertainment, participant, di bonaventura pictures, closest to the hole productions, leverage entertainment, tik films, lionsgate</t>
  </si>
  <si>
    <t>Hong Kong, United States of America</t>
  </si>
  <si>
    <t>Joe Chrest, John Malkovich, Robert Walker Branchaud, Gina Rodriguez, Terry Milam, Peter Berg, Stella Allen, David Maldonado, Brad Leland, Henry Frost, Deneen Tyler, Jonathan Angel, Henri Esteve, Jason Kirkpatrick, Ethan Suplee, Dylan O'Brien, Garrett Hines, Julia Holt, Sue-Lynn Ansari, Douglas M. Griffin, Juston Street, Chris Ashworth, Jeremy Sande, J.D. Evermore, Mark Wahlberg, Kurt Russell, Trace Adkins, Anthony "Ace" Thomas, Jim Klock, Kate Hudson, Garrett Kruithof, James DuMont, Rob Steinberg</t>
  </si>
  <si>
    <t>Peter Berg</t>
  </si>
  <si>
    <t>Enrique Chediak</t>
  </si>
  <si>
    <t>J.C. Chandor, Matthew Sand, Matthew Michael Carnahan</t>
  </si>
  <si>
    <t>Stephen Levinson, Jonathan King, Jeff Skoll, Lorenzo di Bonaventura, David Womark, Mark Wahlberg, Mark Vahradian</t>
  </si>
  <si>
    <t>Steve Jablonsky</t>
  </si>
  <si>
    <t>/jgBIYCZACe3iaS9TL2XzVGkO5p5.jpg</t>
  </si>
  <si>
    <t>deepwater horizon</t>
  </si>
  <si>
    <t>toronto international film festival (1), new orleans, louisiana (1), premiere (1), zurich film festival (1), blank (74), internet (2), dvd premiere (1)</t>
  </si>
  <si>
    <t>Masterminds</t>
  </si>
  <si>
    <t>tt2461150</t>
  </si>
  <si>
    <t>A night guard at an armored car company in the Southern U.S. organizes one of the biggest bank heists in American history.</t>
  </si>
  <si>
    <t>What Would You Do With $17 Million?</t>
  </si>
  <si>
    <t>Action, Comedy, Crime</t>
  </si>
  <si>
    <t>broadway video, relativity media, michaels-goldwyn</t>
  </si>
  <si>
    <t>English, Espa‚àö¬±ol</t>
  </si>
  <si>
    <t>Reegus Flenory, Tyler Craig, Owen Wilson, Kerry Rossall, Daniel Zacapa, Fred Galle, Kelly Tippens, Kate McKinnon, Rhoda Griffis, Kevin J. O'Connor, Joseph S. Wilson, William Cowboy Reed, Michael Fraguada, Paul Pillsbury, Jon Daly, Mandi Beers, Vincent Garcia, Chris Matheny, Keya Hamilton, Dallas Edwards, Ron Stafford, Corey Maher, Brent Gribble, Brenda Moss-Clifton, Wil Smith, Shelton Grant, Leslie Jones, Wynn Reichert, Marlo Scheitler, Robert McRary, Kristen Wiig, Ross Kimball, Christopher Donald Gallagher, Barry Ratcliffe, Laura Palka, Anne Johnson, Jill Jane Clements, Kelly Borgnis, Willie Tyrone Ferguson, Danny Comden, David N. Russell, Zach Galifianakis, Mary Elizabeth Ellis, Tom Werme, Josu‚àö¬© Gutierrez, Eizzil Cintr‚àö‚â•n Valenzuela, Jay Amor, David L. Craig, Jason Michael Elliott, Njema Williams, Joey Popp, Cameron Feimster, Matt Corboy, Jee An, Nicole Dupre Sobchack, Tania Cuzmenco, Ken Marino, Devin Ratray, Timothy Timms, Nils Cruz, Christian Gonzalez, Candace Blanchard, Jason Sudeikis, Jordan Israel, Beth Adams, Jim Keisler, Karsten Friske, John Rutland, John Carter, Gabriel Manak, T.J. Lyell</t>
  </si>
  <si>
    <t>Jared Hess</t>
  </si>
  <si>
    <t>Erik Wilson</t>
  </si>
  <si>
    <t>Emily Spivey, Hubbel Palmer, Chris Bowman</t>
  </si>
  <si>
    <t>Jerry Lasky, Ryan Kavanaugh, Jill Messick, Brett Dahl, Andrew Panay, Ken Halsband, Joseph Nicholas, Erin David, Lorne Michaels, Danny McBride, Tucker Tooley, Jared Underwood, Jody Hill, Andrew C. Robinson, Dana Brunetti, Brent Almond, John Goldwyn, Adam Fields, Kevin J. Messick</t>
  </si>
  <si>
    <t>Geoff Zanelli</t>
  </si>
  <si>
    <t>/4CXgye1p8Vr7taDG389QhhHDUZ4.jpg</t>
  </si>
  <si>
    <t>masterminds</t>
  </si>
  <si>
    <t>blank (40), los angeles, california (1), premiere (1), dvd and blu-ray premiere (1), dvd premiere (1)</t>
  </si>
  <si>
    <t>The Duelist</t>
  </si>
  <si>
    <t>tt5282006</t>
  </si>
  <si>
    <t>ru</t>
  </si>
  <si>
    <t>‚Äì√Æ‚Äî√â‚Äî√ß‚Äì¬™‚Äî√®‚ÄìŒ©‚Äî√á</t>
  </si>
  <si>
    <t>Returning to Saint Petersburg after a long exile, the dashing Yakovlev, a retired army officer, makes a comfortable living by winning other people's duels. An enigmatic, focused, and extremely skilled professional, he leaves a trail of dead bodies behind him as he swirls through polite society, frequently called upon to wield a pistol as a surrogate in duels at dawn. But when Yakovlev meets the na‚àö√òve young Prince Tuchov and his beautiful sister, Princess Martha, the normally cold-hearted mercenary is surprised by hitherto undetected emotions. What transpires uncovers a series of revelations about his past and his present self.</t>
  </si>
  <si>
    <t>On The Dark Side Of Honor</t>
  </si>
  <si>
    <t>Adventure, Action, Drama</t>
  </si>
  <si>
    <t>non-stop productions, fetisoff illusion, russia-1, cinema foundation of russia</t>
  </si>
  <si>
    <t>Russia</t>
  </si>
  <si>
    <t>P‚Äî√â‚Äî√Ö‚Äî√Ö‚Äì‚à´‚Äì‚àè‚ÄìœÄ</t>
  </si>
  <si>
    <t>Nikita Kukushkin, Vladimir Mashkov, Nikolay Butenin, Maksim Klimenko, Pierre Bourel, Sergey Trebesov, Alexandr Aravushkin, Yuriy Kuznetsov, Sergey Garmash, Martin Wuttke, Yuri Kolokolnikov, Pyotr Fyodorov, Aleksandra Serebryakova, Yan Kuzmin, Dmitriy Kulichkov, Aleksandr Yatsenko, Sergey Godin, Svetlana Mertsalova, Petr Skvortsov, Natalya Kalinina, Igor Khripunov, Pavel Tabakov, Yuliya Khlynina, Gleb Temnov, Franziska Petri, Dmitry Zhuravlev, Arthur Beschastny, Alexandr Mizev, Anatoly Kondyubov, Lyudmila Grigorash, Nikolay Kiy, Anton Kuznetsov, Nikolay Yakovlev, Pavel Kuzmin, Dmitry Lysenkov, Artem Vasilyev, Svetlana Obidina</t>
  </si>
  <si>
    <t>Aleksei Mizgiryov</t>
  </si>
  <si>
    <t>Maxim Osadchy-Korytkovsky</t>
  </si>
  <si>
    <t>Alexander Rodnyansky, Natalya Gorina, Sergey Melkumov</t>
  </si>
  <si>
    <t>Igor Vdovin</t>
  </si>
  <si>
    <t>/zlVkUY2bBJ5XYTDiry16u70oayQ.jpg</t>
  </si>
  <si>
    <t>the duelist</t>
  </si>
  <si>
    <t>toronto international film festival (1), blank (5), dubai international film festival (1), dvd and blu-ray premiere (1), dvd and blu-ray and premiere (1)</t>
  </si>
  <si>
    <t>The King's Choice</t>
  </si>
  <si>
    <t>tt4353996</t>
  </si>
  <si>
    <t>Kongens nei</t>
  </si>
  <si>
    <t>On 9 April 1940, German soldiers arrive in the city of Oslo. The King of Norway faces a choice that will change his country forever.  The King's Choice is a story about the three most dramatic days in Norway's history, the royal family's escape and King Haakon's difficult choice after Nazi Germany's invasion of Norway.</t>
  </si>
  <si>
    <t>Three Days in April</t>
  </si>
  <si>
    <t>War, Action, Drama</t>
  </si>
  <si>
    <t>newgrange pictures, film i v‚àö¬ßst, zentropa international sweden, paradox produksjon, nordisk film norway, copenhagen film fund</t>
  </si>
  <si>
    <t>Denmark, Ireland, Norway, Sweden</t>
  </si>
  <si>
    <t>Dansk, Norsk, svenska, Deutsch</t>
  </si>
  <si>
    <t>Joakim Dan J‚àö‚àèrgensen, Mikkel Gram Bakker, Andreas Lust, Linus Widner, Herbert Nordrum, Randolf Walderhaug, Leiv Ose, Krister Kern, Udo Schenk, Karl Flymann, Juliane K‚àö‚àÇhler, Erland Bakker, Alexander Von Bremen, Ingrid Ross Raftemo, Espen Sandvik, Tom Styve, Jan Frostad, Anders Baasmo Christiansen, Hans Jacob Sand, Aslak Maurstad, Karl Markovics, Ragnhild Udbye Lefstad, Rolf Kristian Larsen, Benjamin L‚àö‚àènne R‚àö‚àèsler, Tuva Novotny, Gerald Pettersen, Arthur Hakalahti, Torfinn Nag, Jesper Christensen, Katharina Sch‚àö¬∫ttler, Lage Kongsrud, Erik Hivju, Zoe Witt, Svein Tindberg, Andree-‚àö√±sten Solvik, ‚àö√≤yvind M‚àö‚àèrk, Magnus Ketilsson Dobbe, Tone Danielsen, Johan Ivarson, Jan Petter Dickman, Sofie Falkg‚àö‚Ä¢rd, Nikolay Lange-Nielsen, Ketil H‚àö‚àèegh, Eric Vorenholt</t>
  </si>
  <si>
    <t>Erik Poppe</t>
  </si>
  <si>
    <t>John Christian Rosenlund</t>
  </si>
  <si>
    <t>Jan Trygve R‚àö‚àèyneland, Alf R. Jacobsen, Jim Frazee, Harald Rosenl‚àö‚àèw-Eeg</t>
  </si>
  <si>
    <t>Stein B. Kvae, Henrik Zein, Erik Poppe, Tomas Eskilsson, Jan Petter Dickman, Jesper Christensen, Peter Garde, Finn Gjerdrum, Lone Korslund, Thomas Gammeltoft, Malene R. Ehlers</t>
  </si>
  <si>
    <t>Johan S‚àö‚àÇderqvist</t>
  </si>
  <si>
    <t>/qulAxlraNWYrvtq2lIi6AakbeUs.jpg</t>
  </si>
  <si>
    <t>the king's choice</t>
  </si>
  <si>
    <t>the royal castle oslo (1), blank (10), filmfest oslo (1), premiere (1), palm springs international film festival (1), berlin international film festival (1), portland international film festival (1), dvd premiere (2), beijing international film festival (1), minneapolis-st. paul international film festival (1), espoo cin√© international film festival (1), seattle international film festival (1), edinburgh international film festival (1), norwegian international film festival (1), helsinki international film festival (1), tallgrass film festival (1), scanorama film festival vilnius (1), camerimage film festival (1), tv premiere (2)</t>
  </si>
  <si>
    <t>Denial</t>
  </si>
  <si>
    <t>tt4645330</t>
  </si>
  <si>
    <t>Acclaimed writer and historian Deborah E. Lipstadt must battle for historical truth to prove the Holocaust actually occurred when David Irving, a renowned denier, sues her for libel.</t>
  </si>
  <si>
    <t>The whole world knows the Holocaust happened. Now she needs to prove it.</t>
  </si>
  <si>
    <t>Drama, History</t>
  </si>
  <si>
    <t>bbc film, participant, krasnoff / foster entertainment, shoebox films</t>
  </si>
  <si>
    <t>Tom Wilkinson, Nicholas Tennant, Mark Gatiss, Will Attenborough, Nikki Amuka-Bird, Timothy Spall, Ziggy Heath, Amber Batty, Alex Jennings, Ian Bartholomew, Sally Messham, Pip Carter, Edward Franklin, Lachele Carl, Rachel Weisz, Jeremy Paxman, Elliot Levey, Laura Evelyn, Harriet Walter, Caren Pistorius, Todd Boyce, Hilton McRae, Daniel Cerqueira, Max Befort, Sean Power, Sara Powell, Paul Bailey, Andrew Scott, Laurel Lefkow, Jackie Clune, Tom Clarke Hill, Amanda Lawrence, John Sessions, Jacob Krichefski, Jack Lowden, Andrea Deck, Luigi Boccanfuso, Helen Bradbury, Abigail Cruttenden, Paul Hunter</t>
  </si>
  <si>
    <t>Mick Jackson</t>
  </si>
  <si>
    <t>Haris Zambarloukos</t>
  </si>
  <si>
    <t>Deborah Lipstadt, David Hare</t>
  </si>
  <si>
    <t>Joe Oppenheimer, Jonathan King, Gary Foster, Christine Langan, Marta Habior, Guy Heeley, Jeff Skoll, Andrew Karpen, Russ Krasnoff</t>
  </si>
  <si>
    <t>Howard Shore</t>
  </si>
  <si>
    <t>/cJLbcWqV6sKwPpX5uT4xaklTgQz.jpg</t>
  </si>
  <si>
    <t>denial</t>
  </si>
  <si>
    <t>toronto international film festival (1), limited (2), san diego film festival (1), blank (21), palm springs international film festival (1), g√∂teborg film festival (1), belgrade film festival (1), dvd premiere (1), tv premiere (1)</t>
  </si>
  <si>
    <t>Mirror Game</t>
  </si>
  <si>
    <t>tt5354160</t>
  </si>
  <si>
    <t>bn</t>
  </si>
  <si>
    <t>‚Ä°¬∂√ú‚Ä°√ü√º‚Ä°¬∂¬Æ‚Ä°¬∂√¶‚Ä°¬∂¬®‚Ä°¬∂√¶‚Ä°¬∂√∫‚Ä°¬∂√∏</t>
  </si>
  <si>
    <t>Ayna is an actor and the prison is his stage. He slips into the characters of the powerful convicted in exchange of money and take their place in prison. This strange profession is borne out of a society that doesn't give him a chance to follow his passion of acting, but forces him to act in the real life. Falling in love with the girl next door changes his life equation and he decides to end this career with one last performance. But this one takes him too deep in the rabbit hole. The story unfolds on how an underdog survives in a society that is merciless and struggles his way out from the clutch of crime game which he is a part too.</t>
  </si>
  <si>
    <t>Crime, Mystery, Thriller</t>
  </si>
  <si>
    <t>content matters, half stop down</t>
  </si>
  <si>
    <t>Bangladesh</t>
  </si>
  <si>
    <t>‚Ä°¬∂¬®‚Ä°¬∂√¶‚Ä°¬∂√á‚Ä°¬∂‚â§‚Ä°¬∂√¶</t>
  </si>
  <si>
    <t>Gouranga Mondol, Samreen Mehedul, Hridoy Hossain, Sahidul Islam, BM Nazmul, Pappu, Shahriar Ferdous Sazeeb, Alamgir Rahman, Farzana Aktar Poly, Kazi Tanvir Rashid, Shahriar Reza Shuvo, Tariq Anam Khan, Bijori Barkatullah, Aruba Zara, Abdur Rahim Khan, Pankaj Majumder, Rafiqul Islam Fahim, Rahat Hayat, Ankhi Alamgir Asha, Kanak, Iffat Trisha, Sheikh Farid Al Khalifa, Shariful Islam, Romel, HM Akter, Ashfaquzzaman Bipu, Md Assaduzzaman Sokal, Azaz Bari, Bablu Bose, Amitabh Reza Chowdhury, Rashid, Shovon, Shawkat Osman, Iresh Zaker, Kaniska Chakraborty, Major John, Brindaban Das, Lutfur Rahman George, Hasan Shahriar, Bulbul Ahmed, Meem, Aly Zaker , Samir Rakib, Poppy Akter Jui, Intekhab Dinar, Chanchal Chowdhury, Safina Ahmed Tory, Tanveer Hossain, Mahfujur Rahman, Partha Barua, Himu, Tanvir Ovi, Shakilur Rahman Sheikh, Kazi Rajesh, Mita Mahmud, Bithika, Sharmin, Shohel Mondol, Gousul Alam Shaon, Sheikh Abid R Rafi, Ishaan, Tapan Majumdar, Salma Aktar, Hazrat Ali Sagar, Humayun Shadhu, Saidur Rahman Ranak, Darpan Khan, Sabbir Hasan Likhon, Khairul Basar, Nayeemur Rahman Apon, Masuma Rahman Nabila, Jamil, Sharmi Aktar, Sumon, Arifin Shuvo, Farzana Sun, Akash Bepari, Asifur Rahman, Marufur Rahman, Zareen Zahan Priyotee, Alexine D'Costa, Sakil Hossain</t>
  </si>
  <si>
    <t>Amitabh Reza Chowdhury</t>
  </si>
  <si>
    <t>Rashed Zaman</t>
  </si>
  <si>
    <t>Adnan Adib Khan, Chirkutt, Gousul Alam Shaon, Rajib Ashraf, Anam Biswas, Amitabh Reza Chowdhury</t>
  </si>
  <si>
    <t>Esha Yousuf</t>
  </si>
  <si>
    <t>Chirkutt, Indraadip Dasgupta, Habib Wahid, Shayan Chowdhury Arnob, Fuad al Muqtadir</t>
  </si>
  <si>
    <t>/hlcN8exK6HXn3rav6MOZyL90XYW.jpg</t>
  </si>
  <si>
    <t>mirror game</t>
  </si>
  <si>
    <t>march√© du film - festival de cannes (1), blank (2), seattle south asian film festival (1), mannheim-heidelberg international filmfestival (1), porto (1), batalha centro de cinema (1), internet (1)</t>
  </si>
  <si>
    <t>The Girl on the Train</t>
  </si>
  <si>
    <t>tt3631112</t>
  </si>
  <si>
    <t>Rachel Watson, devastated by her recent divorce, spends her daily commute fantasizing about the seemingly perfect couple who live in a house that her train passes every day, until one morning she sees something shocking happen there and becomes entangled in the mystery that unfolds.</t>
  </si>
  <si>
    <t>What you see can hurt you.</t>
  </si>
  <si>
    <t>reliance entertainment, dreamworks pictures, marc platt productions</t>
  </si>
  <si>
    <t>India, United States of America</t>
  </si>
  <si>
    <t>Espa‚àö¬±ol, English</t>
  </si>
  <si>
    <t>Gregory Morley, Eddie Sellner, Craig Moruzzi, Laura Prepon, Kristina Nichole, Tamiel Paynes, Conor Hovis, Ross Gibby, Athena Stuebe, John Norris, Rachel Christopher, Johnny Otto, Tim Wiencis, Luke Evans, Peter Mayer-Klepchick, Guy Sparks, Haley Bennett, Kevin D. McGee, Emily Blunt, Doris McCarthy, Phil Oddo, Leilah Marie Giddens, Darren Goldstein, Fernando Medina, Rebecca Ferguson, Jesse VanDerveer, Alexander Jameson, Alice Niedermair, Justin Theroux, Nathan Shapiro, Sidney Beitz, Danielle M. Williamson, Lana Young, Frank Anello, Mauricio Ovalle, Edgar Ram‚àö‚â†rez, Hannah Kurczeski, Cleta Elaine Ellington, Lisa Kudrow, Mac Tavares, Allison Janney</t>
  </si>
  <si>
    <t>Tate Taylor</t>
  </si>
  <si>
    <t>Charlotte Bruus Christensen</t>
  </si>
  <si>
    <t>Erin Cressida Wilson, Paula Hawkins</t>
  </si>
  <si>
    <t>Marc Platt, Celia D. Costas, Kathleen Kennedy, Frank Marshall, Jared LeBoff</t>
  </si>
  <si>
    <t>Danny Elfman</t>
  </si>
  <si>
    <t>/AhTO2QWG0tug7yDoh0XoaMhPt3J.jpg</t>
  </si>
  <si>
    <t>the girl on the train</t>
  </si>
  <si>
    <t>london (1), premiere (2), new york city, new york (1), blank (56)</t>
  </si>
  <si>
    <t>A Monster Calls</t>
  </si>
  <si>
    <t>tt3416532</t>
  </si>
  <si>
    <t>12-year-old Conor encounters an ancient tree monster who proceeds to help him cope with his mother's terminal illness and being bullied in school.</t>
  </si>
  <si>
    <t>Stories are wild creatures.</t>
  </si>
  <si>
    <t>Fantasy, Adventure, Family</t>
  </si>
  <si>
    <t>river road entertainment, participant, apaches films, la trini, a monster calls, telecinco cinema</t>
  </si>
  <si>
    <t>Spain, United States of America</t>
  </si>
  <si>
    <t>Frida Palsson, James Melville, Lee Bolton, Dominic Boyle, Lily-Rose Aslandogdu, Sigourney Weaver, Ben Moor, Lewis MacDougall, Oliver Steer, Max Golds, Garry Marriott, Max Gabbay, Morgan Symes, Wanda Opalinska, Jake Talbot, Geraldine Chaplin, Patrick Taggart, Felicity Jones, Joe Curtis, Liam Neeson, Toby Kebbell, Jennifer Lim</t>
  </si>
  <si>
    <t>J.A. Bayona</t>
  </si>
  <si>
    <t>‚àö√¨scar Faura</t>
  </si>
  <si>
    <t>Siobhan Dowd, Patrick Ness</t>
  </si>
  <si>
    <t>Bill Pohlad, Jeff Skoll, Sandra Hermida, Jonathan King, Bel‚àö¬©n Atienza, Enrique L‚àö‚â•pez Lavigne, Patrick Ness, Ghislain Barrois, Patrick Wachsberger, ‚àö√Ölvaro Augustin, Mitch Horwits</t>
  </si>
  <si>
    <t>Fernando Vel‚àö¬∞zquez</t>
  </si>
  <si>
    <t>/vNzWJwVqjszWwXrA7ZfsrJmhgV9.jpg</t>
  </si>
  <si>
    <t>a monster calls</t>
  </si>
  <si>
    <t>toronto international film festival (1), donostia-san sebasti√°n international film festival (1), zurich film festival (1), helsinki international film festival (1), fantastic fest (1), bfi london film festival (1), blank (58), mill valley film festival (1), leiden international film festival (1), cph: pix (1), camerimage film festival (1), stockholm international film festival (1), international film festival &amp; awards macao (1), dubai international film festival (1), limited (1), future film festival (1), tv premiere (1), dvd premiere (1)</t>
  </si>
  <si>
    <t>Hacksaw Ridge</t>
  </si>
  <si>
    <t>tt2119532</t>
  </si>
  <si>
    <t>WWII American Army Medic Desmond T. Doss, who served during the Battle of Okinawa, refuses to kill people and becomes the first Conscientious Objector in American history to receive the Congressional Medal of Honor.</t>
  </si>
  <si>
    <t>One of the greatest heroes in American history never fired a bullet.</t>
  </si>
  <si>
    <t>Drama, History, War</t>
  </si>
  <si>
    <t>summit entertainment, pandemonium, cross creek pictures, permut presentations, vendian entertainment, argent pictures, im global, ai film, bliss media, kylin pictures, cosmos filmed entertainment, icon productions, lionsgate</t>
  </si>
  <si>
    <t>Australia, United Kingdom, United States of America, China</t>
  </si>
  <si>
    <t>√ä√≥‚Ä¢√ä√∫¬®√ã‚Ñ¢√ª, English</t>
  </si>
  <si>
    <t>Ned Law, Raphael Sikic, James O'Connell, Hiroshi Kasuga, Nathan Baird, Tim Potter, Nicholas Cowey, Jeremy Costello, Benedict Hardie, Craig Reeves, Luke Bracey, Goran D. Kleut, John Cannon, Mikael Koski, Sam Parsonson, Taka Uematsu, Matt Nable, Tyler Coppin, Thatcher McMaster, Helmut Bakaitis, Teresa Palmer, Jacob Warner, Luke McMahon, James Moffett, Roman Guerriero, Damien Thomlinson, Georgia Adamson, Adam Bowes, Sean Lynch, Yuki Nagashima, Tim McGarry, John Batziolas, Laura Buckton, Rachel Griffiths, Ori Pfeffer, Firass Dirani, Michael Hennessy, Honsen Haga, Hugo Weaving, Yoji Tatsuta, Nobuaki Shimamoto, James Lugton, Daniel Thone, Kazuki Yuyama, Richard Roxburgh, Charles Jacobs, Taki Abe, Vince Vaughn, Jarin Towney, Nathaniel Buzolic, Nico Cortez, Samuel R. Wright, Robert Morgan, Sam Worthington, Darcy Bryce, Daisaku Takeda, Toshiyuki Teramoto, Ryuzaburo Naruse, Ryan Corr, Anthony Rizzo, Andrew Hansch, Bill Young, Dennis Kreusler, Jim Robison, Charles Upton, Luke Pegler, Adrian Twigg, Philip Quast, Laurence Brewer, Bill Thompson, Eric Taugherbeck, Yasushi Asaya, Thomas Unger, Nathan Halls, William Takayanagi-Temm, Troy Pickering, Hayden Geens, Ben O'Toole, Michael Sheasby, Milan Pulvermacher, Simon Edds, Josh Dean Williams, Milo Gibson, Kasia Stelmach, Richard Pyros, James Mackay, Harry Greenwood, Kazuaki Ono, Richard Platt, Ben Mingay, Santo Tripodi, Andrew Sears, Benjamin McCann, Andrew Garfield</t>
  </si>
  <si>
    <t>Mel Gibson</t>
  </si>
  <si>
    <t>Simon Duggan</t>
  </si>
  <si>
    <t>Robert Schenkkan, Andrew Knight</t>
  </si>
  <si>
    <t>Eric Greenfeld, Mark C. Manuel, James M. Vernon, Tyler Thompson, Michael Bassick, Terry Benedict, Paul Currie, Suzanne Warren, Lenny Kornberg, David S. Greathouse, Stuart Ford, Brian Oliver, David Permut, Bruce Davey, Rick Nicita, Ted O'Neal, Lauren Selig, William D. Johnson, Christopher Woodrow, Buddy Patrick, Bill Mechanic, Lawrence Bender, Len Blavatnik</t>
  </si>
  <si>
    <t>Rupert Gregson-Williams</t>
  </si>
  <si>
    <t>/wuz8TjCIWR2EVVMuEfBnQ1vuGS3.jpg</t>
  </si>
  <si>
    <t>hacksaw ridge</t>
  </si>
  <si>
    <t>venice film festival (1), premiere (3), london (1), sydney (1), beverly hills, california (1), blank (57), madrid premiere (1), dvd premiere (2), internet (1)</t>
  </si>
  <si>
    <t>Middle School: The Worst Years of My Life</t>
  </si>
  <si>
    <t>tt4981636</t>
  </si>
  <si>
    <t>A quiet teenage artist Rafe Katchadorian has a wild imagination and is sick of middle school and the rules that have been put before him. Rafe and his best friend Leo have come up with a plan: break every rule in the school hand book and as you expect trouble follows.</t>
  </si>
  <si>
    <t>Rules aren't for everyone.</t>
  </si>
  <si>
    <t>Family, Comedy</t>
  </si>
  <si>
    <t>lionsgate, cbs films, participant</t>
  </si>
  <si>
    <t>Portugu‚àö‚Ñ¢s, English</t>
  </si>
  <si>
    <t>Tom Kenny, Thomas Barbusca, Jessi Goei, Michael Rapaport, Jeremy Culhane, Alexa Nisenson, Gemma Forbes, Stephen Kearin, Lauren Graham, James A. Patterson, Andy Daly, Jacob Hopkins, Emma Dison Brantley, Luke Hardeman, Griffin Gluck, Isabella Amara, Rob Riggle, Retta, Jacob Vargas, Isabela Merced, Carlos Lopez, Adam Pally, Patrick Fagan, Efren Ramirez, Eston Andrew McLeroy, Michael Matzdorff, Celine Alva, Montana Jacobowitz, Madeleine Stack, Angela Oh</t>
  </si>
  <si>
    <t>Steve Carr</t>
  </si>
  <si>
    <t>Julio Macat</t>
  </si>
  <si>
    <t>Chris Bowman, Hubbel Palmer, Kara Holden, James Patterson</t>
  </si>
  <si>
    <t>James Patterson, Leopoldo Gout, Michael Flynn, Steve Bowen, Susan Cartsonis, Bill Robinson, Jeff Skoll, Seth Kleinberg, Robert Kessel</t>
  </si>
  <si>
    <t>Jeff Cardoni</t>
  </si>
  <si>
    <t>/3rlcvuGlLETfGCq0aaVD526Emlc.jpg</t>
  </si>
  <si>
    <t>middle school: the worst years of my life</t>
  </si>
  <si>
    <t>blank (15), dvd premiere (1), internet (4), limited (1), tv premiere (1), tv release (1)</t>
  </si>
  <si>
    <t>Mirzya</t>
  </si>
  <si>
    <t>tt4940456</t>
  </si>
  <si>
    <t>hi</t>
  </si>
  <si>
    <t>‚Ä°¬ß√Ü‚Ä°¬ß√∏‚Ä°¬ß‚àû‚Ä°‚Ä¢√ß‚Ä°¬ß√∫‚Ä°¬ß¬∫‚Ä°¬ß√∏‚Ä°¬ß√ò‚Ä°¬ß√¶</t>
  </si>
  <si>
    <t>Two star-crossed lovers must battle the forces which try to keep them apart at different timelines and at different world's.</t>
  </si>
  <si>
    <t>Dare to Love</t>
  </si>
  <si>
    <t>Romance, Drama, Fantasy</t>
  </si>
  <si>
    <t>rakeysh omprakash mehra films, cinestaan film company</t>
  </si>
  <si>
    <t>India</t>
  </si>
  <si>
    <t>‚Ä°¬ßœÄ‚Ä°¬ß√∏‚Ä°¬ß¬Æ‚Ä°‚Ä¢√ß‚Ä°¬ß¬∂‚Ä°‚Ä¢√Ñ</t>
  </si>
  <si>
    <t>Art Malik, Anuj Chowdhry, Om Puri, Harshvardhan Kapoor, Saiyami Kher, K.K. Raina</t>
  </si>
  <si>
    <t>Rakeysh Omprakash Mehra</t>
  </si>
  <si>
    <t>Pawe‚âà√á Dyllus</t>
  </si>
  <si>
    <t>Gulzar</t>
  </si>
  <si>
    <t>P S Bharathi</t>
  </si>
  <si>
    <t>Loy Mendonsa, Ehsaan Noorani, Shankar Mahadevan</t>
  </si>
  <si>
    <t>/pL5VuZFocbc9tET7Ui3QAJqrj3R.jpg</t>
  </si>
  <si>
    <t>mirzya</t>
  </si>
  <si>
    <t>bfi london film festival (1), blank (4), limited (1), chicago international film festival (1), internet (1)</t>
  </si>
  <si>
    <t>Spirit of the Game</t>
  </si>
  <si>
    <t>tt4947738</t>
  </si>
  <si>
    <t>In the lead up to the 1956 Olympic games, a group of missionaries are tasked with helping the fledgling Australian basketball team compete in their first ever Olympics, and in doing so, unite a nation still coming to grips after the war.</t>
  </si>
  <si>
    <t>The faith of a few inspired a nation.</t>
  </si>
  <si>
    <t>kw films, mclaren house, jaggi entertainment</t>
  </si>
  <si>
    <t>Australia</t>
  </si>
  <si>
    <t>Hannah Cliff, Aaron Jakubenko, Anna McGahan, Kevin Sorbo, Emilie Cocquerel, Wade Briggs</t>
  </si>
  <si>
    <t>Darran Scott</t>
  </si>
  <si>
    <t>Brian J. Breheny</t>
  </si>
  <si>
    <t>Spencer McLaren, Steve Jaggi, Kate Whitbread</t>
  </si>
  <si>
    <t>Ned McPhie, Matt Rudduck</t>
  </si>
  <si>
    <t>/4YJ5PmdzUgoGZgoNDy77KXXi8xt.jpg</t>
  </si>
  <si>
    <t>spirit of the game</t>
  </si>
  <si>
    <t>blank (2)</t>
  </si>
  <si>
    <t>Dark Crimes</t>
  </si>
  <si>
    <t>tt1901024</t>
  </si>
  <si>
    <t>Tadek, a Polish detective, becomes suspicious of a controversial author when the incidents described in his unpublished novel resemble the inner workings of an unsolved murder.</t>
  </si>
  <si>
    <t>It takes a dark mind to solve a twisted crime.</t>
  </si>
  <si>
    <t>Drama, Thriller</t>
  </si>
  <si>
    <t>ratpac entertainment, gerson film, intertitle films, opus film, some kind of garden, saban films, los angeles media fund, krakowskie biuro festiwalowe</t>
  </si>
  <si>
    <t>Poland, United States of America</t>
  </si>
  <si>
    <t>Dominika Bednarczyk, Robert Wi∆í√¥ckiewicz, Danuta Kowalska, Anna Polony, ‚âà√Öukasz Garlicki, Katarzyna Afek, Malgorzata Krukowska, Marianna Figurska, Zbigniew Zamachowski, Marcin Molik, Charlotte Gainsbourg, Pawe‚âà√á Okraska, Pawel Janisow, Julia Gdula, Zygmunt Jozefczak, Bartosz Waga, Mateusz Dewera, Marcel Sabat, Piotr G‚âà√áowacki, Katarzyna Warnke, Marton Csokas, Vlad Ivanov, Agata Kulesza, Anna Moskal, Marta Kownacka, Marcin Stec, Jim Carrey, Micha‚âà√á Kitli‚âà√ëski, Kasia Ko‚âà√áeczek, Piotr Kosiba, Kati Outinen</t>
  </si>
  <si>
    <t>Alexandros Avranas</t>
  </si>
  <si>
    <t>Micha‚âà√á Englert</t>
  </si>
  <si>
    <t>David Grann, Jeremy Brock</t>
  </si>
  <si>
    <t>John Cheng, Jeremy Brock, Kasia Nabialczyk, Patrick Murray, Brett Ratner, Michael Aguilar, David Gerson, Jeffrey Soros, James Packer, Simon Horsman</t>
  </si>
  <si>
    <t>Richard Patrick</t>
  </si>
  <si>
    <t>/bEwK1r4pmJ9huEjqrZf73NXJvFy.jpg</t>
  </si>
  <si>
    <t>dark crimes</t>
  </si>
  <si>
    <t>warsaw film festival (1), blank (10), internet (4), dvd premiere (4), tv premiere (1), blu-ray and dvd premiere (1), blu-ray premiere (1), dvd and blu-ray premiere (1)</t>
  </si>
  <si>
    <t>Trolls</t>
  </si>
  <si>
    <t>tt1679335</t>
  </si>
  <si>
    <t>After the monstrous Bergens invade Troll Village, Princess Poppy, the happiest Troll ever born, and overly-cautious, curmudgeonly outcast Branch set off on a journey to rescue her friends. Their mission is full of adventure and mishaps, as this mismatched duo try to tolerate each other long enough to get the job done.</t>
  </si>
  <si>
    <t>Find your happy place.</t>
  </si>
  <si>
    <t>Family, Animation, Fantasy, Adventure, Comedy, Music</t>
  </si>
  <si>
    <t>dreamworks animation</t>
  </si>
  <si>
    <t>Justin Timberlake, Liam Henry, Jeffrey Tambor, Christopher Mintz-Plasse, Zo‚àö¬¥ Crawford, Rhys Darby, Mike Mitchell, Quvenzhan‚àö¬© Wallis, Ron Funches, Emmett Mitchell, Caroline Hjelt, Christine Baranski, Ollie Mitchell, Riley Crawford, Phoebe Dohrn, Grace Helbig, Gwen Stefani, Kandee Johnson, John Cleese, James Corden, Glozell Green, Ricky Dillon, Iris Dohrn, Meg DeAngelis, Curtis Stone, Anna Kendrick, Aino Jawo, Kunal Nayyar, Zooey Deschanel, Russell Brand, Walt Dohrn, Nina Zoe Bakshi</t>
  </si>
  <si>
    <t>Mike Mitchell</t>
  </si>
  <si>
    <t>Yong Duk Jhun</t>
  </si>
  <si>
    <t>Erica Rivinoja, Nelson Yokota, Thomas Dam, Glenn Berger, Jonathan Aibel</t>
  </si>
  <si>
    <t>Gina Shay, Dannie Festa</t>
  </si>
  <si>
    <t>Christophe Beck</t>
  </si>
  <si>
    <t>/9VlK2j0THZWzhQPq0W3Oc0IIdBB.jpg</t>
  </si>
  <si>
    <t>trolls</t>
  </si>
  <si>
    <t>bfi london film festival (1), blank (59), chicago international film festival (1), dvd and blu-ray premiere (1), tv premiere (1), dvd premiere (1), internet (1)</t>
  </si>
  <si>
    <t>Inferno</t>
  </si>
  <si>
    <t>tt3062096</t>
  </si>
  <si>
    <t>After waking up in a hospital with amnesia, professor Robert Langdon and a doctor must race against time to foil a deadly global plot.</t>
  </si>
  <si>
    <t>His greatest challenge. Humanity's last hope.</t>
  </si>
  <si>
    <t>Mystery, Thriller, Action</t>
  </si>
  <si>
    <t>columbia pictures, imagine entertainment</t>
  </si>
  <si>
    <t>English, Fran‚àö√üais, Italiano</t>
  </si>
  <si>
    <t>Ben Foster, Fausto Maria Sciarappa, Yang Haiwen, Attila ‚àö√Örpa, Lili Gesler, Alberto Basaluzzo, Maria Grazia Mandruzzato, Francesca Inaudi, Pasquale Corrente, Felicity Jones, Zsolt P‚àö¬∞ll, Ana Ularu, Vincent Riotta, Paolo Antonio Simioni, Tom Hanks, Jon Donahue, Luca Fiorilli, Peter Schueller, B‚àö¬∞lint Adorj‚àö¬∞ni, Paul Ritter, Ida Darvish, G‚àö¬∞bor Di‚àö‚â•ssy, G‚àö¬ßbor Atlasz, Mario Acampa, Rebecka Johnston, G‚àö¬∞bor Urmai, Irrfan Khan, Mehmet Ergen, Omar Sy, Fortunato Cerlino, Dino Conti, Vincenzo Tanassi, Cristian Stelluti, Xavier Laurent, Mirjam Novak, Philip Arditti, Felipe Torres Urso, Kerem Ozen, Peter Linka, Robin Mugnaini, B‚àö¬∫y‚àö¬∫kkol Mehmet Onur, Sidse Babett Knudsen, G‚àö¬∞bor Nagyp‚àö¬∞l, Sardar Tagirovsky, Alessandro Fabrizi, Gianni Annoni, Kata Sarb‚àö‚â•, Alessandro Grimaldi, Simone Mariani</t>
  </si>
  <si>
    <t>Ron Howard</t>
  </si>
  <si>
    <t>Salvatore Totino</t>
  </si>
  <si>
    <t>Dan Brown, David Koepp</t>
  </si>
  <si>
    <t>Brian Grazer, Ron Howard, Dan Brown, William M. Connor, Ben Waisbren, Anna Culp, David B. Householter</t>
  </si>
  <si>
    <t>Hans Zimmer</t>
  </si>
  <si>
    <t>/cnqvFvjAaV28F1tU7986VVg0WP7.jpg</t>
  </si>
  <si>
    <t>inferno</t>
  </si>
  <si>
    <t>florence (1), premiere (1), blank (61), internet (2), baltimore, maryland (1), blu-ray release (1), dvd premiere (1), re-release (1)</t>
  </si>
  <si>
    <t>Moana</t>
  </si>
  <si>
    <t>tt3521164</t>
  </si>
  <si>
    <t>In Ancient Polynesia, when a terrible curse incurred by Maui reaches an impetuous Chieftain's daughter's island, she answers the Ocean's call to seek out the demigod to set things right.</t>
  </si>
  <si>
    <t>The ocean is calling.</t>
  </si>
  <si>
    <t>Adventure, Comedy, Family, Animation</t>
  </si>
  <si>
    <t>walt disney animation studios</t>
  </si>
  <si>
    <t>Puanani Cravalho, Dwayne Johnson, Rachel House, Louise Bush, Jemaine Clement, Auli¬†¬™i Cravalho, Nicole Scherzinger, Lin-Manuel Miranda, Troy Polamalu, Oscar Kightley, Temuera Morrison, Christopher Jackson, Alan Tudyk</t>
  </si>
  <si>
    <t>Ron Clements, John Musker</t>
  </si>
  <si>
    <t>Aaron Kandell, David G. Derrick Jr., Don Hall, Jared Bush, Ron Clements, Chris Williams, Pamela Ribon, Jordan Kandell, John Musker</t>
  </si>
  <si>
    <t>Osnat Shurer, John Lasseter</t>
  </si>
  <si>
    <t>Mark Mancina</t>
  </si>
  <si>
    <t>/9tzN8sPbyod2dsa0lwuvrwBDWra.jpg</t>
  </si>
  <si>
    <t>moana</t>
  </si>
  <si>
    <t>afi fest (1), paris (1), limited (1), blank (73), mar del plata film festival (1), comic con experience (1), dvd premiere (2), re-release (6), tv premiere (1), disney 100th anniversary (1)</t>
  </si>
  <si>
    <t>The Accountant</t>
  </si>
  <si>
    <t>tt2140479</t>
  </si>
  <si>
    <t>As a math savant uncooks the books for a new client, the Treasury Department closes in on his activities and the body count starts to rise.</t>
  </si>
  <si>
    <t>Calculate your choices.</t>
  </si>
  <si>
    <t>Crime, Thriller, Drama</t>
  </si>
  <si>
    <t>zero gravity management, electric city entertainment, ratpac entertainment, warner bros. pictures</t>
  </si>
  <si>
    <t>Ben Affleck, Jeffrey Tambor, Scott Hunter, Randall Taylor, Carrie Walrond Hood, Johnny Giacalone, Malachi Malik, Scott Poythress, Mary Kraft, Angel Giuffria, Alex Collins, Alex Huynh, Richard Pearson, Joe Hardy Jr., Robert Hatch, Tait Fletcher, Gregory Alan Williams, Eric Goins, Anna Kendrick, Daeg Faerch, Jake Presley, Jason Davis, Inder Kumar, Gary Basaraba, Robert T. McKnight II, Michael Beasley, Curtis Lyons, David de Vries, Jon Bernthal, Izzy Fenech, John Lithgow, Victor McCay, Nick Arapoglou, Alison Wright, Susan Williams, Samantha Janco, Jade Halley Bartlett, Sheila Maddox, Fernando Chien, Dennis Keiffer, Angela Davis, Viviana Chavez, Roman Spink, Joseph Levine, Buster Reeves, Kelly Collins Lintz, Greg Sproles, J.K. Simmons, Jean Smart, Nicholas Martin, Jason MacDonald, Seth Lee, Cynthia Addai-Robinson, David Anthony Buglione, Robert Kistenberg, Andy Umberger, Robert C. Treveiler, Zachary James Rukavina, Ron Yuan, Ron Prather, Christian Mendoza</t>
  </si>
  <si>
    <t>Gavin O'Connor</t>
  </si>
  <si>
    <t>Seamus McGarvey</t>
  </si>
  <si>
    <t>Bill Dubuque</t>
  </si>
  <si>
    <t>Mark Williams, Lynette Howell Taylor, Marty P. Ewing, Jamie Patricof, Gavin O'Connor, Steven Mnuchin</t>
  </si>
  <si>
    <t>Mark Isham</t>
  </si>
  <si>
    <t>/fceheXB5fC4WrLVuWJ6OZv9FXYr.jpg</t>
  </si>
  <si>
    <t>the accountant</t>
  </si>
  <si>
    <t>rome film festival (1), beyond fest (1), hollywood, california (1), premiere (2), blank (70), haifa film festival (1), german speaking region (1), buenos aires (1), italian speaking region (1), french speaking region (1), internet (1)</t>
  </si>
  <si>
    <t>Jack Reacher: Never Go Back</t>
  </si>
  <si>
    <t>tt3393786</t>
  </si>
  <si>
    <t>Years after resigning command of an elite military police unit, the nomadic, righter-of-wrongs Reacher is drawn back into the life he left behind when his friend and successor, Major Susan Turner is framed for espionage. Reacher will stop at nothing to prove her innocence and to expose the real perpetrators behind the killings of his former soldiers.</t>
  </si>
  <si>
    <t>Never give in. Never give up. Never go back.</t>
  </si>
  <si>
    <t>Action, Drama, Thriller, Crime</t>
  </si>
  <si>
    <t>skydance media, huahua media, shanghai film group, tc productions, paramount pictures</t>
  </si>
  <si>
    <t>China, United States of America</t>
  </si>
  <si>
    <t>Dwayne Finnie, Billy Slaughter, Ashley Wilks, Hunter Burke, Bennie Pete, Zachary James Rukavina, John Arvin Gilbert, Jessica Stroup, Nicole Barr‚àö¬©, Josh Breslow, Ernest Wells, Taylor Faye Ruffin, Robert Catrini, Lizeth Hutchings, Theo Kypri, Talbott Lin, Ninja N. Devoe, Alexandra Lucchesi, Martin Covert, Gino Galento, Craig Henningsen, Rae Varela, Austin H‚àö¬©bert, Harry Darvell Cook, Robert Larriviere, Sam Medina, Marisela Zumbado, Abbie Gayle, Robert Segari, Phillip Sherrell Armand, Judd Lormand, Gordon Alexander, Robert J. Gilchrist, Sean Boyd, Ben VanderMey, Jason Douglas, Danika Yarosh, Tyrus Chapman, Michael Papajohn, Darcel White Moreno, Teri Wyble, Alvarez Huntley, Jared Bankens, Ryan Broussard, Sabrina Gennarino, Christopher Berry, Timothy Carr, Caroline Hebert, Madalyn Horcher, Cobie Smulders, Anthony Molinari, Julia Holt, Jesse Malinowski, Larry Lamar Brown, Aldis Hodge, Tom Cruise, Chase Savoie, Lee Child, Jenny Ballard, Holt McCallany, Robert Knepper, M. Serrano, Sharon E. Smith, Patrick Heusinger, Giovanni Silva</t>
  </si>
  <si>
    <t>Edward Zwick</t>
  </si>
  <si>
    <t>Oliver Wood</t>
  </si>
  <si>
    <t>Lee Child, Richard Wenk, Marshall Herskovitz, Edward Zwick</t>
  </si>
  <si>
    <t>David Ellison, Tom Cruise, Paula Wagner, Christopher McQuarrie, Herb Gains, Dana Goldberg, Don Granger</t>
  </si>
  <si>
    <t>Henry Jackman</t>
  </si>
  <si>
    <t>/cOg3UT2NYWHZxp41vpxAnVCOC4M.jpg</t>
  </si>
  <si>
    <t>jack reacher: never go back</t>
  </si>
  <si>
    <t>shanghai (1), premiere (5), new orleans, louisiana (1), french speaking region (1), blank (72), italian speaking region (1), berlin (1), seoul (1), tokyo (1), german speaking region (1), internet (1)</t>
  </si>
  <si>
    <t>American Pastoral</t>
  </si>
  <si>
    <t>tt0376479</t>
  </si>
  <si>
    <t>Set in postwar America, a man watches his seemingly perfect life fall apart as his daughter's new political affiliation threatens to destroy their family.</t>
  </si>
  <si>
    <t>A radically ordinary story.</t>
  </si>
  <si>
    <t>Crime, Drama</t>
  </si>
  <si>
    <t>tik films, lakeshore entertainment, lionsgate</t>
  </si>
  <si>
    <t>Carter Ellis, Ewan McGregor, Troy Bogdan, Justin Clarke, Chuck Diamond, Emily Peachey, Uzo Aduba, Peter Gannon, Joe Fishel, David Whalen, Dakota Fanning, Jenny Vos, Mark Hildreth, Hannah Nordberg, Samantha Mathis, Steven Ravid, Ocean James, Rupert Evans, Molly Parker, Corrie Danieley, Peter Riegert, Amy Lyn Elliott, Tommy Lafitte, David Strathairn, Ron Emanuel, Siovhan Christensen, Davion Traylor, David Case, Electa Rawls, Valorie Curry, Max Ivcic, Kathy Emanuel, Idole Zinobile, Benjamin Donlow, Justin Lonesome, Chukky Okobi, Yannick Hogarth, Julia Silverman, Nick Marzock, Brian Knoebel, Jennifer Connelly</t>
  </si>
  <si>
    <t>Ewan McGregor</t>
  </si>
  <si>
    <t>Martin Ruhe</t>
  </si>
  <si>
    <t>John Romano, Philip Roth</t>
  </si>
  <si>
    <t>Long Qiuyun, Andre Lamal, Eric Reid, Tom Rosenberg, Terry McKay, Gary Lucchesi</t>
  </si>
  <si>
    <t>Alexandre Desplat</t>
  </si>
  <si>
    <t>/pgpMzdML9FUj3GpDU3LFi7AWbHQ.jpg</t>
  </si>
  <si>
    <t>american pastoral</t>
  </si>
  <si>
    <t>toronto international film festival (1), donostia-san sebasti√°n international film festival (1), zurich film festival (1), hamburg film festival (1), american film festival (1), rome film fest (1), premiere (2), london (1), mill valley film festival (1), hamptons international film festival (1), beverly hills, california (1), special screening (3), cinelibri book&amp;movie festival (1), new york city, new york (1), blank (35), qu√©bec (1), middleburg film festival (1), leiden international film festival (1), edinburgh international film festival (1), stockholm international film festival (1), tallinn black nights film festival (1), dvd premiere (1), belgrade film festival (1), kino pavasaris - vilnius film festival (1), titanic international filmpresence festival (1), qualite fantastic cinema collection (1), g√∂teborg film festival (1)</t>
  </si>
  <si>
    <t>Keeping Up with the Joneses</t>
  </si>
  <si>
    <t>tt2387499</t>
  </si>
  <si>
    <t>An ordinary suburban couple finds it‚Äö√Ñ√¥s not easy keeping up with the Joneses ‚Äö√Ñ√¨ their impossibly gorgeous and ultra-sophisticated new neighbors ‚Äö√Ñ√¨ especially when they discover that Mr. and Mrs. ‚Äö√Ñ√∫Jones‚Äö√Ñ√π are covert operatives.</t>
  </si>
  <si>
    <t>They lived a normal life... Until the Joneses moved in.</t>
  </si>
  <si>
    <t>Action, Comedy</t>
  </si>
  <si>
    <t>parkes+macdonald image nation, fox 2000 pictures, tsg entertainment</t>
  </si>
  <si>
    <t>‚óä¬¢√∑¬•‚óä√´√∑‚àû‚óä¬Æ√∑¬•‚óä√¥‚óä‚Ñ¢, English</t>
  </si>
  <si>
    <t>Scott Allen Perry, Adrienne Ballenger, Matt McHugh, Pamela Conover, Derek Carver, Jack McQuaid, William Curtis Coppersmith, Gregory Fears, Karina Bonnefil, Richard Regan Paul, Sharon Gee, Kristina Case, Lauren Revard, Darin Cooper, Angela Ray, Massi Furlan, Ming Zhao, Amy Parrish, Maribeth Monroe, Dayo Abanikanda, Zach Galifianakis, Carrie Walrond Hood, Fred Galle, Ari Shaffir, Inder Kumar, Jona Xiao, Bobby Lee, Harry Galifianakis, Yi Dong Hian, Ying He, Matt Walsh, Rishik Patel, Patton Oswalt, Andre Pushkin, BreeAnna Marie, Cullen Moss, Isla Fisher, Glenn Walkup, Jeremy Degree, Gal Gadot, Henry Boston, Marc Grapey, Kevin Dunn, Jon Hamm, Amy Block, Michael Liu, Jordan Eli Arellano, Andrew Farmer, Jeff Chase</t>
  </si>
  <si>
    <t>Greg Mottola</t>
  </si>
  <si>
    <t>Michael LeSieur</t>
  </si>
  <si>
    <t>Walter F. Parkes, Laurie MacDonald, Marc Resteghini, Timothy M. Bourne</t>
  </si>
  <si>
    <t>Jake Monaco</t>
  </si>
  <si>
    <t>/yvWcTrRCzE4C2hkd2wV4erPuKCn.jpg</t>
  </si>
  <si>
    <t>keeping up with the joneses</t>
  </si>
  <si>
    <t>blank (27), dvd premiere (2), blu ray release (1), internet (4), tv premiere (1)</t>
  </si>
  <si>
    <t>Ouija: Origin of Evil</t>
  </si>
  <si>
    <t>tt4361050</t>
  </si>
  <si>
    <t>In 1967 Los Angeles, a widowed mother and her two daughters add a new stunt to bolster their s‚àö¬©ance scam business and unwittingly invite authentic evil into their home. When the youngest daughter is overtaken by the merciless spirit, this small family confronts unthinkable fears to save her and send her possessor back to the other side.</t>
  </si>
  <si>
    <t>When you talk to the other side, you never know who will be listening.</t>
  </si>
  <si>
    <t>Horror</t>
  </si>
  <si>
    <t>platinum dunes, universal pictures, allspark pictures, blumhouse productions, hasbro</t>
  </si>
  <si>
    <t>Parker Mack, Nicholas Keenan, John Prosky, Nina Mansker, Halle Charlton, Emily Brobst, Michael Weaver, Lulu Wilson, Lin Shaye, Chelsea Gonzalez, Annalise Basso, Lincoln Melcher, Alexis G. Zall, Elizabeth Reaser, Doug Jones, Kate Siegel, Henry Thomas, Eve Gordon, Sam Anderson, Ele Keats</t>
  </si>
  <si>
    <t>Mike Flanagan</t>
  </si>
  <si>
    <t>Michael Fimognari</t>
  </si>
  <si>
    <t>Mike Flanagan, Jeff Howard</t>
  </si>
  <si>
    <t>Stephen Davis, Andrew Form, Brian Goldner, Trevor Macy, Brad Fuller, Couper Samuelson, Victor Ho, Jason Blum, Jeanette Volturno, Michael Bay</t>
  </si>
  <si>
    <t>Taylor Stewart, Andrew Grush</t>
  </si>
  <si>
    <t>/gwynHc2RrOFaplYMMpQRpr3TIA4.jpg</t>
  </si>
  <si>
    <t>ouija: origin of evil</t>
  </si>
  <si>
    <t>cin√©polis (1), premiere (1), blank (41), internet (3), limited (1), dvd premiere (2), dvd and blu-ray premiere (1), tv release (1), tv premiere (1)</t>
  </si>
  <si>
    <t>Moonlight</t>
  </si>
  <si>
    <t>tt4975722</t>
  </si>
  <si>
    <t>The tender, heartbreaking story of a young man‚Äö√Ñ√¥s struggle to find himself, told across three defining chapters in his life as he experiences the ecstasy, pain, and beauty of falling in love, while grappling with his own sexuality.</t>
  </si>
  <si>
    <t>This is the story of a lifetime</t>
  </si>
  <si>
    <t>a24, plan b entertainment, pastel</t>
  </si>
  <si>
    <t>Herveline Moncion, Rudi Goblen, Jaden Piner, Stephon Bron, Fransley Hyppolite, Andr‚àö¬© Holland, Alex R. Hibbert, Shariff Earp, Larry Anderson, Edson Jean, Justin Ebenhack, Jharrel Jerome, Kamal Ani-Bellow, Don Seward, Trevante Rhodes, Herman 'Caheei McGloun, Mahershala Ali, Duan Sanderson, Patrick Decile, Ashton Sanders, Naomie Harris, Eddie Blanchard, Keomi Givens, Jesus Mitchell, Tanisha Cidel, Janelle Mon‚àö¬∞e</t>
  </si>
  <si>
    <t>Barry Jenkins</t>
  </si>
  <si>
    <t>James Laxton</t>
  </si>
  <si>
    <t>Tarell Alvin McCraney, Barry Jenkins</t>
  </si>
  <si>
    <t>Jeremy Kleiner, Tarell Alvin McCraney, Dede Gardner, Sarah Esberg, Brad Pitt, Adele Romanski</t>
  </si>
  <si>
    <t>Nicholas Britell</t>
  </si>
  <si>
    <t>/qLnfEmPrDjJfPyyddLJPkXmshkp.jpg</t>
  </si>
  <si>
    <t>moonlight</t>
  </si>
  <si>
    <t>internet (2), telluride film festival (1), toronto international film festival (1), edmonton international film festival (1), new york film festival (1), bfi london film festival (1), vancouver international film festival (1), hamptons international film festival (1), mill valley film festival (1), rome film festival (1), middleburg film festival (1), limited (2), philadelphia international film festival (1), chicago international film festival (1), american film festival (1), hawaii film festival (1), camerimage film festival (1), blank (48), mar del plata film festival (1), berlin (1), premiere (1), international film festival rotterdam (1), mexico city (1), iffr in groningen (1), g√∂teborg film festival (1), belgrade film festival (1), american independence film festival (1), french speaking region (1), sofia film festival (1), kino pavasaris - vilnius film festival (1), biografilm festival (1), shanghai international film festival (1), blu ray premiere (1), bali international film festival (1), tv release (1), dvd premiere (1), blu-ray release (1)</t>
  </si>
  <si>
    <t>Boo! A Madea Halloween</t>
  </si>
  <si>
    <t>tt5325452</t>
  </si>
  <si>
    <t>Madea winds up in the middle of mayhem when she spends a hilarious, haunted Halloween fending off killers, paranormal poltergeists, ghosts, ghouls, and zombies while keeping a watchful eye on a group of misbehaving teens.</t>
  </si>
  <si>
    <t>Trick or treat, fools.</t>
  </si>
  <si>
    <t>Comedy</t>
  </si>
  <si>
    <t>lionsgate, tyler perry studios</t>
  </si>
  <si>
    <t>Mike Tornabene, Abraham Clinkscales, Andrew Rush, Diamond White, Jimmy Tatro, Bella Thorne, Patrice Lovely, Brock O'Hurn, Tyga, Jason Vail, Tyler Cole, Yousef Erakat, Kian Lawley, J.C. Caylen, Cassi Davis, Tyler Perry, Liza Koshy, Andre Hall, Bradley Martyn, Lexy Panterra</t>
  </si>
  <si>
    <t>Tyler Perry</t>
  </si>
  <si>
    <t>Richard J. Vialet</t>
  </si>
  <si>
    <t>Tyler Perry, Will Areu, Ozzie Areu, Long Qiuyun</t>
  </si>
  <si>
    <t>Elvin Ross</t>
  </si>
  <si>
    <t>/82TLEZv1rOJNgllfYD22NkivGDH.jpg</t>
  </si>
  <si>
    <t>boo! a madea halloween</t>
  </si>
  <si>
    <t>limited (1), blank (3), da bounce urban film festival (1), internet (5), tv premiere (1)</t>
  </si>
  <si>
    <t>yes</t>
  </si>
  <si>
    <t>3 Generations</t>
  </si>
  <si>
    <t>tt4158624</t>
  </si>
  <si>
    <t>A teenager transitions from female to male, and his family must come to terms with that fact.</t>
  </si>
  <si>
    <t>A Family In Transition</t>
  </si>
  <si>
    <t>Comedy, Drama</t>
  </si>
  <si>
    <t>im global, big beach</t>
  </si>
  <si>
    <t>Andrew Polk, Linda Emond, Marcos A. Gonzalez, Lucca De Oliveira, Tessa Albertson, Francesca Keller, Sam Trammell, Maxwell Simkins, Tate Donovan, Marquis Rodriguez, Susan Blackwell, Elle Winter, Antonio Ortiz, Elle Fanning, Meghan Gutierrez, Gameela Wright, Jordan Carlos, Maria Dizzia, Naomi Watts, Mattea Conforti, Eva Kaminsky, Jinn S. Kim, Susan Sarandon</t>
  </si>
  <si>
    <t>Gaby Dellal</t>
  </si>
  <si>
    <t>David Johnson</t>
  </si>
  <si>
    <t>Gaby Dellal, Nikole Beckwith</t>
  </si>
  <si>
    <t>Dorothy Berwin, Peter Saraf, Leah Holzer, Daniele Tate Melia, Marc Turtletaub, Harvey Weinstein, Bob Weinstein, Naomi Watts, Gaby Dellal, Peter Pastorelli</t>
  </si>
  <si>
    <t>Michael Brook</t>
  </si>
  <si>
    <t>/g4kR79ndKP6gZFHXe70sY7TUOZ7.jpg</t>
  </si>
  <si>
    <t>3 generations</t>
  </si>
  <si>
    <t>toronto international film festival (1), oaxaca film fest (1), luxembourg city film festival (1), film by the sea film festival (1), blank (13), limited (2), hamburg film festival (1), parool film fest (1), rome film festival (1), seoul pride film festival (1), dvd and blu-ray premiere (1), dvd premiere (3), bentonville film festival (1), fire!! mostra internacional de cinema gay i l√®sbic de barcelona (1), tv release (1)</t>
  </si>
  <si>
    <t>Bleed for This</t>
  </si>
  <si>
    <t>tt1620935</t>
  </si>
  <si>
    <t>The inspirational story of World Champion Boxer Vinny Pazienza, who after a near fatal car crash, which left him not knowing if he'd ever walk again, made one of sports most incredible comebacks.</t>
  </si>
  <si>
    <t>This is what the greatest comeback in sports history looks like</t>
  </si>
  <si>
    <t>sikelia productions, younger than you, verdi productions, bruce cohen productions</t>
  </si>
  <si>
    <t>English, Fran‚àö√üais</t>
  </si>
  <si>
    <t>Julie Ann Dawson, Jordan Gelber, Ashley Tramonte, Mark Burzenski, Noelle Trudeau, Jeff Kamps, Tanja Melendez Lynch, Chad A. Verdi, Miles Teller, Amanda Clayton, Gene Amoroso, Kent R. Williams, Sully Erna, Gary Tanguay, Colleen Kelly, Susan Garfield, Ted Levine, Tom DeNucci, Gia Skova, Keith Jeffrey, Kimberly Howe, Mathew Morin, Portland Helmich, Gary Galone, Aaron Eckhart, Katey Sagal, Mario Carneiro, Christine Evangelista, Liz Carey, Stephanie McIntyre, Ciar‚àö¬∞n Hinds, David Gere, Tina Casciani, Dante Palminteri, Allie Marshall, Dicky Eklund Jr., Jay Leno, Daniel Sauli, Arthur Hiou</t>
  </si>
  <si>
    <t>Ben Younger</t>
  </si>
  <si>
    <t>Larkin Seiple</t>
  </si>
  <si>
    <t>Pippa Bianco, Ben Younger, Angelo Pizzo</t>
  </si>
  <si>
    <t>Joshua Sason, Emma Tillinger Koskoff, Michelle Verdi, Lisa Wilson, Paul Luba, Pamela Thur, Chad A. Verdi, Ben Younger, Chad Verdi Jr., Myles Nestel, Martin Scorsese, Bruce Cohen, Noah Kraft</t>
  </si>
  <si>
    <t>Julia Holter</t>
  </si>
  <si>
    <t>/cMM9frT6sFEvz7PwHniIDUKcLDo.jpg</t>
  </si>
  <si>
    <t>bleed for this</t>
  </si>
  <si>
    <t>telluride film festival (1), toronto international film festival (1), hamptons international film festival (1), bfi london film festival (1), mill valley film festival (1), austin film festival (1), blank (24), limited (1), torino film festival (1), dvd premiere (2), internet (2), tv release (1)</t>
  </si>
  <si>
    <t>Loving</t>
  </si>
  <si>
    <t>tt4669986</t>
  </si>
  <si>
    <t>The story of Richard and Mildred Loving, an interracial couple, whose challenge of their anti-miscegenation arrest for their marriage in Virginia led to a legal battle that would end at the US Supreme Court.</t>
  </si>
  <si>
    <t>All love is created equal.</t>
  </si>
  <si>
    <t>Drama, Romance</t>
  </si>
  <si>
    <t>big beach, raindog films, augusta films, tri-state pictures, focus features, insiders</t>
  </si>
  <si>
    <t>Benjamin Loeh, Jordan Dickey, D.L. Hopkins, Coby Batty, Marc Anthony Lowe, James Atticus Abebayehu, Quinn McPherson, Rebecca Turner, Sharon Blackwood, Tom Lancaster, Keith Tyree, Raymond H. Johnson, Dean Mumford, Joel Edgerton, Lance Lemon, Victoria Chavatel Jimison, Michael Abbott Jr., Matt Malloy, Will Dalton, Pryor Ferguson, Nick Kroll, David Jensen, A. Smith Harrison, Miles Hopkins, Jordan Williams Jr., Mark Huber, Brenan Young, Jay SanGiovanni, Alano Miller, Bridget Gethins, Darrick Claiborne, James Nevins, Jennifer Joyner, Thomas Brian Wise, Lucas N. Hall, W. Keith Scott, Terry Menefee Gau, Greg Cooper, Coley Campany, Dalyn Cleckley, Marquis Adonis Hazelwood, Keith Flippen, Devin Cleckley, James Matthew Poole, Robert Furner, Lonnie M. Henderson, Marton Csokas, Jon Bass, Chris Greene, Micah Claiborne, Ruth Negga, Karen Vicks, Winter-Lee Holland, Jevin Crochrell, Robert Haulbrook, Mike Shiflett, Michael Shannon, Benjamin Booker, Tyrell Ford, Sheri Lahris, Ken Holliday, Jim D. Johnston, Derick Newson, Scott Wichmann, Georgia Crawford, Andrene Ward-Hammond, Chris Condetti, Kenneth William Clarke, Logan J. Woolfolk, Bill Camp, Christopher Mann, Terri Abney, Jason Alan Cook</t>
  </si>
  <si>
    <t>Jeff Nichols</t>
  </si>
  <si>
    <t>Adam Stone</t>
  </si>
  <si>
    <t>Jeff Nichols, Nancy Buirski</t>
  </si>
  <si>
    <t>Peter Saraf, Nancy Buirski, Ged Doherty, Marc Turtletaub, Jared Ian Goldman, Sarah Green, Jack Turner, Brian Kavanaugh-Jones, Colin Firth</t>
  </si>
  <si>
    <t>David Wingo</t>
  </si>
  <si>
    <t>/teNPeDIRGWxtvMaJsNa7lw5IgiL.jpg</t>
  </si>
  <si>
    <t>loving</t>
  </si>
  <si>
    <t>cannes film festival (1), premiere (1), champs-elys√©es film festival (1), toronto international film festival (1), hamptons international film festival (1), austin film festival (1), mill valley film festival (1), middleburg film festival (1), american film festival (1), blank (15), toronto (1), ljubljana international film festival (1), dubai international film festival (1), international film festival rotterdam (1), iffr in groningen (1), g√∂teborg film festival (1), french speaking region (1), titanic international filmpresence festival (1), hong kong international film festival (1), blu-ray premiere (1), dvd premiere (3), blu-ray &amp; dvd premiere (1), tv premiere (1)</t>
  </si>
  <si>
    <t>Nocturnal Animals</t>
  </si>
  <si>
    <t>tt4550098</t>
  </si>
  <si>
    <t>Susan Morrow receives a book manuscript from her ex-husband ‚Äö√Ñ√¨ a man she left 20 years earlier ‚Äö√Ñ√¨ asking for her opinion of his writing. As she reads, she is drawn into the fictional life of Tony Hastings, a mathematics professor whose family vacation turns violent.</t>
  </si>
  <si>
    <t>When you love someone you can't just throw it away.</t>
  </si>
  <si>
    <t>fade to black, artina films, focus features, perfect world pictures</t>
  </si>
  <si>
    <t>United States of America, China</t>
  </si>
  <si>
    <t>Brian Stivale, Chelsea Taylor, Maria Zyrianova, Laura Linney, Alizee Gaillard, Franco Vega, Jena Malone, Errol Sack, Lori Jean Wilson, Michele Dunn, Kerstin Lechner, Imogen Waterhouse, Evie Pree, Michael Sheen, Janet Song, Aaron Taylor-Johnson, Peggy Fields Richardson, Ellie Bamber, Robert Aramayo, Lee Benton, Jack Wallace, Moose Ali Khan, Christopher Pinkalla, Jonathan Fredrick, Kristin Bauer, Michael Shannon, Neil Jackson, Isla Fisher, Joshua D. Eads, Tonia Marie Ros‚àö¬©e, Graham Beckel, Evan Bittencourt, Nick Hounslow, Amanda Fields, Beth Ditto, Amy Adams, Armie Hammer, Carson Nicely, Brianna Barnes, Jackie Zane, Bobbi Salv‚àö‚àÇr Menuez, Karl Glusman, Andrea Riseborough, Piper Major, Jake Gyllenhaal, Zawe Ashton, Sydney Schafer</t>
  </si>
  <si>
    <t>Tom Ford</t>
  </si>
  <si>
    <t>Austin Wright, Tom Ford</t>
  </si>
  <si>
    <t>Robert Salerno, Tom Ford</t>
  </si>
  <si>
    <t>Abel Korzeniowski</t>
  </si>
  <si>
    <t>/mdLDgQBD0va09npSQX5Zgo2evXM.jpg</t>
  </si>
  <si>
    <t>nocturnal animals</t>
  </si>
  <si>
    <t>venice film festival (1), toronto international film festival (1), s√£o paulo international film festival (1), bfi london film festival (1), festival de cine de montevideo (1), american film festival (1), blank (46), westwood, california (1), premiere (2), kinofestivals spektrs (1), lisbon &amp; estoril film festival (1), stockholm international film festival (1), new york city, new york (2), toronto (1), internet (3), los angeles, california (1), limited (1), kinomania (1), dubai international film festival (1), blu-ray release (2), blu-ray premiere (1), belgrade film festival (1), dvd and blu-ray premiere (1), hong kong international film festival (1), deauville american film festival (1), locarno film festival (1)</t>
  </si>
  <si>
    <t>A Street Cat Named Bob</t>
  </si>
  <si>
    <t>tt3606888</t>
  </si>
  <si>
    <t>James Bowen, a homeless busker and recovering drug addict, has his life transformed when he meets a stray ginger cat.</t>
  </si>
  <si>
    <t>Sometimes it takes nine lives to save one</t>
  </si>
  <si>
    <t>Family, Drama</t>
  </si>
  <si>
    <t>iris productions, shooting script films, prescience, stage 6 films</t>
  </si>
  <si>
    <t>United Kingdom, United States of America, Luxembourg</t>
  </si>
  <si>
    <t>Llewella Gideon, Joanne Froggatt, Akbar Kurtha, John Henshaw, Beth Goddard, Sasha Dickens, Cleopatra Dickens, Lorraine Ashbourne, Rob Jarvis, Nadine Marshall, Tony Jayawardena, Ruth Sheen, Nina Wadia, Darren Evans, Jill Winternitz, Margot Edwards, Franc Ashman, James Bowen, Anthony Stewart Head, Ruta Gedmintas, Adam Riches, Ben Deery, Hattie Ladbury, Rosie Ede, Kevin Hudson, Luke Treadaway, Ivana Basic, Gemma Nichols, Caroline Goodall, Pearl Maburutse, Jacob James Beswick</t>
  </si>
  <si>
    <t>Roger Spottiswoode</t>
  </si>
  <si>
    <t>Peter Wunstorf</t>
  </si>
  <si>
    <t>Tim John, Garry Jenkins, James Bowen, Maria Nation</t>
  </si>
  <si>
    <t>James Scott, Paul Brett, Caroline Stern, Howard Ball, Damian Jones, John Rakoff, Adam Rolston, Tim Smith, Nicolas Steil, Brian O'Shea, Alice de Sousa, Anders Erd‚àö¬©n, Spencer Pollard, Laura Davison</t>
  </si>
  <si>
    <t>David Hirschfelder</t>
  </si>
  <si>
    <t>/nBYG0D2FcbL1m926sIj7RN4m0sb.jpg</t>
  </si>
  <si>
    <t>a street cat named bob</t>
  </si>
  <si>
    <t>blank (46), london (1), premiere (1), g√∂teborg film festival (1), pantalla pinamar festival (1), dvd and blu-ray premiere (1), dvd premiere (4), rental (1), blu-ray premiere (1)</t>
  </si>
  <si>
    <t>Billy Lynn's Long Halftime Walk</t>
  </si>
  <si>
    <t>tt2513074</t>
  </si>
  <si>
    <t>19-year-old Billy Lynn is brought home for a victory tour after a harrowing Iraq battle. Through flashbacks the film shows what really happened to his squad ‚Äö√Ñ√¨ contrasting the realities of war with America's perceptions.</t>
  </si>
  <si>
    <t>To walk the path of a hero, you have to see how it all began.</t>
  </si>
  <si>
    <t>Drama, War</t>
  </si>
  <si>
    <t>bona film group, the ink factory, marc platt productions, studio 8, tristar pictures, film4 productions, lstar capital, haishang films</t>
  </si>
  <si>
    <t>China, United Kingdom, United States of America</t>
  </si>
  <si>
    <t>Matthew Barnes, Marion Guyot, Brian Kim, Claire Bronson, Jon Hartley, Antonio Badrani, Leila Kadiri, Shannon Long, Badia Obaid, Tommy O'Brien, Garrett Hedlund, Alex Coker, David Ramsey, Tatom Pender, Jack Teague, Ben Platt, Barney Harris, Jay Peterson, Jesse Yarborough, George Pringle, Luke Loveless, Chris Tucker, Stevie Baggs Jr., Zamadia Lyles, Tommy McNulty, Cooper Andrews, Jameson Jamey Copeland, Fred Galle, Makenzie Leigh, Beau Knapp, Walter Hendrix III, De'Adrian Harmon, Amanda Burke Buczek, Kristin McKenzie Rice, Ricky Muse, Azim Rizk, Gregory Fears, Chan Ta Rivers, Gabriel 'G-Rod' Rodriguez, Richard Sherman, Sydney Durso, Austin McLamb, Courtland Fuller, Kendall Kiker, Trey McGriff, Shuntel Renay, Erin Moore, Joe Alwyn, Geoffrey Howard, Genevieve Adams, Dennis Hill, Kourtney Shales, Adrian Lockett, Elizabeth Chestang, Stro, Kristin Erickson, Andy Glen, Steve Martin, Mason Lee, Patrick Darcey, Holly A. Morris, Billy James, Laura Lundy Wheale, Xavier Cortes, Kellie Pickler, Afsheen Olyaie, Brian Wyatt, Jordan Verroi, Asia Diamond Mason, Steve Warren, Giovanni Rodriguez, Brad Mills, Dale Anthony Jennings, Christopher Matthew Cook, Chesta Drake, Dana Barrett, Alan Gilmer, Ronny Mathew, Jock McKissic, Bricine Brown, Avery Laraki, Brandin Jenkins, Vin Diesel, DeRon Ford, Allen Daniel, Deirdre Lovejoy, Tim Blake Nelson, Michael Montgomery, Todd Chapman, Phil Armijo, Mansour Badri, Alexandra Bartee, Joel Rogers, Paul Barlow Jr., Markina Brown, Jonathan Yaskoff, Kenneth Tipton, Arturo Castro, Bruce McKinnon, Zaydun Khalaf, Racquel Bianca John, Bo Mitchell, Jas Hardy, Erick Wofford, Terayle Hill, Roy Larsen, Robert Hendren, Angela Everhart, Erin Dangler, J.J. Watt, Shaun Lynch, Moneca S. Reid, Fajer Al-Kaisi, Gary Miller, Katrina Pettiford, Randy Gonzalez, Chuck Clark, Marc Inniss, Adrienne Ballenger, Eric Maldonado, Eric Kan, Danni Heverin, Matthew Brady, Deena Dill, Kristen Stewart, Alex Kramer, Jay Busbee, Katie Deal, Ric Reitz, Ismael Cruz Cordova, Matt Mercurio, Gregory Alan Williams, Brooke Borba</t>
  </si>
  <si>
    <t>Ang Lee</t>
  </si>
  <si>
    <t>John Toll</t>
  </si>
  <si>
    <t>Jean-Christophe Castelli, Ben Fountain</t>
  </si>
  <si>
    <t>Marc Platt, Rhodri Thomas, Brian Bell, Guo Guangchang, Ben Waisbren, Jeff Robinov, Stephen Cornwell, Ang Lee</t>
  </si>
  <si>
    <t>/vblJ5cTqZKg3DSyN1z8JxTUyf2Y.jpg</t>
  </si>
  <si>
    <t>billy lynn's long halftime walk</t>
  </si>
  <si>
    <t>new york film festival (1), blank (27), limited (1), belgrade film festival (1), dvd premiere (4), dvd and blu-ray premiere (1), moscow film festival (1), internet (1)</t>
  </si>
  <si>
    <t>Arrival</t>
  </si>
  <si>
    <t>tt2543164</t>
  </si>
  <si>
    <t>Taking place after alien crafts land around the world, an expert linguist is recruited by the military to determine whether they come in peace or are a threat.</t>
  </si>
  <si>
    <t>Why are they here?</t>
  </si>
  <si>
    <t>Drama, Science Fiction, Mystery</t>
  </si>
  <si>
    <t>filmnation entertainment, lava bear films, 21 laps entertainment</t>
  </si>
  <si>
    <t>√ä√¥√Ü√à√Ñ√∂√ã√ò√π, English, P‚Äî√â‚Äî√Ö‚Äî√Ö‚Äì‚à´‚Äì‚àè‚ÄìœÄ</t>
  </si>
  <si>
    <t>Carmela Nozza Guizzo, Abdelghafour Elaaziz, Julian Casey, Sonia Vigneault, Larry Day, Dave Campbell, Alexander Da Mota, Pat Kiely, Dan Duran, Reda Guerinik, Leisa Reid, Hal Roberts, Robert D. Morais, Nathaly Thibault, Genevieve Sirois, Frank Fiola, Matthew Willson, Abdul Ayoola, Mark Camacho, Lorne Brass, Brittany Teo, Jeremy Renner, Russell Yuen, Joe Cobden, Sasha Samar, Albert Kwan, Ruth Chiang, Camille Ross, Anana Rydvald, Paul-Antoine Taillefer, Marc-Andr‚àö¬© Goulet, Ola Sturik, Abigail Pniowsky, Orla Johannes, Brian Dunstan, Lucy Van Oldenbarneveld, Mark O'Brien, Bineyam Girma, John Sanford Moore, Sangita Patel, Kathleen Stavert, Andrew Shaver, Sergiy Marchenko, Laurean Adrian Parau, Forest Whitaker, Alex M. Yeuh, Daniel Esteban, Julia Scarlett Dan, Tony Robinow, Victor Andres Trelles Turgeon, Sabrina Reeves, Lucas Chartier-Dessert, Brent Skagford, Lori Graham, Tzi Ma, Amy Adams, Christian Jadah, Frank Schorpion, Tammie Sutherland, Max Walker, Jadyn Malone, Kattia Thony, Michael Nangreaves, Leslie Baker, Gurdeep Ahluwalia, Adrien Benn, Michael Stuhlbarg, Akul Dang, Martin Jr Pelletier, Shawn Campbell, Philippe Hartmann, Mustafa Haidari</t>
  </si>
  <si>
    <t>Denis Villeneuve</t>
  </si>
  <si>
    <t>Bradford Young</t>
  </si>
  <si>
    <t>Jessica Coon, Ted Chiang, Eric Heisserer</t>
  </si>
  <si>
    <t>Dan Levine, Stan Wlodkowski, Tory Metzger, Aaron Ryder, Karen Lunder, Glen Basner, Milan Popelka, Dan Cohen, Eric Heisserer, Shawn Levy, David Linde</t>
  </si>
  <si>
    <t>J‚àö‚â•hann J‚àö‚â•hannsson</t>
  </si>
  <si>
    <t>/pEzNVQfdzYDzVK0XqxERIw2x2se.jpg</t>
  </si>
  <si>
    <t>arrival</t>
  </si>
  <si>
    <t>venice film festival (1), telluride film festival (1), toronto international film festival (1), fantastic fest (1), san sebasti√°n film festival (1), rio de janeiro international film festival (1), busan international film festival (1), bfi london film festival (1), vienna international film festival (1), chicago international film festival (1), leiden international film festival (1), philadelphia international film festival (1), tokyo international film festival (2), blank (65), night visions film festival (1), stockholm international film festival (1), french speaking region (1), german speaking region (1), italian speaking region (1), oscar week (1), barcelona - phenomena (1), subtitled version (1), event (1), internet (1), re-release (1), 100th anniversary of columbia (1)</t>
  </si>
  <si>
    <t>Lady Bloodfight</t>
  </si>
  <si>
    <t>tt4327752</t>
  </si>
  <si>
    <t>Jane is a beautiful but troubled American girl backpacking through Japan, when her raw street fighting skills draw the attention of Oshima, Japanese karate champion, who recruits and trains her to fight in the vicious, all-female, underground martial arts tournament known as "The Kumite". After months of rigorous preparation, Jane is ready to face off against the deadliest female fighters in the world, including Ling, the Chinese apprentice of Oshima's nemesis. But other nefarious forces lie in the shadows, and Jane and Ling will have to unite on a journey that will take them from the gritty underworld of Hong Kong to the glitz of Macao, before deciding who really is the best female fighter on the planet.</t>
  </si>
  <si>
    <t>Fight for your life</t>
  </si>
  <si>
    <t>Action, Thriller</t>
  </si>
  <si>
    <t>b&amp;e productions, voltage pictures</t>
  </si>
  <si>
    <t>√ÇœÄ√∏√Ç‚àë√ª√ã√ò√π / √Ç¬™¬£√Ç‚àë√ª√ã¬©¬±, English</t>
  </si>
  <si>
    <t>Belinda Yan, Jai Day, Cynthia Ho, Andrew Dasz, Cecilia Reynal, Sunny Coelst, Jenny Wu, Mayling Ng, Chalinene Bassinah, Kathy Wu, So Wai-Nam, Harry Du Young, Kirt Kishita, Ines Laimins, Happy Ma, Amy Johnston, Sharon Zhang, Rosemary Vandebrouck, Wing-Fai Cheung, Thomas Hin, Isa Sofa Chan Kwan Nga, Unique Ng Lok Wai, Lisa Henderson, Nathalie Ng, Steven Dasz, Lisa Cheng, Jet Tranter, Muriel Hofmann, Lauren Rhoden, Harry Oram, Chan Suan, Joe Fiorello, Maria Shantanova</t>
  </si>
  <si>
    <t>Chris Nahon</t>
  </si>
  <si>
    <t>Michel Abramowicz</t>
  </si>
  <si>
    <t>Bey Logan, Judd Bloch</t>
  </si>
  <si>
    <t>Zev Foreman, Nicolas Chartier, Bey Logan, Babacar Diene, Justin Bursch</t>
  </si>
  <si>
    <t>Mark Kilian</t>
  </si>
  <si>
    <t>/hDZzETrYegrB6pYpHKKzdwux6Km.jpg</t>
  </si>
  <si>
    <t>lady bloodfight</t>
  </si>
  <si>
    <t>blank (4), dvd premiere (3), blu-ray premiere (1), tv release (1), internet (1)</t>
  </si>
  <si>
    <t>Shut In</t>
  </si>
  <si>
    <t>tt2582500</t>
  </si>
  <si>
    <t>A widowed child psychologist lives in an isolated existence in rural New England. When caught in a deadly winter storm, she must find a way to rescue a young boy before he disappears forever.</t>
  </si>
  <si>
    <t>Some fears can't be shut out.</t>
  </si>
  <si>
    <t>europacorp, lava bear films, transfilm international, screen siren pictures</t>
  </si>
  <si>
    <t>Canada, France, United States of America</t>
  </si>
  <si>
    <t>Naomi Watts, Cl‚àö¬©mentine Poidatz, Ellen David, Peter Outerbridge, Alexandre Bacon, Oliver Platt, Charlie Heaton, Crystal Balint, David Cubitt, Tim Post, Jacob Tremblay</t>
  </si>
  <si>
    <t>Farren Blackburn</t>
  </si>
  <si>
    <t>Yves B‚àö¬©langer</t>
  </si>
  <si>
    <t>Christina Hodson</t>
  </si>
  <si>
    <t>Tory Metzger, Claude L‚àö¬©ger, Jonathan Vanger, Lisa Ellzey, Ariel Zeitoun, Christine Haebler, David Linde, Sylvain Proulx</t>
  </si>
  <si>
    <t>Nathaniel M‚àö¬©chaly</t>
  </si>
  <si>
    <t>/qXIGq6ddQhIYe4Z7A86nZ1qjUME.jpg</t>
  </si>
  <si>
    <t>shut in</t>
  </si>
  <si>
    <t>morbido film fest (1), blank (34), limited (1), tv premiere (2), internet (1)</t>
  </si>
  <si>
    <t>The Monster</t>
  </si>
  <si>
    <t>tt3976144</t>
  </si>
  <si>
    <t>A mother and her 10-year old daughter are trapped in a forest. There is something in this forest. Something unlike anything they have heard before. Something that lurks in the darkness and it‚Äö√Ñ√¥s coming after them.</t>
  </si>
  <si>
    <t>Stay in the light</t>
  </si>
  <si>
    <t>Horror, Drama</t>
  </si>
  <si>
    <t>atlas independent, unbroken pictures</t>
  </si>
  <si>
    <t>Scott Speedman, Marc Hickox, Chris Webb, Zoe Kazan, Ella Ballentine, Christine Ebadi, Aaron Douglas</t>
  </si>
  <si>
    <t>Bryan Bertino</t>
  </si>
  <si>
    <t>Julie Kirkwood</t>
  </si>
  <si>
    <t>Sonny Mallhi, William Green, Aaron L. Ginsburg, Bryan Bertino, Adrienne Biddle, Richard Suckle</t>
  </si>
  <si>
    <t>tomandandy, Tom Hajdu, Andy Milburn</t>
  </si>
  <si>
    <t>/hfZlhea7wCNQK78VfZC3gDJ4si.jpg</t>
  </si>
  <si>
    <t>the monster</t>
  </si>
  <si>
    <t>beyond fest (1), internet (2), tacoma film festival (1), sitges film festival (1), blank (5), limited (1), dvd premiere (4), dvd and blu-ray premiere (1)</t>
  </si>
  <si>
    <t>Raw</t>
  </si>
  <si>
    <t>tt4954522</t>
  </si>
  <si>
    <t>Grave</t>
  </si>
  <si>
    <t>In Justine's family everyone is a vet and a vegetarian. At 16, she's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</si>
  <si>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What are you hungry for?</t>
  </si>
  <si>
    <t>wild bunch, rouge international, betv, frakas productions, rtbf, petit film, voo, ezekiel film production</t>
  </si>
  <si>
    <t>Belgium, France, United States of America</t>
  </si>
  <si>
    <t>Laurent Lucas, Alice D'Hauwe, Sibylle du Plessy, Joana Preiss, Bouli Lanners, Marion Vernoux, Denis Mpunga, Alexis Julemont, Charlotte Sandersen, Virgil Leclaire, Amandine Hinnekens, Sophie Breyer, Anna Solomin, Morgan Politi, Daniel Utegenova, Ma‚àö√òt‚àö¬© Katinka Lonne, Ella Rumpf, Rabah Nait Oufella, Pierre Nisse, B‚àö¬©rang‚àö¬Ære McNeese, Jean-Louis Sbille, Lich Jass, Benjamin Boutboul, Marouan Iddoub, Helena Coppejans, Christophe Menier, Julianne Binard, Thomas Mustin, Garance Marillier</t>
  </si>
  <si>
    <t>Julia Ducournau</t>
  </si>
  <si>
    <t>Ruben Impens</t>
  </si>
  <si>
    <t>Marie Amachoukeli-Barsacq, Jacques Akchoti, Julia Ducournau</t>
  </si>
  <si>
    <t>Jean des For‚àö‚Ñ¢ts, Julie Gayet, Nadia Turincev</t>
  </si>
  <si>
    <t>Jim Williams</t>
  </si>
  <si>
    <t>/kc8jT1MAiKM0iwdjAwC5lQrTNry.jpg</t>
  </si>
  <si>
    <t>raw</t>
  </si>
  <si>
    <t>cannes film festival (1), toronto international film festival (1), l'√©trange festival (1), strasbourg european fantastic film festival (1), fantastic fest (1), athens international film and video festival (1), absurde seance (1), bfi london film festival (1), sitges film festival (1), rio de janeiro international film festival (1), haifa film festival (1), film fest gent (1), chicago international film festival (1), horrorthon festival dublin (1), cph: pix (1), cine fant√°stico de donostia (1), abertoir horror festival (1), monster fest (1), paris international fantastic film festival (1), les arcs international film festival (1), sundance film festival (1), angers european first film festival (1), international film festival rotterdam (1), g√∂teborg film festival (1), gerardmer fantasy film festival (1), iffr in groningen (1), offscreen film festival (1), limited (1), blank (14), kino pavasaris - vilnius film festival (1), titanic international filmpresence festival (1), taipei golden horse film festival (1), imagine film festival (1), hong kong international film festival (1), night visions international film festival (1), oslo pix (1), cyprus film days international festival (1), indielisboa (1), belgisch film festival (1), festival du film fran√ßais au japon (1), neuchatel international fantastic film festival (1), bucheon international fantastic film festival (1), odessa international film festival (1), new horizons film festival (1), dvd premiere (5), sarajevo film festival (1), fantasy filmfest (1), dvd and blu-ray premiere (1), helsinki international film festival (1), hardline film festival (1), vienna international film festival (1), french film festival (1), tv premiere (1), blu-ray premiere (1), blu-ray release (1), internet (3), la rochelle film festival (1), cine universitario (1), porto (1), batalha centro de cinema (1)</t>
  </si>
  <si>
    <t>Fantastic Beasts and Where to Find Them</t>
  </si>
  <si>
    <t>tt3183660</t>
  </si>
  <si>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</si>
  <si>
    <t>From J.K. Rowling's wizarding world.</t>
  </si>
  <si>
    <t>Fantasy, Adventure</t>
  </si>
  <si>
    <t>heyday films, warner bros. pictures</t>
  </si>
  <si>
    <t>Peter Breitmayer, Anick Wiget, Morgan Walters, Jason Redshaw, Sam Redford, Nicholas McGaughey, Elizabeth Moynihan, Faith Wood-Blagrove, Craig Davies, Richard Clothier, Jane Perry, Lee Bolton, Richard Hardisty, Reid Anderson, Samantha Morton, Ronan Raftery, Miquel Brown, Alan Mandel, Joshua Diffley, Brian F. Mulvey, Christian Dixon, Connor Sullivan, Dennis O'Donnell, Dino Fazzani, Henry Douthwaite, Dan Fogler, Annarie Boor, Walles Hamonde, Abigayle Honeywill, Fanny Carbonnel, Gino Picciano, Matthew Sim, Cristian Solimeno, Aretha Ayeh, Cinta Laura Kiehl, Tristan Tait, Todd Boyce, Christy Meyer, Erick Hayden, Jenn Murray, Joseph Macnab, Jon Voight, Wunmi Mosaku, Alphonso Austin, Guy Paul, Cory Peterson, Pete Meads, Rudi Dharmalingam, Ron Perlman, Dave Simon, Max Cazier, Paul Dewdney, Miles Roughley, Karl Farrer, Arinz‚àö¬© Kene, Gemma Chan, Chloe de Burgh, Akin Gazi, Finley Howard, Matthew Wilson, Josh Cowdery, Jake Samuels, Dan Hedaya, Eddie Redmayne, Andreea P∆í√âduraru, Zo‚àö¬¥ Kravitz, Katherine Waterston, Emmi, Johnny Depp, Simon Kerrison, Christine Marzano, Ellie Haddington, Tom Hodgkins, Neil Broome, Abi Adeyemi, Richard Douglas, Anne Wittman, Lucie Pohl, Leo Heller, Dennis Good, Carmen Ejogo, Sean Cronin, Ezra Miller, Kevin Guthrie, Tineke Ann Robson, Tim Bentinck, David Charles-Cully, Paul Birchard, Jorge Leon, David J Biscoe, Colin Farrell, Dominique Tipper, Attila G. Kerekes, Tom Clarke Hill, Bart Edwards, Rich Hardisty, Martin Oelbermann, Dan Trotter, Alison Sudol, Adam Lazarus</t>
  </si>
  <si>
    <t>David Yates</t>
  </si>
  <si>
    <t>Philippe Rousselot</t>
  </si>
  <si>
    <t>J.K. Rowling</t>
  </si>
  <si>
    <t>J.K. Rowling, Tim Lewis, Neil Blair, David Heyman, Lionel Wigram, Steve Kloves, Rick Senat</t>
  </si>
  <si>
    <t>James Newton Howard</t>
  </si>
  <si>
    <t>/h6NYfVUyM6CDURtZSnBpz647Ldd.jpg</t>
  </si>
  <si>
    <t>fantastic beasts and where to find them</t>
  </si>
  <si>
    <t>toronto (1), premiere (3), new york city, new york (1), blank (72), budapest (1)</t>
  </si>
  <si>
    <t>Paterson</t>
  </si>
  <si>
    <t>tt5247022</t>
  </si>
  <si>
    <t>A week in the life of Paterson, a poet bus driver, and his wife Laura, a very creative artist, who live in Paterson, New Jersey, hometown of many famous poets and artists.</t>
  </si>
  <si>
    <t>Beauty is often found in the smallest details.</t>
  </si>
  <si>
    <t>k5 international, le pacte, inkjet productions, animal kingdom</t>
  </si>
  <si>
    <t>United States of America, Germany, France</t>
  </si>
  <si>
    <t>Italiano, English</t>
  </si>
  <si>
    <t>Barry Shabaka Henley, Helen-Jean Arthur, Sophia Muller, James Van Treuren, Luis Da Silva, Jr., Johnnie Mae, Volieda Webb, Adam Driver, Trevor Parham, Masatoshi Nagase, Jaden Michael, Golshifteh Farahani, Jared Gilman, Kara Hayward, Rizwan Manji, Brian McCarthy, Kacey Cockett, Dominic Liriano, Troy T. Parham, Chasten Harmon, Joan Kendall, Method Man, William Jackson Harper, Sterling Jerins, Martin Van Treuren, Jorge Vega, Frank Harts, Nellie, Mirla Pereira, Owen Asztalos</t>
  </si>
  <si>
    <t>Jim Jarmusch</t>
  </si>
  <si>
    <t>Frederick Elmes</t>
  </si>
  <si>
    <t>Sara Driver, Jim Jarmusch</t>
  </si>
  <si>
    <t>Joshua Astrachan, Carter Logan, Daniel Baur, Jean Labadie, Ron Bozman, Oliver Simon</t>
  </si>
  <si>
    <t>Carter Logan, Jim Jarmusch</t>
  </si>
  <si>
    <t>/hhpXV2SntaApx411hObmopQejdV.jpg</t>
  </si>
  <si>
    <t>paterson</t>
  </si>
  <si>
    <t>cannes film festival (1), premiere (1), sydney film festival (1), karlovy vary international film festival (1), jerusalem film festival (1), melbourne international film festival (1), new zealand international film festival (1), toronto international film festival (1), zurich film festival (1), new york film festival (1), mill valley film festival (1), busan international film festival (1), hamptons international film festival (1), bfi london film festival (1), chicago international film festival (1), vienna international film festival (1), middleburg film festival (1), american film festival (1), philadelphia international film festival (1), thessaloniki international film festival (1), hawaii film festival (1), cph: pix (1), lisbon &amp; estoril film festival (1), tallinn black nights film festival (1), cinedays film festival (1), afi fest (1), stockholm international film festival (1), blank (37), camerimage (1), mar del plata film festival (1), french speaking region (1), limited (5), german speaking region (1), international film festival rotterdam (1), iffr in groningen (1), chasing reels (1), belgrade film festival (1), blu-ray release (1), beijing international film festival (1), hong kong international film festival (1), shanghai international film festival (1), dvd premiere (1), rtp 2 (1), tv premiere (1), internet (1)</t>
  </si>
  <si>
    <t>The Edge of Seventeen</t>
  </si>
  <si>
    <t>tt1878870</t>
  </si>
  <si>
    <t>Two high school girls are best friends until one dates the other's older brother, who is totally his sister's nemesis.</t>
  </si>
  <si>
    <t>You're only young once‚Äö√Ñ¬∂ is it over yet?</t>
  </si>
  <si>
    <t>tang media productions, gracie films, stxfilms, huayi brothers pictures</t>
  </si>
  <si>
    <t>Lauren K. Robek, Christian Michael Cooper, Nesta Cooper, Ava Grace Cooper, Laine MacNeil, Lyle Reginald, Hayden Szeto, Jena Skodje, Daniel Bacon, Chris Shields, Kyra Sedgwick, Lina Renna, Eric Keenleyside, Alexander Calvert, Laura Ward, Woody Harrelson, Blake Jenner, Meredith Monroe, Kavandeep Hayre, Christian Lagasse, Katie Stuart, Hailee Steinfeld, Haley Lu Richardson</t>
  </si>
  <si>
    <t>Kelly Fremon Craig</t>
  </si>
  <si>
    <t>Doug Emmett</t>
  </si>
  <si>
    <t>Adam Fogelson, Brendan Ferguson, Wang Zhongjun, James L. Brooks, Jerry Ye, Robert Simonds, Wang Zhonglei, Cathy Schulman, Donald Tang, Julie Ansell, Oren Aviv, Richard Sakai, Kelly Fremon Craig, Pete Corral</t>
  </si>
  <si>
    <t>Atli ‚àö√±rvarsson</t>
  </si>
  <si>
    <t>/1LyFay8CGf8mhPRDrMe0ljWw9GK.jpg</t>
  </si>
  <si>
    <t>the edge of seventeen</t>
  </si>
  <si>
    <t>toronto international film festival (1), austin film festival (1), middleburg film festival (1), denver international film festival (1), blank (19), dvd premiere (5), dvd and blu-ray premiere (2), buenos aires international festival of independent cinema (1), tv premiere (1), internet (7), blu-ray release (1)</t>
  </si>
  <si>
    <t>Force 2</t>
  </si>
  <si>
    <t>tt5156746</t>
  </si>
  <si>
    <t>‚Ä°¬ß¬¥‚Ä°‚Ä¢√£‚Ä°¬ß‚àû‚Ä°‚Ä¢√ß‚Ä°¬ß‚àè ‚Ä°‚Ä¢¬Æ</t>
  </si>
  <si>
    <t>ACP Yashvardhan teams up RAW Agent KK to bring down the master mind terrorist, Shiv.</t>
  </si>
  <si>
    <t>A Dead Soldier is a Martyr.. A Dead Spy is a Traitor</t>
  </si>
  <si>
    <t>Action, Adventure, Crime</t>
  </si>
  <si>
    <t>ja entertainment, sunshine pictures, viacom18 studios</t>
  </si>
  <si>
    <t>Boman Irani, Adil Hussain, Raj Babbar, Sonakshi Sinha, John Abraham, Freddy Daruwala, Genelia D'Souza, Narendra Jha, Tahir Raj Bhasin</t>
  </si>
  <si>
    <t>Abhinay Deo</t>
  </si>
  <si>
    <t>Imre Juh‚àö¬∞sz, Mohana Krishna</t>
  </si>
  <si>
    <t>Parveez Shaikh, Rashmi Virag, Kumaar, Jasmeet K Reen</t>
  </si>
  <si>
    <t>Vipul Amrutlal Shah, Sharmaa Adi, John Abraham</t>
  </si>
  <si>
    <t>Gourov Roshin, Amaal Mallik, Komail Shayan</t>
  </si>
  <si>
    <t>/kiPHlQm1EV6yruDQWaocj0C8waY.jpg</t>
  </si>
  <si>
    <t>force 2</t>
  </si>
  <si>
    <t>blank (3), limited (1), internet (3)</t>
  </si>
  <si>
    <t>Sing</t>
  </si>
  <si>
    <t>tt3470600</t>
  </si>
  <si>
    <t>A koala named Buster recruits his best friend to help him drum up business for his theater by hosting a singing competition.</t>
  </si>
  <si>
    <t>Auditions begin.</t>
  </si>
  <si>
    <t>Family, Comedy, Music, Animation</t>
  </si>
  <si>
    <t>illumination</t>
  </si>
  <si>
    <t>Britt Burton, Bob Bergen, Adam Buxton, Bill Farmer, Laurent Gerra, Townsend Coleman, Jay Pharoah, Daniel Mora, Jennifer Saunders, Jenifer, Doug Burch, Seth MacFarlane, Jess Harnell, John C. Reilly, Jennifer Hudson, Sara Mann, Asher Blinkoff, Asa Jennings, ‚àö√Öurea, Marisa De Silva, Brad Morris, Abby Craden, Reese Witherspoon, Oscar Jennings, Mickael Carreira, Laraine Newman, Jen Faith Brown, Jessica Rotter, David Arnott, Leo Jennings, Joe Matthews, Jim Cummings, Jessica Rau, Willow Geer, Carlos Alazraqui, Leslie Jones, Nick Offerman, Jason Pace, Caspar Jennings, Paige Pollack, Jon Robert Hall, Robert Taylor, Andrew Walton, Igor Khait, Laura Dickinson, Wes Anderson, Edgar Wright, John DeMita, Deolinda Kinzimba, Scarlett Johansson, Peter Serafinowicz, Thomas Walters, Patrick Bruel, Tori Kelly, Rhea Perlman, Garth Jennings, Beck Bennett, Nick Kroll, Gregory Perler, Matthew McConaughey, Chris Renaud, Marisa Liz, Cathy Cavadini, Daamen J. Krall, Jeremy Maxwell, Taron Egerton</t>
  </si>
  <si>
    <t>Garth Jennings</t>
  </si>
  <si>
    <t>Janet Healy, Chris Meledandri</t>
  </si>
  <si>
    <t>Joby Talbot</t>
  </si>
  <si>
    <t>/b8UiFXwMrSXVTHM0fb2twl8uE8a.jpg</t>
  </si>
  <si>
    <t>sing</t>
  </si>
  <si>
    <t>toronto international film festival (1), blank (69), los angeles, california (1), premiere (1), limited (2), festival du film de com√©die de l'alpe d'huez (1), dvd &amp; blu-ray (1), dvd premiere (2), tv premiere (1), internet (1)</t>
  </si>
  <si>
    <t>Bad Santa 2</t>
  </si>
  <si>
    <t>tt1798603</t>
  </si>
  <si>
    <t>Fueled by cheap whiskey, greed and hatred, Willie Soke teams up with his angry little sidekick, Marcus, to knock off a Chicago charity on Christmas Eve. Along for the ride is chubby and cheery Thurman Merman, a 250-pound ray of sunshine who brings out Willie's sliver of humanity. Issues arise when the pair are joined by Willie's horror story of a mother, who raises the bar for the gang's ambitions, while somehow lowering the standards of criminal behavior.</t>
  </si>
  <si>
    <t>Giving the holidays another shot.</t>
  </si>
  <si>
    <t>Comedy, Crime, Mystery</t>
  </si>
  <si>
    <t>ingenious media, broad green pictures, miramax</t>
  </si>
  <si>
    <t>Canada, United Kingdom, United States of America</t>
  </si>
  <si>
    <t>Sean Devine, Ranee Lee, Diana Tovar, Nora Allison, Maria Herrera, Frank Fiola, Kiara Webwe Lemieux, Alexandre Mikaelian, Jonathan Zitouni, Ciara Garcia L'eclair, Piper Davies, Dany Wiseman, Noah Tran, Josephine Van Dongen, Kyle Switzer, Alyssia Roy Bilodeau, Cristina Rosato, Marc-Andr‚àö¬© Boulanger, Kathy Bates, Octavia Spencer, David Correa, Billy Bob Thornton, Jeff Skowron, Lombardo Boyar, Linda Joyce Nourse, Richard Elias Anderson, Willa Jones, Kim Colsell, Dean Hagopian, Jason Cavalier, Mako Capuano, Ryan Hansen, Zephyr Bielinski, Olivier Garberi, Adora Nina Okeke-Marchand, Ethan Caminsky, Simon Julien, Clarrel Pope, Christina Hendricks, Tyrone Benskin, Bineyam Girma, Brett Kelly, Loujayn Dahoui, Layth Winter, Tobias Grether Murray, Jason Brillantes, Tony Cox, Christopher Tyson, Violet Reid, Chloe Sheperd, Daniela De Gregorio, Arthur Holden, Huntington Daly, Vlado Stokanic, Lou Chalifoux-Chabot, Atouel Chertkoft, Selah Victor, Leanne Montplaisir, Mike Starr, Charlotte Birdgenaw, Gabriel Dodin, Val‚àö¬©rie Wiseman, Jenny Zigrino</t>
  </si>
  <si>
    <t>Mark Waters</t>
  </si>
  <si>
    <t>Theo van de Sande</t>
  </si>
  <si>
    <t>Glenn Ficarra, John Requa, Shauna Cross, Johnny Rosenthal</t>
  </si>
  <si>
    <t>Geyer Kosinski, David Thwaites, Doug Ellin, Mark Waters, Daniel Hammond, Jessica Tuchinsky, Andrew Gunn, Adam Fields, Zanne Devine, Gabriel Hammond</t>
  </si>
  <si>
    <t>Lyle Workman</t>
  </si>
  <si>
    <t>/xmsEwpA2fSq6IO3sfKrLuIPLHSc.jpg</t>
  </si>
  <si>
    <t>bad santa 2</t>
  </si>
  <si>
    <t>blank (33)</t>
  </si>
  <si>
    <t>Allied</t>
  </si>
  <si>
    <t>tt3640424</t>
  </si>
  <si>
    <t>In 1942, an intelligence officer in North Africa encounters a female French Resistance fighter on a deadly mission behind enemy lines. When they reunite in London, their relationship is tested by the pressures of war.</t>
  </si>
  <si>
    <t>The enemy is listening.</t>
  </si>
  <si>
    <t>Action, Drama, War, Romance, Thriller</t>
  </si>
  <si>
    <t>paramount pictures, gk films, imagemovers, huahua media</t>
  </si>
  <si>
    <t>China, United States of America, United Kingdom</t>
  </si>
  <si>
    <t>√ø√ü≈∏√ë√øœÄ√ø¬±√ø¬Æ≈∏√§√ø¬©, English, Fran‚àö√üais, Deutsch</t>
  </si>
  <si>
    <t>Paul Longley, Freddie Stewart, Eric Th‚àö¬©obald, Maggie O'Brien, Vincent Latorre, Christian Rubeck, Billy Burke, Matthew Goode, Fleur Poad, Iselle Rifat, Richard Hills Jr., Brad Pitt, Miryam Hayward, Michael Haydon, Peter Meyer, Raphael Acloque, Sophie Shad, Saif Lone, Simon McBurney, Daniel Betts, Sorcha Garavan, Ben Laumann, Anton Lesser, Claire Richardson, Marinelly Vaslon, Evie Wray, Jake Wyatt, Celeste Dodwell, Jonathan Cass, Charlotte Hope, Marion Cotillard, Marion Bailey, Shane Griffin, Ty Hurley, Jared Harris, Ami Metcalf, Josh Dylan, Camille Cottin, Chris Reilly, Iain Batchelor, Xavier de Guillebon, Laraine Dix, Angelique Joan, Vikki Edwards, Angus Kennedy, Sophie Karl, Tiar Lounis, Raffey Cassidy, Philippe Spall, Sally Messham, Thierry Fr‚àö¬©mont, Raphael Desprez, Cecilia Gragnani, Christopher McMullen, Lukas Johne, Philip Harvey, Russell Balogh, Aysha Kanayo, Anton Blake Horowitz, Jason Grangier, Jason Matthewson, August Diehl, Fran‚àö√üois Sternkiker, Vincent Ebrahim, Lizzy Caplan, Michael McKell</t>
  </si>
  <si>
    <t>Robert Zemeckis</t>
  </si>
  <si>
    <t>Don Burgess</t>
  </si>
  <si>
    <t>Steven Knight</t>
  </si>
  <si>
    <t>Steve Starkey, Patrick McCormick, Robert Zemeckis, Jack Rapke, Jacqueline Levine, Steven Knight, Denis O'Sullivan, Graham King</t>
  </si>
  <si>
    <t>Alan Silvestri</t>
  </si>
  <si>
    <t>/sV4lXM32quwminL3TP36nlNPp7Q.jpg</t>
  </si>
  <si>
    <t>allied</t>
  </si>
  <si>
    <t>shanghai (1), premiere (2), london (1), madrid premiere (1), blank (66), french speaking region (1), german speaking region (1), italian speaking region (1)</t>
  </si>
  <si>
    <t>The Founder</t>
  </si>
  <si>
    <t>tt4276820</t>
  </si>
  <si>
    <t>The true story of how Ray Kroc, a salesman from Illinois, met Mac and Dick McDonald, who were running a burger operation in 1950s Southern California. Kroc was impressed by the brothers‚Äö√Ñ√¥ speedy system of making the food and saw franchise potential. He maneuvered himself into a position to be able to pull the company from the brothers and create a billion-dollar empire.</t>
  </si>
  <si>
    <t>He took someone else's idea and America ate it up.</t>
  </si>
  <si>
    <t>speedie distribution, filmnation entertainment, faliro house productions, the combine, the weinstein company</t>
  </si>
  <si>
    <t>Greece, United States of America</t>
  </si>
  <si>
    <t>Franco Castan, Linda Cardellini, Kabby Borders, Joseph Sanfelippo, Patrick Wilson, Mike Pniewski, David Zyler, Cara Mantella, Laura Dern, Lauren Denham, Kenny Alfonso, Victor McCay, Wilbur Fitzgerald, David Silverman, Michael Keaton, Nick Offerman, Abbey Ferrell, Catherine Dyer, Kimberly Banta, Joy Glover Walters, Nicolette Goetz, Kate Kneeland, Gerald Duckworth, Makabe Ganey, Justin Alvarez, Jody Thompson, Devon Ogden, Conrad Whitaker, Griff Furst, Steve Coulter, Adam Rosenberg, Jeremy Madden, Susan Williams, David de Vries, Chris Greene, John Carroll Lynch, Rebecca Ray, Jen Cohen, Charles Green, B.J. Novak, Andrew Benator, Ric Reitz, Jacinte Blankenship, Justin Randell Brooke, Randall Taylor, Afemo Omilami, Lacey King</t>
  </si>
  <si>
    <t>John Lee Hancock</t>
  </si>
  <si>
    <t>John Schwartzman</t>
  </si>
  <si>
    <t>Robert D. Siegel</t>
  </si>
  <si>
    <t>Harvey Weinstein, David S. Greathouse, Don Handfield, Bob Weinstein, Karen Lunder, Jeremy Renner, Christos V. Konstantakopoulos, Glen Basner, Holly Brown, William D. Johnson, David C. Glasser, Alison Cohen, Aaron Ryder</t>
  </si>
  <si>
    <t>Carter Burwell</t>
  </si>
  <si>
    <t>/8gLIksu5ggdfBL1UbeTeonHquxl.jpg</t>
  </si>
  <si>
    <t>the founder</t>
  </si>
  <si>
    <t>blank (42), los angeles, california (1), premiere (1), dubai international film festival (1), limited (1), g√∂teborg film festival (1), belgrade film festival (1), blu-ray premiere (1), shanghai international film festival (1), dvd premiere (3), internet (2)</t>
  </si>
  <si>
    <t>Lion</t>
  </si>
  <si>
    <t>tt3741834</t>
  </si>
  <si>
    <t>A five-year-old Indian boy gets lost on the streets of Calcutta, thousands of kilometers from home. He survives many challenges before being adopted by a couple in Australia; 25 years later, he sets out to find his lost family.</t>
  </si>
  <si>
    <t>The search begins</t>
  </si>
  <si>
    <t>the weinstein company, see-saw films, screen australia, aquarius films, sunstar entertainment</t>
  </si>
  <si>
    <t>Australia, United Kingdom, United States of America</t>
  </si>
  <si>
    <t>‚Ä°¬∂¬®‚Ä°¬∂√¶‚Ä°¬∂√á‚Ä°¬∂‚â§‚Ä°¬∂√¶, English, ‚Ä°¬ßœÄ‚Ä°¬ß√∏‚Ä°¬ß¬Æ‚Ä°‚Ä¢√ß‚Ä°¬ß¬∂‚Ä°‚Ä¢√Ñ</t>
  </si>
  <si>
    <t>Rohini Kargaiya, Rooney Mara, Babli Pandey, Vinod Chauhan, Rita Roy, Kaushik Sen, Pallavi Sharda, Todd Sampson, Priyanka Bose, Dev Patel, David Wenham, Lucy Moir, Nawazuddin Siddiqui, Madhukar Narlwade, Tannishtha Chatterjee, Deepti Naval, Belinda Misevski, Sachin Joab, Divian Ladwa, Shankar Nisode, Riddhi Sen, Eamon Farren, Tegan Crowley, Nicole Kidman, Anna Samson, Daniela Farinacci, Keshav Jadhav, Menik Gooneratne, Uday Shankar Paul, Arka Das, Khushi Solanki, Surojit Das, Emilie Cocquerel, Sunny Pawar, Benjamin Rigby, Abhishek Bharate</t>
  </si>
  <si>
    <t>Garth Davis</t>
  </si>
  <si>
    <t>Greig Fraser</t>
  </si>
  <si>
    <t>Luke Davies, Saroo Brierley</t>
  </si>
  <si>
    <t>Andrew Fraser, Harvey Weinstein, Bob Weinstein, David C. Glasser, Iain Canning, Angie Fielder, Shahen Mekertichian, Emile Sherman, Daniel Levin</t>
  </si>
  <si>
    <t>Dustin O'Halloran, Volker Bertelmann</t>
  </si>
  <si>
    <t>/iBGRbLvg6kVc7wbS8wDdVHq6otm.jpg</t>
  </si>
  <si>
    <t>lion</t>
  </si>
  <si>
    <t>toronto international film festival (1), zurich film festival (1), san diego film festival (1), hamptons international film festival (1), mill valley film festival (1), la roche-sur-yon international film festival (1), bfi london film festival (1), austin film festival (1), middleburg film festival (1), chicago international film festival (1), philadelphia international film festival (1), leiden international film festival (1), denver international film festival (1), virginia film festival (1), lisbon and estoril film festival (1), stockholm international film festival (1), afi fest (1), camerimage film festival (1), napa valley film festival (1), blank (51), limited (1), toronto (1), yubari international fantastic film festival (1), fajr international film festival (1), dvd premiere (3), woodend barn arts centre, banchory (1), rtp 1 (1), tv premiere (1)</t>
  </si>
  <si>
    <t>Underworld: Blood Wars</t>
  </si>
  <si>
    <t>tt3717252</t>
  </si>
  <si>
    <t>Vampire death dealer Selene fends off brutal attacks from both the Lycan clan and the Vampire faction that betrayed her. With her only allies, David and his father Thomas, she must stop the eternal war between Lycans and Vampires, even if it means she has to make the ultimate sacrifice.</t>
  </si>
  <si>
    <t>Protect the Bloodline</t>
  </si>
  <si>
    <t>Fantasy, Action, Thriller, Science Fiction, Horror</t>
  </si>
  <si>
    <t>lakeshore entertainment, screen gems, sketch films</t>
  </si>
  <si>
    <t>Lukas Krampera, Daniel Pietrucha, Jared Doreck, Alicia Vela-Bailey, Simona Simkova, Oliver Stark, Daniel Vojtech, Irena Morisakova, Jakub Mayer, Anezka Noskov‚àö¬∞, Eva Larvoire, David Bowles, Peter Andersson, Martavious Gayles, Zuzana Stiv‚àö‚â†nov‚àö¬∞, Jakub Krop‚àö¬∞∆í√ßek, Trent Garrett, Ji‚âà√¥‚àö‚â† N. Jel‚àö‚â†nek, Junes Zahdi, Lara Pulver, Tomas Fingerland, Marielle Tepper, Clementine Nicholson, India Eisley, Miroslav Lhotka, Richard William Romanov, Brian Caspe, Tomas Fisher, Terezie Kovalov‚àö¬∞, Agatha Hofmanov‚àö¬∞, James Faulkner, Daisy Head, Tobias Menzies, Jordan Haj, Theo James, Charles Dance, Kate Beckinsale, Bradley James, Lukas Vydrzal, S‚àö¬∞ra Arnsteinov‚àö¬∞, Sveta Driga, Denisa Kr‚âà¬∞kov‚àö¬∞, Dan Bradford, Adam Vosecek, Jan Nemejovsk‚àöŒ©, Rostislav Nov‚àö¬∞k</t>
  </si>
  <si>
    <t>Anna Foerster</t>
  </si>
  <si>
    <t>Karl Walter Lindenlaub</t>
  </si>
  <si>
    <t>Cory Goodman, Danny McBride, Kyle Ward, Len Wiseman, Kevin Grevioux</t>
  </si>
  <si>
    <t>James McQuaide, Anna Foerster, Ben Waisbren, Richard S. Wright, Skip Williamson, Gary Lucchesi, Eric Reid, Henry Winterstern, Len Wiseman, Tom Rosenberg, David Kern</t>
  </si>
  <si>
    <t>Michael Wandmacher</t>
  </si>
  <si>
    <t>/v1ciDCWMG47gdT4kMyjyQbnLQQn.jpg</t>
  </si>
  <si>
    <t>underworld: blood wars</t>
  </si>
  <si>
    <t>blank (55), dvd premiere (3), blu-ray &amp; dvd premiere (1)</t>
  </si>
  <si>
    <t>Office Christmas Party</t>
  </si>
  <si>
    <t>tt1711525</t>
  </si>
  <si>
    <t>When Carol Vanstone, CEO of the technology company Zenotek, expresses her intention to close the Chicago branch, run by her brother Clay, he and his co-workers organize a Christmas party in an effort to impress a potential client and save their jobs. But the party gets out of control‚Äö√Ñ¬∂</t>
  </si>
  <si>
    <t>Party like your job depends on it</t>
  </si>
  <si>
    <t>bluegrass films, entertainment 360</t>
  </si>
  <si>
    <t>English, P‚Äî√â‚Äî√Ö‚Äî√Ö‚Äì‚à´‚Äì‚àè‚ÄìœÄ</t>
  </si>
  <si>
    <t>Joshua Mikel, Vince Pisani, Michael Tourek, Summer Fontana, Brooke Jaye Taylor, Jimmy Butler, Andrew Leeds, Sam Richardson, Nick Madrick, Courtney B. Vance, Vanessa Bayer, Rob Corddry, Todd Parker, Walt Jones, Matthew LaBorde, Jackie Renee Robinson, David Kenneth Underwood, Brian Ashton Smith, Kate McKinnon, Abbey Lee, Jamie Chung, Chlo‚àö¬© Wepper, David Kallaway, Erica Page, Ricky Muse, Karan Soni, Oliver Cooper, Adrian Martinez, Jason Bateman, Richard Cotovsky, Jennifer Aniston, Bolton Marsh, T.J. Miller, Robin Robinson, Jillian Bell, Da'Vine Joy Randolph, Nick Peine, Jeff Ryan Alexander, Matt Walsh, Daniel Jackson, Lauren Boyd, Erick Chavarria, Randall Park, Olivia Munn, Ben Falcone, Lynne Ashe, Sonny Valicenti, Jessica Miesel, D‚àö¬©j‚àö¬∞ Dee, Fortune Feimster</t>
  </si>
  <si>
    <t>Josh Gordon, Will Speck</t>
  </si>
  <si>
    <t>Jeff Cutter</t>
  </si>
  <si>
    <t>Dan Mazer, Justin Malen, Scott Moore, Laura Solon, Timothy Dowling, Jon Lucas</t>
  </si>
  <si>
    <t>Josh Gordon, Daniel Rappaport, Beau Bauman, Matthew Hirsch, Guymon Casady, Richard Vane, Scott Stuber, Will Speck</t>
  </si>
  <si>
    <t>Theodore Shapiro</t>
  </si>
  <si>
    <t>/7r3w3cPTbNEIr1imb8zXyeIJCJe.jpg</t>
  </si>
  <si>
    <t>office christmas party</t>
  </si>
  <si>
    <t>blank (54), dvd premiere (5), tv premiere (2), rtp 1 (1)</t>
  </si>
  <si>
    <t>The Queen of Spain</t>
  </si>
  <si>
    <t>tt2411144</t>
  </si>
  <si>
    <t>es</t>
  </si>
  <si>
    <t>La reina de Espa‚àö¬±a</t>
  </si>
  <si>
    <t>After her experiences in Nazi Germany, actress Macarena Granada traveled to Hollywood, where she became a star. In the 1950s, the diva returns to Francoist Spain to star a Hollywood blockbuster about Queen Isabella I of Castile. (A sequel to The Girl of Your Dreams, 1998.)</t>
  </si>
  <si>
    <t>Lights. Camera. Distraction.</t>
  </si>
  <si>
    <t>atresmedia, crea sgr, fernando trueba pc, instituto de la cinematograf‚àö‚â†a y de las artes audiovisuales, movistar plus+, the queen picture</t>
  </si>
  <si>
    <t>Spain</t>
  </si>
  <si>
    <t>Loles Le‚àö‚â•n, Antonio Resines, Gemma Cuervo, Ana Bel‚àö¬©n, Guillermo Toledo, Rosa Mar‚àö‚â†a Sard‚àö‚Ä†, Juli‚àö¬∞n Villagr‚àö¬∞n, Jorge Sanz, Mandy Patinkin, Carlos Areces, Secun de la Rosa, Aida Folch, Santiago Segura, Chino Dar‚àö‚â†n, Clive Revill, J.A. Bayona, Antonio Bu‚àö‚â†l, Peter Sztojanov, Jr., Neus Asensi, Anabel Alonso, Cary Elwes, Javier C‚àö¬∞mara, Arturo Ripstein, Pen‚àö¬©lope Cruz, Enrique Vill‚àö¬©n</t>
  </si>
  <si>
    <t>Fernando Trueba</t>
  </si>
  <si>
    <t>Jos‚àö¬© Luis Alcaine</t>
  </si>
  <si>
    <t>Fernando Trueba, Rafael Azcona, David Trueba, Carlos L‚àö‚â•pez</t>
  </si>
  <si>
    <t>Kirk D'Amico, Eric Charles, Cristina Huete, Mikel Lejarza, Mercedes Gamero, Pen‚àö¬©lope Cruz</t>
  </si>
  <si>
    <t>Zbigniew Preisner</t>
  </si>
  <si>
    <t>/5dPUXLTRn0B68CfXqniTeUdH9jF.jpg</t>
  </si>
  <si>
    <t>the queen of spain</t>
  </si>
  <si>
    <t>complutense university of madrid (1), madrid premiere (1), blank (13), berlin international film festival (1), belgrade film festival (1), sala zitarrosa (1), dvd premiere (1)</t>
  </si>
  <si>
    <t>Incarnate</t>
  </si>
  <si>
    <t>tt3216348</t>
  </si>
  <si>
    <t>An exorcist comes up against an evil from his past when he uses his skills to enter the mind of a nine year old boy.</t>
  </si>
  <si>
    <t>Faith has failed us.</t>
  </si>
  <si>
    <t>wwe studios, blumhouse productions, im global</t>
  </si>
  <si>
    <t>Mark Steger, Tim Sitarz, Breanne Hill, Petra Sprecher, Emily Jackson, Emjay Anthony, Karolina Wydra, Vera Miao, Carlease Burke, Vanya Asher, Matt Nable, David Mazouz, Tomas Arana, Carice van Houten, Catalina Sandino Moreno, Keir O'Donnell, Aaron Eckhart, Paul Vincent O'Connor, Natalija Nogulich, Josue Aguirre, John Pirruccello, Mark Henry</t>
  </si>
  <si>
    <t>Brad Peyton</t>
  </si>
  <si>
    <t>Dana Gonzales</t>
  </si>
  <si>
    <t>Ronnie Christensen</t>
  </si>
  <si>
    <t>Charles Layton, Matt Kaplan, Michael Seitzman, Stuart Ford, Couper Samuelson, Michael J. Luisi, Trevor Engelson, Brad Peyton, Jason Blum, Jeannette Brill</t>
  </si>
  <si>
    <t>Andrew Lockington</t>
  </si>
  <si>
    <t>/8j8PLnghBHpDEGfANNh8wc5cT4F.jpg</t>
  </si>
  <si>
    <t>incarnate</t>
  </si>
  <si>
    <t>blank (36), gerardmer fantasy film festival (1), dvd and blu-ray premiere (1), night visions international film festival (1), internet (2)</t>
  </si>
  <si>
    <t>La La Land</t>
  </si>
  <si>
    <t>tt3783958</t>
  </si>
  <si>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</si>
  <si>
    <t>Here's to the fools who dream.</t>
  </si>
  <si>
    <t>Comedy, Drama, Romance</t>
  </si>
  <si>
    <t>summit entertainment, gilbert films, impostor pictures, marc platt productions</t>
  </si>
  <si>
    <t>Emma Stone, Jason Fuchs, Trevor Lissauer, Shaylah J. Stevens, Ava Bernstine-Mitchell, Cinda Adams, Tom Everett Scott, Shannon Leann, Tony Bellissimo, Denzel Chisolm, Christopher Michael Stevens, Asiel Hardison, Dominique Domingo, C.J. Stussi, Kaveh Rastegar, Gustavo Vargas, Becca Sweitzer, Javier Gonzalez, Michael Higgins, Tiffany Daniels, Quinn Lipton, Matt Cady, Kristin Slaysman, Casey Johansen, Trent Kerpsack, Yoori Kim, Arthur Horowitz, Valarie Rae Miller, Nick Baga, Claudine Claudio, Chris Moss, Robert Haynes, Dana Fukagawa, Bryan Tanaka, Brandon O'Neal, Michael Stein, Patrick Cook, Chris Jarosz, Khasan Brailsford, Emily Williams, Ryan Novak, Shannon Holtzapffel, Heather Turman, Nathan Prevost, Anna Chazelle, Meagen Fay, Ottavio Taddei, Tara Nicole Hughes, Briana Lee, Pamela Chu, D.A. Wallach, Doran Butler, Candice Coke, Patty Tobin, Finn Wittrock, Chelsea Thedinga, Cris Judd, Noel Bajandas, Krystal Ellsworth, Destinee Handly, Milica Govich, Kiff VandenHeuvel, Jeremy Hudson, Natalie Imani, Anthony Marciona, Lynn Moore, Jordan Ray Fox, Jenna Curtis, Cassidy Noblett, Ana Flavia Gavlak, McKenzie Anderson, Rosemarie DeWitt, Cameron Brinkman, Stephanie Landwehr, Leah Adler, Keith Harris, Camryn Ray Cavaliero, Ryan Ramirez, Tracy Shibata, Natalie Gilmore, Britt Stewart, Anna Lunberry, Jessica Rotter, Damon Gupton, Samantha Abrantes, John Legend, Sonoya Mizuno, Frederick Keeve, Callie Hernandez, Nick Drago, Bubba Dean Rambo, Bunny Levine, Hunter Clowdus, Mecca Vazie Andrews, Crystal Nichol, Melinda Sullivan, Thom Shelton, David Douglas, Sandra Rosko, Zo‚àö¬¥ Hall, Amanda Balen, Terrance Yates, Mario Diaz, Tommy Cooley, Vince Donvito, Galen Hooks, Catalina Cat Rendic, Morgan Larson, Shaun Evaristo, Clifton 'Fou Fou' Eddie, Nedra Wheeler, Demian Boergadine, George Lawrence Jr., Andres Perez-Molina, Matthew Aylward, Noah James, Steffen Dziczek, Christopher Aber, Bill Prudich, Nilla Elizabeth Watkins, Terry Walters, Corey Anderson, Ami‚àö¬©e Conn, Lou Becker, Matthew Kazmierczak, KC Monnie, Amanda Fields, Julie Schmid, Montana Efaw, Ryan Gosling, Cal Bennett, Dana Wilson, Liz Imperio, Dempsey Pappion, Cindera Che, Sybil Azur, V‚àö‚â†ctor Rojas, Scott Myrick, Kristin Elliott, Gakenia Muigai, Olivia Hamilton, Marius de Vries, Khirye Tyler, Bruce Davison, J.K. Simmons, April Martucci, Eartha Robinson, Bradley M. Rapier, Reshma Gajjar, Kayla Kalbfleisch, Sarah Mitchell, Robert Roldan, Danny Valle, Dominic Chaiduang, Nicole Coulon, Nicole Wolf, John Hindman, Mallauri Esquibel, Megan Lawson, Kaye L. Morris, Monie Adamson, Daniel Gaymon, Scott Hislop, Carol Connors, Miles Anderson, Lexie Contursi, Aaron 'Deuce' Cooke, Marissa Labog, Corrin Evans, Brittany Parks, Bobo Chang, Clarice Ordaz, Jessica Rothe, Andrea Lareo, Hunter Hamilton, Paul Kirkland, Damian Gomez, Michael Munday, Martha Nichols, Hemky Madera, Holly Houk, Josh Pence, Margaret Newborn</t>
  </si>
  <si>
    <t>Damien Chazelle</t>
  </si>
  <si>
    <t>Linus Sandgren</t>
  </si>
  <si>
    <t>Benj Pasek, Justin Paul, Damien Chazelle</t>
  </si>
  <si>
    <t>Marc Platt, Fred Berger, Michael Beugg, John Legend, Gary Gilbert, Jordan Horowitz, Ty Stiklorius, Mike Jackson</t>
  </si>
  <si>
    <t>Justin Hurwitz</t>
  </si>
  <si>
    <t>/uDO8zWDhfWwoFdKS4fzkUJt0Rf0.jpg</t>
  </si>
  <si>
    <t>la la land</t>
  </si>
  <si>
    <t>venice film festival (1), telluride film festival (1), toronto international film festival (1), zurich film festival (1), mill valley film festival (1), bfi london film festival (1), busan international film festival (1), hamptons international film festival (1), chicago international film festival (1), austin film festival (1), philadelphia international film festival (1), middleburg film festival (1), vienna international film festival (1), denver international film festival (1), camerimage (1), afi fest (1), key west film festival (1), mumbai film festival (1), westwood, california (1), premiere (2), blank (75), limited (6), dubai international film festival (1), kinomania (1), paris (1), imax version (1), oscar week (1), golden horse fantastic film festival (1), internet (2), dvd and blu-ray premiere (1), stardust theater in haramura (1), re-release (8), pyeongchang international peace film festival (1)</t>
  </si>
  <si>
    <t>The Promise</t>
  </si>
  <si>
    <t>tt4776998</t>
  </si>
  <si>
    <t>Set during the last days of the Ottoman Empire, a love triangle develops between Mikael, a brilliant medical student, the beautiful and sophisticated artist Ana, and Chris, a renowned American journalist based in Paris.</t>
  </si>
  <si>
    <t>Empires fall. Love survives.</t>
  </si>
  <si>
    <t>History, Romance, Drama</t>
  </si>
  <si>
    <t>babieka films, wonderful films, survivor pictures, open road films</t>
  </si>
  <si>
    <t>, Deutsch, English, Fran‚àö√üais</t>
  </si>
  <si>
    <t>Luis Callejo, Shnorhk Sargsyan, Alicia Borrachero, Oscar Isaac, Sofia Black-D'Elia, Numan Acar, Daniel Gim‚àö¬©nez Cacho, Vic Tablian, James Cromwell, Luc‚àö‚â†a Zorrilla, Roman Mitichyan, Diogo Andrade, Alain Hern‚àö¬∞ndez, ‚àö√Ñlex Maruny, Shohreh Aghdashloo, Rade ‚âà‚Ä†erbed‚âà√¶ija, Christine Duke, Charlotte Le Bon, James Chanos, Igal Naor, Anthony Rotsa, Tamer Hassan, Milene Mayer, Jean Reno, Aharon Ipal‚àö¬©, Angela Sarafyan, Marwan Kenzari, Stewart Scudamore, Aaron Neil, Juli‚àö¬∞n Villagr‚àö¬∞n, Christian Bale, Armin Amiri, Kevork Malikyan, Andrew Tarbet, Abel Folk, Michael Stahl-David, Tom Hollander</t>
  </si>
  <si>
    <t>Terry George</t>
  </si>
  <si>
    <t>Javier Aguirresarobe</t>
  </si>
  <si>
    <t>Robin Swicord, Terry George</t>
  </si>
  <si>
    <t>William Horberg, Eric Esrailian, Mike Medavoy, Ralph Winter, Denise O'Dell</t>
  </si>
  <si>
    <t>Gabriel Yared</t>
  </si>
  <si>
    <t>/iDWer2VFikupdqDc7d5sxCWZ3gW.jpg</t>
  </si>
  <si>
    <t>the promise</t>
  </si>
  <si>
    <t>toronto international film festival (1), virginia film festival (1), blank (33), aleppo (1), riga (1), sun cinema (1), blu-ray release (1), deauville film festival (1), german speaking region (1), dvd premiere (2)</t>
  </si>
  <si>
    <t>Pandora</t>
  </si>
  <si>
    <t>tt6302160</t>
  </si>
  <si>
    <t>ko</t>
  </si>
  <si>
    <t>√å√•√™√é√®√ë√é√π¬∫</t>
  </si>
  <si>
    <t>When an earthquake hits a Korean village housing a run-down nuclear power plant, a man risks his life to save the country from imminent disaster.</t>
  </si>
  <si>
    <t>We knew this day would come.</t>
  </si>
  <si>
    <t>Thriller, Drama, Action</t>
  </si>
  <si>
    <t>next entertainment world, cac entertainment</t>
  </si>
  <si>
    <t>South Korea</t>
  </si>
  <si>
    <t>√å√Ø√∫√ç¬µ‚â†√è√±¬•/√è¬∞‚àû√è√ë‚Ä†√é√ü√™</t>
  </si>
  <si>
    <t>Moon Jeong-hee, Jung Jin-young, Kim Joo-hyun, Kim Young-woong, Son Jong-hak, Lee Kyung-young, Kim Young-ae, Yoo Seung-mok, No Kang-min, Bae Gang-Yoo, Kang Shin-il, Moon Jong-il, Cho Han-cheul, Song Young-chang, Park Joon-young, Kim Keum-soon, Oh Ye-seol, Park Pal-Young, Shim Young-Min, Kim Myung-min, Kim Han-jong, Hong Seok-bin, Kim Hye-eun, Jeong In-gi, Kim Jong-goo, Park Sun-Hee, Kim Se-dong, Baek Do-bin, Kong Jeong-hwan, Kang Suk-won, Kim Nam-gil, Kim Dae-myung, Kwak Min-seok</t>
  </si>
  <si>
    <t>Park Jung-woo</t>
  </si>
  <si>
    <t>Choi Young-hwan</t>
  </si>
  <si>
    <t>Park Jung-woo, Lee Yoon-ho</t>
  </si>
  <si>
    <t>Kim Chul-yong, Paek Keong-suk, Kim Woo-taek</t>
  </si>
  <si>
    <t>Cho Young-wuk</t>
  </si>
  <si>
    <t>/elTrkTm5GjynK3H26cpOZsWDYjy.jpg</t>
  </si>
  <si>
    <t>pandora</t>
  </si>
  <si>
    <t>blank (2), international film festival &amp; awards macao (1), internet (12)</t>
  </si>
  <si>
    <t>Befikre</t>
  </si>
  <si>
    <t>tt5108476</t>
  </si>
  <si>
    <t>‚Ä°¬ß¬®‚Ä°‚Ä¢√°‚Ä°¬ß¬¥‚Ä°¬ß√∏‚Ä°¬ß√Ø‚Ä°‚Ä¢√ß‚Ä°¬ß‚àû‚Ä°‚Ä¢√°</t>
  </si>
  <si>
    <t>What starts as a crazy one-night stand ends up in a relationship. But Dharam and Shyra fall out of love just as quickly. Where will life take them now?</t>
  </si>
  <si>
    <t>Those Who Dare To Love</t>
  </si>
  <si>
    <t>Romance, Comedy, Drama</t>
  </si>
  <si>
    <t>yash raj films, cnc</t>
  </si>
  <si>
    <t>France, India</t>
  </si>
  <si>
    <t>Akarsh Khurana, Vaani Kapoor, Pierre Cevaer, Marinelly Vaslon, Ranveer Singh, Elisa Bachir Bey, Sandra Rosinsky, Marie Wadoux, Hugo Diego Garcia, Ayesha Raza Mishra, Aziliz Le Guern, M‚àö¬©gane Lemiel, Aru Krishansh Verma, Mila Linski, Camille Vidacek, Julie Ordon</t>
  </si>
  <si>
    <t>Aditya Chopra</t>
  </si>
  <si>
    <t>Aditya Chopra, Sharat Katariya</t>
  </si>
  <si>
    <t>Aditya Chopra, Bharat Rawail</t>
  </si>
  <si>
    <t>Vishal Dadlani, Shekhar Ravjiani</t>
  </si>
  <si>
    <t>/kFFDdXLqpUuVTieIfAhm2oiuyhU.jpg</t>
  </si>
  <si>
    <t>befikre</t>
  </si>
  <si>
    <t>dubai international film festival (1), blank (10), indian film festival japan (1)</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</si>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</sst>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2189E9-09C0-DB4F-B4F9-DE507776FE6D}" name="Table1" displayName="Table1" ref="A1:AQ63" totalsRowCount="1">
  <autoFilter ref="A1:AQ62" xr:uid="{812189E9-09C0-DB4F-B4F9-DE507776FE6D}">
    <filterColumn colId="41">
      <filters>
        <filter val="no"/>
      </filters>
    </filterColumn>
  </autoFilter>
  <tableColumns count="43">
    <tableColumn id="1" xr3:uid="{F494C747-9403-7F47-BBA5-85CDDA338B44}" name="id" totalsRowLabel="Total"/>
    <tableColumn id="2" xr3:uid="{6D119CFC-9F0A-0641-A97A-2143755243E5}" name="title"/>
    <tableColumn id="3" xr3:uid="{D9B7A7E0-2D82-CA47-ADDC-93CD72348712}" name="vote_average"/>
    <tableColumn id="4" xr3:uid="{51E573F8-34C0-A742-A534-C16EBE091D64}" name="vote_count"/>
    <tableColumn id="5" xr3:uid="{8FC273C2-7A84-AF49-9EB2-1198B4B36880}" name="status"/>
    <tableColumn id="6" xr3:uid="{EB677BBA-EFF9-284C-BF98-91165E0518BC}" name="release_date" dataDxfId="0"/>
    <tableColumn id="7" xr3:uid="{AD6D3927-4382-6D47-9420-B11373A93045}" name="revenue"/>
    <tableColumn id="8" xr3:uid="{C66A5062-0B12-254E-8F3A-150957CC6E1D}" name="runtime"/>
    <tableColumn id="9" xr3:uid="{AF7B42BC-3E62-E845-BCE0-A9237B58AD94}" name="budget"/>
    <tableColumn id="10" xr3:uid="{D00E8B79-9C1D-8141-81CA-EA4A6A8C866F}" name="imdb_id"/>
    <tableColumn id="11" xr3:uid="{2C5810E8-58D0-A74D-A7BB-657F6D8D16A0}" name="original_language"/>
    <tableColumn id="12" xr3:uid="{7BB1640C-C96E-8F4E-8F29-F855314D277D}" name="original_title"/>
    <tableColumn id="13" xr3:uid="{BDCD59EE-0710-7645-BFF8-7727EF6E8D33}" name="overview"/>
    <tableColumn id="14" xr3:uid="{DB8E45AD-108B-B346-A461-C1C240B4AEF7}" name="popularity"/>
    <tableColumn id="15" xr3:uid="{8A10D197-3CC2-4F4B-9332-8EAED7324BD8}" name="tagline"/>
    <tableColumn id="16" xr3:uid="{13A4C8F7-CA35-0242-B3CF-A92E7A5F2854}" name="genres"/>
    <tableColumn id="17" xr3:uid="{B9DFA056-240E-8541-A20C-AA9768A40503}" name="production_companies"/>
    <tableColumn id="18" xr3:uid="{172FD1C3-37BE-924B-B348-A44DD0694045}" name="production_countries"/>
    <tableColumn id="19" xr3:uid="{B3E17190-E2AE-B545-8277-BD29745B6082}" name="spoken_languages"/>
    <tableColumn id="20" xr3:uid="{F947AD3B-8EE0-B346-AB14-6C5695F06D83}" name="cast"/>
    <tableColumn id="21" xr3:uid="{B800312C-F683-8946-A3AD-5B58F4C6933C}" name="director"/>
    <tableColumn id="22" xr3:uid="{C8DBDF77-C67F-2047-883A-C21C51D22DA0}" name="director_of_photography"/>
    <tableColumn id="23" xr3:uid="{9E6E91B9-32C5-0A4C-89B8-BC2BD280B1E4}" name="writers"/>
    <tableColumn id="24" xr3:uid="{E1EEF33F-DC48-E449-84C0-84132F46217D}" name="producers"/>
    <tableColumn id="25" xr3:uid="{2B614AE2-8937-BB43-9C8A-C0134B8F2B57}" name="music_composer"/>
    <tableColumn id="26" xr3:uid="{9FCF86CC-ED69-EE49-92F7-D3B17F021AFB}" name="imdb_rating"/>
    <tableColumn id="27" xr3:uid="{6A8760E3-6675-B548-95EC-1ED3037B1B8D}" name="imdb_votes"/>
    <tableColumn id="28" xr3:uid="{A3B74262-9CBF-8943-A478-BD9AC6CE0D2E}" name="poster_path"/>
    <tableColumn id="29" xr3:uid="{7E267C6A-1F81-5E4B-8211-E78E561C30F8}" name="release_month"/>
    <tableColumn id="30" xr3:uid="{18B422F2-D394-8F48-9102-085B931EAABD}" name="release_year"/>
    <tableColumn id="31" xr3:uid="{68E89846-42B2-604D-A80A-62707578E54E}" name="iso_week"/>
    <tableColumn id="32" xr3:uid="{D7EC66B3-FB76-E24B-B696-624317C910E6}" name="title_clean"/>
    <tableColumn id="33" xr3:uid="{2A84E232-6E7D-B64D-800D-D3AB8BBB6F27}" name="distance"/>
    <tableColumn id="34" xr3:uid="{24873E29-66E7-9F49-816D-35799EBBDA36}" name="strength"/>
    <tableColumn id="35" xr3:uid="{855C1A5C-00D2-AC49-9B02-9752155B4DC0}" name="score" totalsRowFunction="sum"/>
    <tableColumn id="36" xr3:uid="{83DDAAA8-1BD7-7D49-9ABB-F18D4013639C}" name="marvel_movie"/>
    <tableColumn id="37" xr3:uid="{390CC60E-3F2F-F74E-B60B-80B71F04DF14}" name="attributes"/>
    <tableColumn id="38" xr3:uid="{9D26782C-D6A1-CA49-973B-78D3C225F312}" name="blank"/>
    <tableColumn id="39" xr3:uid="{B774918D-4456-BF48-9CC7-D6E71790B823}" name="internet"/>
    <tableColumn id="40" xr3:uid="{E47F6C86-C444-1145-B622-CF6C4DFBFE68}" name="total"/>
    <tableColumn id="41" xr3:uid="{AC631B06-08CB-B349-8CB6-9AFC1176F3E9}" name="internet_ratio"/>
    <tableColumn id="42" xr3:uid="{F86AA4FC-D370-7A4F-A3DA-C84BFE4AC8AE}" name="internet_dominance"/>
    <tableColumn id="43" xr3:uid="{DC9D5F5C-1235-E249-99D0-03D1BF41A46F}" name="error" totalsRowFunction="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1FDB5-5906-F149-85D0-859B4973A9CA}">
  <dimension ref="A1:AQ63"/>
  <sheetViews>
    <sheetView tabSelected="1" topLeftCell="AA25" workbookViewId="0">
      <selection activeCell="AI63" sqref="AI63"/>
    </sheetView>
  </sheetViews>
  <sheetFormatPr baseColWidth="10" defaultRowHeight="16" x14ac:dyDescent="0.2"/>
  <cols>
    <col min="3" max="3" width="14.33203125" customWidth="1"/>
    <col min="4" max="4" width="12.5" customWidth="1"/>
    <col min="6" max="6" width="14.1640625" customWidth="1"/>
    <col min="11" max="11" width="18" customWidth="1"/>
    <col min="12" max="12" width="13.83203125" customWidth="1"/>
    <col min="14" max="14" width="11.6640625" customWidth="1"/>
    <col min="17" max="17" width="22.33203125" customWidth="1"/>
    <col min="18" max="18" width="21" customWidth="1"/>
    <col min="19" max="19" width="18.83203125" customWidth="1"/>
    <col min="22" max="22" width="23.5" customWidth="1"/>
    <col min="24" max="24" width="11.83203125" customWidth="1"/>
    <col min="25" max="25" width="17.83203125" customWidth="1"/>
    <col min="26" max="26" width="13.33203125" customWidth="1"/>
    <col min="27" max="27" width="13" customWidth="1"/>
    <col min="28" max="28" width="13.33203125" customWidth="1"/>
    <col min="29" max="29" width="15.83203125" customWidth="1"/>
    <col min="30" max="30" width="14" customWidth="1"/>
    <col min="31" max="31" width="11.1640625" customWidth="1"/>
    <col min="32" max="32" width="12.1640625" customWidth="1"/>
    <col min="36" max="36" width="15" customWidth="1"/>
    <col min="37" max="37" width="11.6640625" customWidth="1"/>
    <col min="41" max="41" width="14.6640625" customWidth="1"/>
    <col min="42" max="42" width="20" customWidth="1"/>
  </cols>
  <sheetData>
    <row r="1" spans="1:4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
      <c r="A2">
        <v>95610</v>
      </c>
      <c r="B2" t="s">
        <v>43</v>
      </c>
      <c r="C2">
        <v>6.4</v>
      </c>
      <c r="D2">
        <v>3018</v>
      </c>
      <c r="E2" t="s">
        <v>44</v>
      </c>
      <c r="F2" s="1">
        <v>42627</v>
      </c>
      <c r="G2">
        <v>211952420</v>
      </c>
      <c r="H2">
        <v>123</v>
      </c>
      <c r="I2">
        <v>35000000</v>
      </c>
      <c r="J2" t="s">
        <v>45</v>
      </c>
      <c r="K2" t="s">
        <v>46</v>
      </c>
      <c r="L2" t="s">
        <v>43</v>
      </c>
      <c r="M2" t="s">
        <v>47</v>
      </c>
      <c r="N2">
        <v>6.7027000000000001</v>
      </c>
      <c r="O2" t="s">
        <v>48</v>
      </c>
      <c r="P2" t="s">
        <v>49</v>
      </c>
      <c r="Q2" t="s">
        <v>50</v>
      </c>
      <c r="R2" t="s">
        <v>51</v>
      </c>
      <c r="S2" t="s">
        <v>52</v>
      </c>
      <c r="T2" t="s">
        <v>53</v>
      </c>
      <c r="U2" t="s">
        <v>54</v>
      </c>
      <c r="V2" t="s">
        <v>55</v>
      </c>
      <c r="W2" t="s">
        <v>56</v>
      </c>
      <c r="X2" t="s">
        <v>57</v>
      </c>
      <c r="Y2" t="s">
        <v>58</v>
      </c>
      <c r="Z2">
        <v>6.4</v>
      </c>
      <c r="AA2">
        <v>89727</v>
      </c>
      <c r="AB2" t="s">
        <v>59</v>
      </c>
      <c r="AC2">
        <v>9</v>
      </c>
      <c r="AD2">
        <v>2016</v>
      </c>
      <c r="AE2">
        <v>37</v>
      </c>
      <c r="AF2" t="s">
        <v>60</v>
      </c>
      <c r="AG2">
        <v>-41</v>
      </c>
      <c r="AH2">
        <v>19.171872378202899</v>
      </c>
      <c r="AI2">
        <v>0.45647315186197501</v>
      </c>
      <c r="AJ2" t="s">
        <v>61</v>
      </c>
      <c r="AK2" t="s">
        <v>62</v>
      </c>
      <c r="AL2">
        <v>53</v>
      </c>
      <c r="AM2">
        <v>1</v>
      </c>
      <c r="AN2">
        <v>63</v>
      </c>
      <c r="AO2">
        <v>0.02</v>
      </c>
      <c r="AP2" t="s">
        <v>63</v>
      </c>
      <c r="AQ2" t="s">
        <v>63</v>
      </c>
    </row>
    <row r="3" spans="1:43" x14ac:dyDescent="0.2">
      <c r="A3">
        <v>333484</v>
      </c>
      <c r="B3" t="s">
        <v>64</v>
      </c>
      <c r="C3">
        <v>6.5</v>
      </c>
      <c r="D3">
        <v>6169</v>
      </c>
      <c r="E3" t="s">
        <v>44</v>
      </c>
      <c r="F3" s="1">
        <v>42627</v>
      </c>
      <c r="G3">
        <v>162400000</v>
      </c>
      <c r="H3">
        <v>132</v>
      </c>
      <c r="I3">
        <v>90000000</v>
      </c>
      <c r="J3" t="s">
        <v>65</v>
      </c>
      <c r="K3" t="s">
        <v>46</v>
      </c>
      <c r="L3" t="s">
        <v>64</v>
      </c>
      <c r="M3" t="s">
        <v>66</v>
      </c>
      <c r="N3">
        <v>6.9086999999999996</v>
      </c>
      <c r="O3" t="s">
        <v>67</v>
      </c>
      <c r="P3" t="s">
        <v>68</v>
      </c>
      <c r="Q3" t="s">
        <v>69</v>
      </c>
      <c r="R3" t="s">
        <v>70</v>
      </c>
      <c r="S3" t="s">
        <v>71</v>
      </c>
      <c r="T3" t="s">
        <v>72</v>
      </c>
      <c r="U3" t="s">
        <v>73</v>
      </c>
      <c r="V3" t="s">
        <v>74</v>
      </c>
      <c r="W3" t="s">
        <v>75</v>
      </c>
      <c r="X3" t="s">
        <v>76</v>
      </c>
      <c r="Y3" t="s">
        <v>77</v>
      </c>
      <c r="Z3">
        <v>6.9</v>
      </c>
      <c r="AA3">
        <v>241390</v>
      </c>
      <c r="AB3" t="s">
        <v>78</v>
      </c>
      <c r="AC3">
        <v>9</v>
      </c>
      <c r="AD3">
        <v>2016</v>
      </c>
      <c r="AE3">
        <v>37</v>
      </c>
      <c r="AF3" t="s">
        <v>79</v>
      </c>
      <c r="AG3">
        <v>-41</v>
      </c>
      <c r="AH3">
        <v>18.9055729918494</v>
      </c>
      <c r="AI3">
        <v>0.45013269028212999</v>
      </c>
      <c r="AJ3" t="s">
        <v>61</v>
      </c>
      <c r="AK3" t="s">
        <v>80</v>
      </c>
      <c r="AL3">
        <v>60</v>
      </c>
      <c r="AM3">
        <v>0</v>
      </c>
      <c r="AN3">
        <v>67</v>
      </c>
      <c r="AO3">
        <v>0</v>
      </c>
      <c r="AP3" t="s">
        <v>63</v>
      </c>
      <c r="AQ3" t="s">
        <v>63</v>
      </c>
    </row>
    <row r="4" spans="1:43" x14ac:dyDescent="0.2">
      <c r="A4">
        <v>284564</v>
      </c>
      <c r="B4">
        <v>31</v>
      </c>
      <c r="C4">
        <v>5.4</v>
      </c>
      <c r="D4">
        <v>830</v>
      </c>
      <c r="E4" t="s">
        <v>44</v>
      </c>
      <c r="F4" s="1">
        <v>42628</v>
      </c>
      <c r="G4">
        <v>850419</v>
      </c>
      <c r="H4">
        <v>102</v>
      </c>
      <c r="I4">
        <v>1500000</v>
      </c>
      <c r="J4" t="s">
        <v>81</v>
      </c>
      <c r="K4" t="s">
        <v>46</v>
      </c>
      <c r="L4">
        <v>31</v>
      </c>
      <c r="M4" t="s">
        <v>82</v>
      </c>
      <c r="N4">
        <v>4.8844000000000003</v>
      </c>
      <c r="O4" t="s">
        <v>83</v>
      </c>
      <c r="P4" t="s">
        <v>84</v>
      </c>
      <c r="Q4" t="s">
        <v>85</v>
      </c>
      <c r="R4" t="s">
        <v>86</v>
      </c>
      <c r="S4" t="s">
        <v>87</v>
      </c>
      <c r="T4" t="s">
        <v>88</v>
      </c>
      <c r="U4" t="s">
        <v>89</v>
      </c>
      <c r="V4" t="s">
        <v>90</v>
      </c>
      <c r="W4" t="s">
        <v>89</v>
      </c>
      <c r="X4" t="s">
        <v>91</v>
      </c>
      <c r="Y4" t="s">
        <v>92</v>
      </c>
      <c r="Z4">
        <v>5.0999999999999996</v>
      </c>
      <c r="AA4">
        <v>24493</v>
      </c>
      <c r="AB4" t="s">
        <v>93</v>
      </c>
      <c r="AC4">
        <v>9</v>
      </c>
      <c r="AD4">
        <v>2016</v>
      </c>
      <c r="AE4">
        <v>37</v>
      </c>
      <c r="AF4">
        <v>31</v>
      </c>
      <c r="AG4">
        <v>-40</v>
      </c>
      <c r="AH4">
        <v>13.6534856240776</v>
      </c>
      <c r="AI4">
        <v>0.33301184448969801</v>
      </c>
      <c r="AJ4" t="s">
        <v>61</v>
      </c>
      <c r="AK4" t="s">
        <v>94</v>
      </c>
      <c r="AL4">
        <v>8</v>
      </c>
      <c r="AM4">
        <v>2</v>
      </c>
      <c r="AN4">
        <v>25</v>
      </c>
      <c r="AO4">
        <v>0.08</v>
      </c>
      <c r="AP4" t="s">
        <v>63</v>
      </c>
      <c r="AQ4" t="s">
        <v>63</v>
      </c>
    </row>
    <row r="5" spans="1:43" x14ac:dyDescent="0.2">
      <c r="A5">
        <v>302401</v>
      </c>
      <c r="B5" t="s">
        <v>95</v>
      </c>
      <c r="C5">
        <v>7.1</v>
      </c>
      <c r="D5">
        <v>4494</v>
      </c>
      <c r="E5" t="s">
        <v>44</v>
      </c>
      <c r="F5" s="1">
        <v>42628</v>
      </c>
      <c r="G5">
        <v>37357216</v>
      </c>
      <c r="H5">
        <v>134</v>
      </c>
      <c r="I5">
        <v>40000000</v>
      </c>
      <c r="J5" t="s">
        <v>96</v>
      </c>
      <c r="K5" t="s">
        <v>46</v>
      </c>
      <c r="L5" t="s">
        <v>95</v>
      </c>
      <c r="M5" t="s">
        <v>97</v>
      </c>
      <c r="N5">
        <v>4.1216999999999997</v>
      </c>
      <c r="O5" t="s">
        <v>98</v>
      </c>
      <c r="P5" t="s">
        <v>99</v>
      </c>
      <c r="Q5" t="s">
        <v>100</v>
      </c>
      <c r="R5" t="s">
        <v>101</v>
      </c>
      <c r="S5" t="s">
        <v>102</v>
      </c>
      <c r="T5" t="s">
        <v>103</v>
      </c>
      <c r="U5" t="s">
        <v>104</v>
      </c>
      <c r="V5" t="s">
        <v>105</v>
      </c>
      <c r="W5" t="s">
        <v>106</v>
      </c>
      <c r="X5" t="s">
        <v>107</v>
      </c>
      <c r="Y5" t="s">
        <v>108</v>
      </c>
      <c r="Z5">
        <v>7.3</v>
      </c>
      <c r="AA5">
        <v>170510</v>
      </c>
      <c r="AB5" t="s">
        <v>109</v>
      </c>
      <c r="AC5">
        <v>9</v>
      </c>
      <c r="AD5">
        <v>2016</v>
      </c>
      <c r="AE5">
        <v>37</v>
      </c>
      <c r="AF5" t="s">
        <v>110</v>
      </c>
      <c r="AG5">
        <v>-40</v>
      </c>
      <c r="AH5">
        <v>17.436036677115599</v>
      </c>
      <c r="AI5">
        <v>0.42526918724672202</v>
      </c>
      <c r="AJ5" t="s">
        <v>61</v>
      </c>
      <c r="AK5" t="s">
        <v>111</v>
      </c>
      <c r="AL5">
        <v>50</v>
      </c>
      <c r="AM5">
        <v>1</v>
      </c>
      <c r="AN5">
        <v>66</v>
      </c>
      <c r="AO5">
        <v>0.02</v>
      </c>
      <c r="AP5" t="s">
        <v>63</v>
      </c>
      <c r="AQ5" t="s">
        <v>63</v>
      </c>
    </row>
    <row r="6" spans="1:43" x14ac:dyDescent="0.2">
      <c r="A6">
        <v>351211</v>
      </c>
      <c r="B6" t="s">
        <v>112</v>
      </c>
      <c r="C6">
        <v>5.2249999999999996</v>
      </c>
      <c r="D6">
        <v>1980</v>
      </c>
      <c r="E6" t="s">
        <v>44</v>
      </c>
      <c r="F6" s="1">
        <v>42628</v>
      </c>
      <c r="G6">
        <v>45172994</v>
      </c>
      <c r="H6">
        <v>89</v>
      </c>
      <c r="I6">
        <v>5000000</v>
      </c>
      <c r="J6" t="s">
        <v>113</v>
      </c>
      <c r="K6" t="s">
        <v>46</v>
      </c>
      <c r="L6" t="s">
        <v>112</v>
      </c>
      <c r="M6" t="s">
        <v>114</v>
      </c>
      <c r="N6">
        <v>3.5021</v>
      </c>
      <c r="O6" t="s">
        <v>115</v>
      </c>
      <c r="P6" t="s">
        <v>116</v>
      </c>
      <c r="Q6" t="s">
        <v>117</v>
      </c>
      <c r="R6" t="s">
        <v>118</v>
      </c>
      <c r="S6" t="s">
        <v>102</v>
      </c>
      <c r="T6" t="s">
        <v>119</v>
      </c>
      <c r="U6" t="s">
        <v>120</v>
      </c>
      <c r="V6" t="s">
        <v>121</v>
      </c>
      <c r="W6" t="s">
        <v>122</v>
      </c>
      <c r="X6" t="s">
        <v>123</v>
      </c>
      <c r="Y6" t="s">
        <v>120</v>
      </c>
      <c r="Z6">
        <v>5</v>
      </c>
      <c r="AA6">
        <v>52610</v>
      </c>
      <c r="AB6" t="s">
        <v>124</v>
      </c>
      <c r="AC6">
        <v>9</v>
      </c>
      <c r="AD6">
        <v>2016</v>
      </c>
      <c r="AE6">
        <v>37</v>
      </c>
      <c r="AF6" t="s">
        <v>125</v>
      </c>
      <c r="AG6">
        <v>-40</v>
      </c>
      <c r="AH6">
        <v>17.626010010502402</v>
      </c>
      <c r="AI6">
        <v>0.42990268318298602</v>
      </c>
      <c r="AJ6" t="s">
        <v>61</v>
      </c>
      <c r="AK6" t="s">
        <v>126</v>
      </c>
      <c r="AL6">
        <v>43</v>
      </c>
      <c r="AM6">
        <v>0</v>
      </c>
      <c r="AN6">
        <v>49</v>
      </c>
      <c r="AO6">
        <v>0</v>
      </c>
      <c r="AP6" t="s">
        <v>63</v>
      </c>
      <c r="AQ6" t="s">
        <v>63</v>
      </c>
    </row>
    <row r="7" spans="1:43" x14ac:dyDescent="0.2">
      <c r="A7">
        <v>332210</v>
      </c>
      <c r="B7" t="s">
        <v>127</v>
      </c>
      <c r="C7">
        <v>6.6669999999999998</v>
      </c>
      <c r="D7">
        <v>2443</v>
      </c>
      <c r="E7" t="s">
        <v>44</v>
      </c>
      <c r="F7" s="1">
        <v>42635</v>
      </c>
      <c r="G7">
        <v>182379278</v>
      </c>
      <c r="H7">
        <v>86</v>
      </c>
      <c r="I7">
        <v>70000000</v>
      </c>
      <c r="J7" t="s">
        <v>128</v>
      </c>
      <c r="K7" t="s">
        <v>46</v>
      </c>
      <c r="L7" t="s">
        <v>127</v>
      </c>
      <c r="M7" t="s">
        <v>129</v>
      </c>
      <c r="N7">
        <v>3.8546</v>
      </c>
      <c r="O7" t="s">
        <v>130</v>
      </c>
      <c r="P7" t="s">
        <v>131</v>
      </c>
      <c r="Q7" t="s">
        <v>132</v>
      </c>
      <c r="R7" t="s">
        <v>70</v>
      </c>
      <c r="S7" t="s">
        <v>102</v>
      </c>
      <c r="T7" t="s">
        <v>133</v>
      </c>
      <c r="U7" t="s">
        <v>134</v>
      </c>
      <c r="W7" t="s">
        <v>135</v>
      </c>
      <c r="X7" t="s">
        <v>136</v>
      </c>
      <c r="Y7" t="s">
        <v>137</v>
      </c>
      <c r="Z7">
        <v>6.8</v>
      </c>
      <c r="AA7">
        <v>71226</v>
      </c>
      <c r="AB7" t="s">
        <v>138</v>
      </c>
      <c r="AC7">
        <v>9</v>
      </c>
      <c r="AD7">
        <v>2016</v>
      </c>
      <c r="AE7">
        <v>38</v>
      </c>
      <c r="AF7" t="s">
        <v>139</v>
      </c>
      <c r="AG7">
        <v>-33</v>
      </c>
      <c r="AH7">
        <v>19.021599027177601</v>
      </c>
      <c r="AI7">
        <v>0.55945879491698902</v>
      </c>
      <c r="AJ7" t="s">
        <v>61</v>
      </c>
      <c r="AK7" t="s">
        <v>140</v>
      </c>
      <c r="AL7">
        <v>61</v>
      </c>
      <c r="AM7">
        <v>0</v>
      </c>
      <c r="AN7">
        <v>64</v>
      </c>
      <c r="AO7">
        <v>0</v>
      </c>
      <c r="AP7" t="s">
        <v>63</v>
      </c>
      <c r="AQ7" t="s">
        <v>63</v>
      </c>
    </row>
    <row r="8" spans="1:43" x14ac:dyDescent="0.2">
      <c r="A8">
        <v>340945</v>
      </c>
      <c r="B8" t="s">
        <v>141</v>
      </c>
      <c r="C8">
        <v>5.8780000000000001</v>
      </c>
      <c r="D8">
        <v>631</v>
      </c>
      <c r="E8" t="s">
        <v>44</v>
      </c>
      <c r="F8" s="1">
        <v>42635</v>
      </c>
      <c r="G8">
        <v>2158568</v>
      </c>
      <c r="H8">
        <v>128</v>
      </c>
      <c r="I8">
        <v>40000000</v>
      </c>
      <c r="J8" t="s">
        <v>142</v>
      </c>
      <c r="K8" t="s">
        <v>46</v>
      </c>
      <c r="L8" t="s">
        <v>141</v>
      </c>
      <c r="M8" t="s">
        <v>143</v>
      </c>
      <c r="N8">
        <v>3.1008</v>
      </c>
      <c r="O8" t="s">
        <v>144</v>
      </c>
      <c r="P8" t="s">
        <v>145</v>
      </c>
      <c r="Q8" t="s">
        <v>146</v>
      </c>
      <c r="R8" t="s">
        <v>70</v>
      </c>
      <c r="S8" t="s">
        <v>147</v>
      </c>
      <c r="T8" t="s">
        <v>148</v>
      </c>
      <c r="U8" t="s">
        <v>149</v>
      </c>
      <c r="V8" t="s">
        <v>150</v>
      </c>
      <c r="W8" t="s">
        <v>151</v>
      </c>
      <c r="X8" t="s">
        <v>152</v>
      </c>
      <c r="Y8" t="s">
        <v>153</v>
      </c>
      <c r="Z8">
        <v>5.3</v>
      </c>
      <c r="AA8">
        <v>15252</v>
      </c>
      <c r="AB8" t="s">
        <v>154</v>
      </c>
      <c r="AC8">
        <v>9</v>
      </c>
      <c r="AD8">
        <v>2016</v>
      </c>
      <c r="AE8">
        <v>38</v>
      </c>
      <c r="AF8" t="s">
        <v>155</v>
      </c>
      <c r="AG8">
        <v>-33</v>
      </c>
      <c r="AH8">
        <v>14.5849560601102</v>
      </c>
      <c r="AI8">
        <v>0.42896929588559501</v>
      </c>
      <c r="AJ8" t="s">
        <v>61</v>
      </c>
      <c r="AK8" t="s">
        <v>156</v>
      </c>
      <c r="AL8">
        <v>15</v>
      </c>
      <c r="AM8">
        <v>4</v>
      </c>
      <c r="AN8">
        <v>28</v>
      </c>
      <c r="AO8">
        <v>0.14000000000000001</v>
      </c>
      <c r="AP8" t="s">
        <v>63</v>
      </c>
      <c r="AQ8" t="s">
        <v>63</v>
      </c>
    </row>
    <row r="9" spans="1:43" x14ac:dyDescent="0.2">
      <c r="A9">
        <v>393559</v>
      </c>
      <c r="B9" t="s">
        <v>157</v>
      </c>
      <c r="C9">
        <v>7.8029999999999999</v>
      </c>
      <c r="D9">
        <v>1443</v>
      </c>
      <c r="E9" t="s">
        <v>44</v>
      </c>
      <c r="F9" s="1">
        <v>42635</v>
      </c>
      <c r="G9">
        <v>5873256</v>
      </c>
      <c r="H9">
        <v>66</v>
      </c>
      <c r="I9">
        <v>8000000</v>
      </c>
      <c r="J9" t="s">
        <v>158</v>
      </c>
      <c r="K9" t="s">
        <v>159</v>
      </c>
      <c r="L9" t="s">
        <v>160</v>
      </c>
      <c r="M9" t="s">
        <v>161</v>
      </c>
      <c r="N9">
        <v>2.7361</v>
      </c>
      <c r="O9" t="s">
        <v>162</v>
      </c>
      <c r="P9" t="s">
        <v>163</v>
      </c>
      <c r="Q9" t="s">
        <v>164</v>
      </c>
      <c r="R9" t="s">
        <v>165</v>
      </c>
      <c r="S9" t="s">
        <v>166</v>
      </c>
      <c r="T9" t="s">
        <v>167</v>
      </c>
      <c r="U9" t="s">
        <v>168</v>
      </c>
      <c r="V9" t="s">
        <v>169</v>
      </c>
      <c r="W9" t="s">
        <v>170</v>
      </c>
      <c r="X9" t="s">
        <v>171</v>
      </c>
      <c r="Y9" t="s">
        <v>172</v>
      </c>
      <c r="Z9">
        <v>7.8</v>
      </c>
      <c r="AA9">
        <v>32145</v>
      </c>
      <c r="AB9" t="s">
        <v>173</v>
      </c>
      <c r="AC9">
        <v>9</v>
      </c>
      <c r="AD9">
        <v>2016</v>
      </c>
      <c r="AE9">
        <v>38</v>
      </c>
      <c r="AF9" t="s">
        <v>174</v>
      </c>
      <c r="AG9">
        <v>-33</v>
      </c>
      <c r="AH9">
        <v>15.585919893124901</v>
      </c>
      <c r="AI9">
        <v>0.45840940862132201</v>
      </c>
      <c r="AJ9" t="s">
        <v>61</v>
      </c>
      <c r="AK9" t="s">
        <v>175</v>
      </c>
      <c r="AL9">
        <v>36</v>
      </c>
      <c r="AM9">
        <v>0</v>
      </c>
      <c r="AN9">
        <v>104</v>
      </c>
      <c r="AO9">
        <v>0</v>
      </c>
      <c r="AP9" t="s">
        <v>63</v>
      </c>
      <c r="AQ9" t="s">
        <v>63</v>
      </c>
    </row>
    <row r="10" spans="1:43" x14ac:dyDescent="0.2">
      <c r="A10">
        <v>317557</v>
      </c>
      <c r="B10" t="s">
        <v>176</v>
      </c>
      <c r="C10">
        <v>7.2</v>
      </c>
      <c r="D10">
        <v>446</v>
      </c>
      <c r="E10" t="s">
        <v>44</v>
      </c>
      <c r="F10" s="1">
        <v>42636</v>
      </c>
      <c r="G10">
        <v>10367161</v>
      </c>
      <c r="H10">
        <v>124</v>
      </c>
      <c r="I10">
        <v>15000000</v>
      </c>
      <c r="J10" t="s">
        <v>177</v>
      </c>
      <c r="K10" t="s">
        <v>46</v>
      </c>
      <c r="L10" t="s">
        <v>176</v>
      </c>
      <c r="M10" t="s">
        <v>178</v>
      </c>
      <c r="N10">
        <v>2.7559999999999998</v>
      </c>
      <c r="O10" t="s">
        <v>179</v>
      </c>
      <c r="P10" t="s">
        <v>180</v>
      </c>
      <c r="Q10" t="s">
        <v>181</v>
      </c>
      <c r="R10" t="s">
        <v>70</v>
      </c>
      <c r="S10" t="s">
        <v>102</v>
      </c>
      <c r="T10" t="s">
        <v>182</v>
      </c>
      <c r="U10" t="s">
        <v>183</v>
      </c>
      <c r="V10" t="s">
        <v>184</v>
      </c>
      <c r="W10" t="s">
        <v>185</v>
      </c>
      <c r="X10" t="s">
        <v>186</v>
      </c>
      <c r="Y10" t="s">
        <v>187</v>
      </c>
      <c r="Z10">
        <v>7.4</v>
      </c>
      <c r="AA10">
        <v>19692</v>
      </c>
      <c r="AB10" t="s">
        <v>188</v>
      </c>
      <c r="AC10">
        <v>9</v>
      </c>
      <c r="AD10">
        <v>2016</v>
      </c>
      <c r="AE10">
        <v>38</v>
      </c>
      <c r="AF10" t="s">
        <v>189</v>
      </c>
      <c r="AG10">
        <v>-32</v>
      </c>
      <c r="AH10">
        <v>16.154153868690301</v>
      </c>
      <c r="AI10">
        <v>0.48951981420273699</v>
      </c>
      <c r="AJ10" t="s">
        <v>61</v>
      </c>
      <c r="AK10" t="s">
        <v>190</v>
      </c>
      <c r="AL10">
        <v>19</v>
      </c>
      <c r="AM10">
        <v>1</v>
      </c>
      <c r="AN10">
        <v>28</v>
      </c>
      <c r="AO10">
        <v>0.04</v>
      </c>
      <c r="AP10" t="s">
        <v>63</v>
      </c>
      <c r="AQ10" t="s">
        <v>63</v>
      </c>
    </row>
    <row r="11" spans="1:43" x14ac:dyDescent="0.2">
      <c r="A11">
        <v>283366</v>
      </c>
      <c r="B11" t="s">
        <v>191</v>
      </c>
      <c r="C11">
        <v>6.8</v>
      </c>
      <c r="D11">
        <v>10279</v>
      </c>
      <c r="E11" t="s">
        <v>44</v>
      </c>
      <c r="F11" s="1">
        <v>42640</v>
      </c>
      <c r="G11">
        <v>296482446</v>
      </c>
      <c r="H11">
        <v>127</v>
      </c>
      <c r="I11">
        <v>110000000</v>
      </c>
      <c r="J11" t="s">
        <v>192</v>
      </c>
      <c r="K11" t="s">
        <v>46</v>
      </c>
      <c r="L11" t="s">
        <v>191</v>
      </c>
      <c r="M11" t="s">
        <v>193</v>
      </c>
      <c r="N11">
        <v>6.3255999999999997</v>
      </c>
      <c r="O11" t="s">
        <v>194</v>
      </c>
      <c r="P11" t="s">
        <v>195</v>
      </c>
      <c r="Q11" t="s">
        <v>196</v>
      </c>
      <c r="R11" t="s">
        <v>70</v>
      </c>
      <c r="S11" t="s">
        <v>102</v>
      </c>
      <c r="T11" t="s">
        <v>197</v>
      </c>
      <c r="U11" t="s">
        <v>198</v>
      </c>
      <c r="V11" t="s">
        <v>199</v>
      </c>
      <c r="W11" t="s">
        <v>200</v>
      </c>
      <c r="X11" t="s">
        <v>201</v>
      </c>
      <c r="Y11" t="s">
        <v>202</v>
      </c>
      <c r="Z11">
        <v>6.7</v>
      </c>
      <c r="AA11">
        <v>204891</v>
      </c>
      <c r="AB11" t="s">
        <v>203</v>
      </c>
      <c r="AC11">
        <v>9</v>
      </c>
      <c r="AD11">
        <v>2016</v>
      </c>
      <c r="AE11">
        <v>39</v>
      </c>
      <c r="AF11" t="s">
        <v>204</v>
      </c>
      <c r="AG11">
        <v>-28</v>
      </c>
      <c r="AH11">
        <v>19.507498573974999</v>
      </c>
      <c r="AI11">
        <v>0.67267236461983004</v>
      </c>
      <c r="AJ11" t="s">
        <v>61</v>
      </c>
      <c r="AK11" t="s">
        <v>205</v>
      </c>
      <c r="AL11">
        <v>61</v>
      </c>
      <c r="AM11">
        <v>0</v>
      </c>
      <c r="AN11">
        <v>63</v>
      </c>
      <c r="AO11">
        <v>0</v>
      </c>
      <c r="AP11" t="s">
        <v>63</v>
      </c>
      <c r="AQ11" t="s">
        <v>63</v>
      </c>
    </row>
    <row r="12" spans="1:43" x14ac:dyDescent="0.2">
      <c r="A12">
        <v>296524</v>
      </c>
      <c r="B12" t="s">
        <v>206</v>
      </c>
      <c r="C12">
        <v>6.9</v>
      </c>
      <c r="D12">
        <v>4692</v>
      </c>
      <c r="E12" t="s">
        <v>44</v>
      </c>
      <c r="F12" s="1">
        <v>42641</v>
      </c>
      <c r="G12">
        <v>121790376</v>
      </c>
      <c r="H12">
        <v>107</v>
      </c>
      <c r="I12">
        <v>110000000</v>
      </c>
      <c r="J12" t="s">
        <v>207</v>
      </c>
      <c r="K12" t="s">
        <v>46</v>
      </c>
      <c r="L12" t="s">
        <v>206</v>
      </c>
      <c r="M12" t="s">
        <v>208</v>
      </c>
      <c r="N12">
        <v>4.7046999999999999</v>
      </c>
      <c r="O12" t="s">
        <v>209</v>
      </c>
      <c r="P12" t="s">
        <v>210</v>
      </c>
      <c r="Q12" t="s">
        <v>211</v>
      </c>
      <c r="R12" t="s">
        <v>212</v>
      </c>
      <c r="S12" t="s">
        <v>102</v>
      </c>
      <c r="T12" t="s">
        <v>213</v>
      </c>
      <c r="U12" t="s">
        <v>214</v>
      </c>
      <c r="V12" t="s">
        <v>215</v>
      </c>
      <c r="W12" t="s">
        <v>216</v>
      </c>
      <c r="X12" t="s">
        <v>217</v>
      </c>
      <c r="Y12" t="s">
        <v>218</v>
      </c>
      <c r="Z12">
        <v>7.1</v>
      </c>
      <c r="AA12">
        <v>195342</v>
      </c>
      <c r="AB12" t="s">
        <v>219</v>
      </c>
      <c r="AC12">
        <v>9</v>
      </c>
      <c r="AD12">
        <v>2016</v>
      </c>
      <c r="AE12">
        <v>39</v>
      </c>
      <c r="AF12" t="s">
        <v>220</v>
      </c>
      <c r="AG12">
        <v>-27</v>
      </c>
      <c r="AH12">
        <v>18.617811903550699</v>
      </c>
      <c r="AI12">
        <v>0.66492185369823997</v>
      </c>
      <c r="AJ12" t="s">
        <v>61</v>
      </c>
      <c r="AK12" t="s">
        <v>221</v>
      </c>
      <c r="AL12">
        <v>74</v>
      </c>
      <c r="AM12">
        <v>2</v>
      </c>
      <c r="AN12">
        <v>81</v>
      </c>
      <c r="AO12">
        <v>0.02</v>
      </c>
      <c r="AP12" t="s">
        <v>63</v>
      </c>
      <c r="AQ12" t="s">
        <v>63</v>
      </c>
    </row>
    <row r="13" spans="1:43" x14ac:dyDescent="0.2">
      <c r="A13">
        <v>213681</v>
      </c>
      <c r="B13" t="s">
        <v>222</v>
      </c>
      <c r="C13">
        <v>5.7560000000000002</v>
      </c>
      <c r="D13">
        <v>1792</v>
      </c>
      <c r="E13" t="s">
        <v>44</v>
      </c>
      <c r="F13" s="1">
        <v>42642</v>
      </c>
      <c r="G13">
        <v>29200000</v>
      </c>
      <c r="H13">
        <v>95</v>
      </c>
      <c r="I13">
        <v>25000000</v>
      </c>
      <c r="J13" t="s">
        <v>223</v>
      </c>
      <c r="K13" t="s">
        <v>46</v>
      </c>
      <c r="L13" t="s">
        <v>222</v>
      </c>
      <c r="M13" t="s">
        <v>224</v>
      </c>
      <c r="N13">
        <v>2.8809</v>
      </c>
      <c r="O13" t="s">
        <v>225</v>
      </c>
      <c r="P13" t="s">
        <v>226</v>
      </c>
      <c r="Q13" t="s">
        <v>227</v>
      </c>
      <c r="R13" t="s">
        <v>70</v>
      </c>
      <c r="S13" t="s">
        <v>228</v>
      </c>
      <c r="T13" t="s">
        <v>229</v>
      </c>
      <c r="U13" t="s">
        <v>230</v>
      </c>
      <c r="V13" t="s">
        <v>231</v>
      </c>
      <c r="W13" t="s">
        <v>232</v>
      </c>
      <c r="X13" t="s">
        <v>233</v>
      </c>
      <c r="Y13" t="s">
        <v>234</v>
      </c>
      <c r="Z13">
        <v>5.8</v>
      </c>
      <c r="AA13">
        <v>64534</v>
      </c>
      <c r="AB13" t="s">
        <v>235</v>
      </c>
      <c r="AC13">
        <v>9</v>
      </c>
      <c r="AD13">
        <v>2016</v>
      </c>
      <c r="AE13">
        <v>39</v>
      </c>
      <c r="AF13" t="s">
        <v>236</v>
      </c>
      <c r="AG13">
        <v>-26</v>
      </c>
      <c r="AH13">
        <v>17.189679301485</v>
      </c>
      <c r="AI13">
        <v>0.63665478894389205</v>
      </c>
      <c r="AJ13" t="s">
        <v>61</v>
      </c>
      <c r="AK13" t="s">
        <v>237</v>
      </c>
      <c r="AL13">
        <v>40</v>
      </c>
      <c r="AM13">
        <v>0</v>
      </c>
      <c r="AN13">
        <v>44</v>
      </c>
      <c r="AO13">
        <v>0</v>
      </c>
      <c r="AP13" t="s">
        <v>63</v>
      </c>
      <c r="AQ13" t="s">
        <v>63</v>
      </c>
    </row>
    <row r="14" spans="1:43" x14ac:dyDescent="0.2">
      <c r="A14">
        <v>376565</v>
      </c>
      <c r="B14" t="s">
        <v>238</v>
      </c>
      <c r="C14">
        <v>6.242</v>
      </c>
      <c r="D14">
        <v>97</v>
      </c>
      <c r="E14" t="s">
        <v>44</v>
      </c>
      <c r="F14" s="1">
        <v>42642</v>
      </c>
      <c r="G14">
        <v>6101904</v>
      </c>
      <c r="H14">
        <v>110</v>
      </c>
      <c r="I14">
        <v>12800000</v>
      </c>
      <c r="J14" t="s">
        <v>239</v>
      </c>
      <c r="K14" t="s">
        <v>240</v>
      </c>
      <c r="L14" t="s">
        <v>241</v>
      </c>
      <c r="M14" t="s">
        <v>242</v>
      </c>
      <c r="N14">
        <v>1.6676</v>
      </c>
      <c r="O14" t="s">
        <v>243</v>
      </c>
      <c r="P14" t="s">
        <v>244</v>
      </c>
      <c r="Q14" t="s">
        <v>245</v>
      </c>
      <c r="R14" t="s">
        <v>246</v>
      </c>
      <c r="S14" t="s">
        <v>247</v>
      </c>
      <c r="T14" t="s">
        <v>248</v>
      </c>
      <c r="U14" t="s">
        <v>249</v>
      </c>
      <c r="V14" t="s">
        <v>250</v>
      </c>
      <c r="W14" t="s">
        <v>249</v>
      </c>
      <c r="X14" t="s">
        <v>251</v>
      </c>
      <c r="Y14" t="s">
        <v>252</v>
      </c>
      <c r="Z14">
        <v>6.3</v>
      </c>
      <c r="AA14">
        <v>3501</v>
      </c>
      <c r="AB14" t="s">
        <v>253</v>
      </c>
      <c r="AC14">
        <v>9</v>
      </c>
      <c r="AD14">
        <v>2016</v>
      </c>
      <c r="AE14">
        <v>39</v>
      </c>
      <c r="AF14" t="s">
        <v>254</v>
      </c>
      <c r="AG14">
        <v>-26</v>
      </c>
      <c r="AH14">
        <v>15.624111575471501</v>
      </c>
      <c r="AI14">
        <v>0.57867079909153796</v>
      </c>
      <c r="AJ14" t="s">
        <v>61</v>
      </c>
      <c r="AK14" t="s">
        <v>255</v>
      </c>
      <c r="AL14">
        <v>5</v>
      </c>
      <c r="AM14">
        <v>0</v>
      </c>
      <c r="AN14">
        <v>9</v>
      </c>
      <c r="AO14">
        <v>0</v>
      </c>
      <c r="AP14" t="s">
        <v>63</v>
      </c>
      <c r="AQ14" t="s">
        <v>63</v>
      </c>
    </row>
    <row r="15" spans="1:43" x14ac:dyDescent="0.2">
      <c r="A15">
        <v>396616</v>
      </c>
      <c r="B15" t="s">
        <v>256</v>
      </c>
      <c r="C15">
        <v>6.9</v>
      </c>
      <c r="D15">
        <v>167</v>
      </c>
      <c r="E15" t="s">
        <v>44</v>
      </c>
      <c r="F15" s="1">
        <v>42642</v>
      </c>
      <c r="G15">
        <v>9100000</v>
      </c>
      <c r="H15">
        <v>133</v>
      </c>
      <c r="I15">
        <v>7500000</v>
      </c>
      <c r="J15" t="s">
        <v>257</v>
      </c>
      <c r="K15" t="s">
        <v>63</v>
      </c>
      <c r="L15" t="s">
        <v>258</v>
      </c>
      <c r="M15" t="s">
        <v>259</v>
      </c>
      <c r="N15">
        <v>2.5173000000000001</v>
      </c>
      <c r="O15" t="s">
        <v>260</v>
      </c>
      <c r="P15" t="s">
        <v>261</v>
      </c>
      <c r="Q15" t="s">
        <v>262</v>
      </c>
      <c r="R15" t="s">
        <v>263</v>
      </c>
      <c r="S15" t="s">
        <v>264</v>
      </c>
      <c r="T15" t="s">
        <v>265</v>
      </c>
      <c r="U15" t="s">
        <v>266</v>
      </c>
      <c r="V15" t="s">
        <v>267</v>
      </c>
      <c r="W15" t="s">
        <v>268</v>
      </c>
      <c r="X15" t="s">
        <v>269</v>
      </c>
      <c r="Y15" t="s">
        <v>270</v>
      </c>
      <c r="Z15">
        <v>7.1</v>
      </c>
      <c r="AA15">
        <v>10803</v>
      </c>
      <c r="AB15" t="s">
        <v>271</v>
      </c>
      <c r="AC15">
        <v>9</v>
      </c>
      <c r="AD15">
        <v>2016</v>
      </c>
      <c r="AE15">
        <v>39</v>
      </c>
      <c r="AF15" t="s">
        <v>272</v>
      </c>
      <c r="AG15">
        <v>-26</v>
      </c>
      <c r="AH15">
        <v>16.023785081377099</v>
      </c>
      <c r="AI15">
        <v>0.593473521532488</v>
      </c>
      <c r="AJ15" t="s">
        <v>61</v>
      </c>
      <c r="AK15" t="s">
        <v>273</v>
      </c>
      <c r="AL15">
        <v>10</v>
      </c>
      <c r="AM15">
        <v>0</v>
      </c>
      <c r="AN15">
        <v>30</v>
      </c>
      <c r="AO15">
        <v>0</v>
      </c>
      <c r="AP15" t="s">
        <v>63</v>
      </c>
      <c r="AQ15" t="s">
        <v>63</v>
      </c>
    </row>
    <row r="16" spans="1:43" x14ac:dyDescent="0.2">
      <c r="A16">
        <v>402298</v>
      </c>
      <c r="B16" t="s">
        <v>274</v>
      </c>
      <c r="C16">
        <v>6.8</v>
      </c>
      <c r="D16">
        <v>677</v>
      </c>
      <c r="E16" t="s">
        <v>44</v>
      </c>
      <c r="F16" s="1">
        <v>42643</v>
      </c>
      <c r="G16">
        <v>7994527</v>
      </c>
      <c r="H16">
        <v>109</v>
      </c>
      <c r="I16">
        <v>10000000</v>
      </c>
      <c r="J16" t="s">
        <v>275</v>
      </c>
      <c r="K16" t="s">
        <v>46</v>
      </c>
      <c r="L16" t="s">
        <v>274</v>
      </c>
      <c r="M16" t="s">
        <v>276</v>
      </c>
      <c r="N16">
        <v>1.0846</v>
      </c>
      <c r="O16" t="s">
        <v>277</v>
      </c>
      <c r="P16" t="s">
        <v>278</v>
      </c>
      <c r="Q16" t="s">
        <v>279</v>
      </c>
      <c r="R16" t="s">
        <v>86</v>
      </c>
      <c r="S16" t="s">
        <v>102</v>
      </c>
      <c r="T16" t="s">
        <v>280</v>
      </c>
      <c r="U16" t="s">
        <v>281</v>
      </c>
      <c r="V16" t="s">
        <v>282</v>
      </c>
      <c r="W16" t="s">
        <v>283</v>
      </c>
      <c r="X16" t="s">
        <v>284</v>
      </c>
      <c r="Y16" t="s">
        <v>285</v>
      </c>
      <c r="Z16">
        <v>6.8</v>
      </c>
      <c r="AA16">
        <v>24675</v>
      </c>
      <c r="AB16" t="s">
        <v>286</v>
      </c>
      <c r="AC16">
        <v>9</v>
      </c>
      <c r="AD16">
        <v>2016</v>
      </c>
      <c r="AE16">
        <v>39</v>
      </c>
      <c r="AF16" t="s">
        <v>287</v>
      </c>
      <c r="AG16">
        <v>-25</v>
      </c>
      <c r="AH16">
        <v>15.894267865609301</v>
      </c>
      <c r="AI16">
        <v>0.61131799483113003</v>
      </c>
      <c r="AJ16" t="s">
        <v>61</v>
      </c>
      <c r="AK16" t="s">
        <v>288</v>
      </c>
      <c r="AL16">
        <v>21</v>
      </c>
      <c r="AM16">
        <v>0</v>
      </c>
      <c r="AN16">
        <v>30</v>
      </c>
      <c r="AO16">
        <v>0</v>
      </c>
      <c r="AP16" t="s">
        <v>63</v>
      </c>
      <c r="AQ16" t="s">
        <v>63</v>
      </c>
    </row>
    <row r="17" spans="1:43" x14ac:dyDescent="0.2">
      <c r="A17">
        <v>418325</v>
      </c>
      <c r="B17" t="s">
        <v>289</v>
      </c>
      <c r="C17">
        <v>7.9</v>
      </c>
      <c r="D17">
        <v>50</v>
      </c>
      <c r="E17" t="s">
        <v>44</v>
      </c>
      <c r="F17" s="1">
        <v>42643</v>
      </c>
      <c r="G17">
        <v>246840</v>
      </c>
      <c r="H17">
        <v>144</v>
      </c>
      <c r="I17">
        <v>405606</v>
      </c>
      <c r="J17" t="s">
        <v>290</v>
      </c>
      <c r="K17" t="s">
        <v>291</v>
      </c>
      <c r="L17" t="s">
        <v>292</v>
      </c>
      <c r="M17" t="s">
        <v>293</v>
      </c>
      <c r="N17">
        <v>1.4114</v>
      </c>
      <c r="O17" t="s">
        <v>289</v>
      </c>
      <c r="P17" t="s">
        <v>294</v>
      </c>
      <c r="Q17" t="s">
        <v>295</v>
      </c>
      <c r="R17" t="s">
        <v>296</v>
      </c>
      <c r="S17" t="s">
        <v>297</v>
      </c>
      <c r="T17" t="s">
        <v>298</v>
      </c>
      <c r="U17" t="s">
        <v>299</v>
      </c>
      <c r="V17" t="s">
        <v>300</v>
      </c>
      <c r="W17" t="s">
        <v>301</v>
      </c>
      <c r="X17" t="s">
        <v>302</v>
      </c>
      <c r="Y17" t="s">
        <v>303</v>
      </c>
      <c r="Z17">
        <v>8.9</v>
      </c>
      <c r="AA17">
        <v>30827</v>
      </c>
      <c r="AB17" t="s">
        <v>304</v>
      </c>
      <c r="AC17">
        <v>9</v>
      </c>
      <c r="AD17">
        <v>2016</v>
      </c>
      <c r="AE17">
        <v>39</v>
      </c>
      <c r="AF17" t="s">
        <v>305</v>
      </c>
      <c r="AG17">
        <v>-25</v>
      </c>
      <c r="AH17">
        <v>12.416499683633999</v>
      </c>
      <c r="AI17">
        <v>0.47755768013977101</v>
      </c>
      <c r="AJ17" t="s">
        <v>61</v>
      </c>
      <c r="AK17" t="s">
        <v>306</v>
      </c>
      <c r="AL17">
        <v>2</v>
      </c>
      <c r="AM17">
        <v>1</v>
      </c>
      <c r="AN17">
        <v>8</v>
      </c>
      <c r="AO17">
        <v>0.12</v>
      </c>
      <c r="AP17" t="s">
        <v>63</v>
      </c>
      <c r="AQ17" t="s">
        <v>63</v>
      </c>
    </row>
    <row r="18" spans="1:43" x14ac:dyDescent="0.2">
      <c r="A18">
        <v>346685</v>
      </c>
      <c r="B18" t="s">
        <v>307</v>
      </c>
      <c r="C18">
        <v>6.4409999999999998</v>
      </c>
      <c r="D18">
        <v>5877</v>
      </c>
      <c r="E18" t="s">
        <v>44</v>
      </c>
      <c r="F18" s="1">
        <v>42648</v>
      </c>
      <c r="G18">
        <v>173200000</v>
      </c>
      <c r="H18">
        <v>112</v>
      </c>
      <c r="I18">
        <v>45000000</v>
      </c>
      <c r="J18" t="s">
        <v>308</v>
      </c>
      <c r="K18" t="s">
        <v>46</v>
      </c>
      <c r="L18" t="s">
        <v>307</v>
      </c>
      <c r="M18" t="s">
        <v>309</v>
      </c>
      <c r="N18">
        <v>2.7671000000000001</v>
      </c>
      <c r="O18" t="s">
        <v>310</v>
      </c>
      <c r="P18" t="s">
        <v>294</v>
      </c>
      <c r="Q18" t="s">
        <v>311</v>
      </c>
      <c r="R18" t="s">
        <v>312</v>
      </c>
      <c r="S18" t="s">
        <v>313</v>
      </c>
      <c r="T18" t="s">
        <v>314</v>
      </c>
      <c r="U18" t="s">
        <v>315</v>
      </c>
      <c r="V18" t="s">
        <v>316</v>
      </c>
      <c r="W18" t="s">
        <v>317</v>
      </c>
      <c r="X18" t="s">
        <v>318</v>
      </c>
      <c r="Y18" t="s">
        <v>319</v>
      </c>
      <c r="Z18">
        <v>6.5</v>
      </c>
      <c r="AA18">
        <v>208424</v>
      </c>
      <c r="AB18" t="s">
        <v>320</v>
      </c>
      <c r="AC18">
        <v>10</v>
      </c>
      <c r="AD18">
        <v>2016</v>
      </c>
      <c r="AE18">
        <v>40</v>
      </c>
      <c r="AF18" t="s">
        <v>321</v>
      </c>
      <c r="AG18">
        <v>-20</v>
      </c>
      <c r="AH18">
        <v>18.969957559866199</v>
      </c>
      <c r="AI18">
        <v>0.90333131237458397</v>
      </c>
      <c r="AJ18" t="s">
        <v>61</v>
      </c>
      <c r="AK18" t="s">
        <v>322</v>
      </c>
      <c r="AL18">
        <v>56</v>
      </c>
      <c r="AM18">
        <v>0</v>
      </c>
      <c r="AN18">
        <v>60</v>
      </c>
      <c r="AO18">
        <v>0</v>
      </c>
      <c r="AP18" t="s">
        <v>63</v>
      </c>
      <c r="AQ18" t="s">
        <v>63</v>
      </c>
    </row>
    <row r="19" spans="1:43" x14ac:dyDescent="0.2">
      <c r="A19">
        <v>258230</v>
      </c>
      <c r="B19" t="s">
        <v>323</v>
      </c>
      <c r="C19">
        <v>7.2869999999999999</v>
      </c>
      <c r="D19">
        <v>3468</v>
      </c>
      <c r="E19" t="s">
        <v>44</v>
      </c>
      <c r="F19" s="1">
        <v>42650</v>
      </c>
      <c r="G19">
        <v>47309313</v>
      </c>
      <c r="H19">
        <v>108</v>
      </c>
      <c r="I19">
        <v>43000000</v>
      </c>
      <c r="J19" t="s">
        <v>324</v>
      </c>
      <c r="K19" t="s">
        <v>46</v>
      </c>
      <c r="L19" t="s">
        <v>323</v>
      </c>
      <c r="M19" t="s">
        <v>325</v>
      </c>
      <c r="N19">
        <v>3.2679</v>
      </c>
      <c r="O19" t="s">
        <v>326</v>
      </c>
      <c r="P19" t="s">
        <v>327</v>
      </c>
      <c r="Q19" t="s">
        <v>328</v>
      </c>
      <c r="R19" t="s">
        <v>329</v>
      </c>
      <c r="S19" t="s">
        <v>102</v>
      </c>
      <c r="T19" t="s">
        <v>330</v>
      </c>
      <c r="U19" t="s">
        <v>331</v>
      </c>
      <c r="V19" t="s">
        <v>332</v>
      </c>
      <c r="W19" t="s">
        <v>333</v>
      </c>
      <c r="X19" t="s">
        <v>334</v>
      </c>
      <c r="Y19" t="s">
        <v>335</v>
      </c>
      <c r="Z19">
        <v>7.4</v>
      </c>
      <c r="AA19">
        <v>97742</v>
      </c>
      <c r="AB19" t="s">
        <v>336</v>
      </c>
      <c r="AC19">
        <v>10</v>
      </c>
      <c r="AD19">
        <v>2016</v>
      </c>
      <c r="AE19">
        <v>40</v>
      </c>
      <c r="AF19" t="s">
        <v>337</v>
      </c>
      <c r="AG19">
        <v>-18</v>
      </c>
      <c r="AH19">
        <v>17.672217747396498</v>
      </c>
      <c r="AI19">
        <v>0.930116723547185</v>
      </c>
      <c r="AJ19" t="s">
        <v>61</v>
      </c>
      <c r="AK19" t="s">
        <v>338</v>
      </c>
      <c r="AL19">
        <v>58</v>
      </c>
      <c r="AM19">
        <v>0</v>
      </c>
      <c r="AN19">
        <v>75</v>
      </c>
      <c r="AO19">
        <v>0</v>
      </c>
      <c r="AP19" t="s">
        <v>63</v>
      </c>
      <c r="AQ19" t="s">
        <v>63</v>
      </c>
    </row>
    <row r="20" spans="1:43" x14ac:dyDescent="0.2">
      <c r="A20">
        <v>324786</v>
      </c>
      <c r="B20" t="s">
        <v>339</v>
      </c>
      <c r="C20">
        <v>8.1999999999999993</v>
      </c>
      <c r="D20">
        <v>14396</v>
      </c>
      <c r="E20" t="s">
        <v>44</v>
      </c>
      <c r="F20" s="1">
        <v>42650</v>
      </c>
      <c r="G20">
        <v>175302354</v>
      </c>
      <c r="H20">
        <v>139</v>
      </c>
      <c r="I20">
        <v>40000000</v>
      </c>
      <c r="J20" t="s">
        <v>340</v>
      </c>
      <c r="K20" t="s">
        <v>46</v>
      </c>
      <c r="L20" t="s">
        <v>339</v>
      </c>
      <c r="M20" t="s">
        <v>341</v>
      </c>
      <c r="N20">
        <v>10.2372</v>
      </c>
      <c r="O20" t="s">
        <v>342</v>
      </c>
      <c r="P20" t="s">
        <v>343</v>
      </c>
      <c r="Q20" t="s">
        <v>344</v>
      </c>
      <c r="R20" t="s">
        <v>345</v>
      </c>
      <c r="S20" t="s">
        <v>346</v>
      </c>
      <c r="T20" t="s">
        <v>347</v>
      </c>
      <c r="U20" t="s">
        <v>348</v>
      </c>
      <c r="V20" t="s">
        <v>349</v>
      </c>
      <c r="W20" t="s">
        <v>350</v>
      </c>
      <c r="X20" t="s">
        <v>351</v>
      </c>
      <c r="Y20" t="s">
        <v>352</v>
      </c>
      <c r="Z20">
        <v>8.1</v>
      </c>
      <c r="AA20">
        <v>658855</v>
      </c>
      <c r="AB20" t="s">
        <v>353</v>
      </c>
      <c r="AC20">
        <v>10</v>
      </c>
      <c r="AD20">
        <v>2016</v>
      </c>
      <c r="AE20">
        <v>40</v>
      </c>
      <c r="AF20" t="s">
        <v>354</v>
      </c>
      <c r="AG20">
        <v>-18</v>
      </c>
      <c r="AH20">
        <v>18.9820227839141</v>
      </c>
      <c r="AI20">
        <v>0.99905383073232501</v>
      </c>
      <c r="AJ20" t="s">
        <v>61</v>
      </c>
      <c r="AK20" t="s">
        <v>355</v>
      </c>
      <c r="AL20">
        <v>57</v>
      </c>
      <c r="AM20">
        <v>1</v>
      </c>
      <c r="AN20">
        <v>68</v>
      </c>
      <c r="AO20">
        <v>0.01</v>
      </c>
      <c r="AP20" t="s">
        <v>63</v>
      </c>
      <c r="AQ20" t="s">
        <v>63</v>
      </c>
    </row>
    <row r="21" spans="1:43" x14ac:dyDescent="0.2">
      <c r="A21">
        <v>369883</v>
      </c>
      <c r="B21" t="s">
        <v>356</v>
      </c>
      <c r="C21">
        <v>6.9</v>
      </c>
      <c r="D21">
        <v>435</v>
      </c>
      <c r="E21" t="s">
        <v>44</v>
      </c>
      <c r="F21" s="1">
        <v>42650</v>
      </c>
      <c r="G21">
        <v>23316139</v>
      </c>
      <c r="H21">
        <v>92</v>
      </c>
      <c r="I21">
        <v>8500000</v>
      </c>
      <c r="J21" t="s">
        <v>357</v>
      </c>
      <c r="K21" t="s">
        <v>46</v>
      </c>
      <c r="L21" t="s">
        <v>356</v>
      </c>
      <c r="M21" t="s">
        <v>358</v>
      </c>
      <c r="N21">
        <v>1.5527</v>
      </c>
      <c r="O21" t="s">
        <v>359</v>
      </c>
      <c r="P21" t="s">
        <v>360</v>
      </c>
      <c r="Q21" t="s">
        <v>361</v>
      </c>
      <c r="R21" t="s">
        <v>70</v>
      </c>
      <c r="S21" t="s">
        <v>362</v>
      </c>
      <c r="T21" t="s">
        <v>363</v>
      </c>
      <c r="U21" t="s">
        <v>364</v>
      </c>
      <c r="V21" t="s">
        <v>365</v>
      </c>
      <c r="W21" t="s">
        <v>366</v>
      </c>
      <c r="X21" t="s">
        <v>367</v>
      </c>
      <c r="Y21" t="s">
        <v>368</v>
      </c>
      <c r="Z21">
        <v>6.1</v>
      </c>
      <c r="AA21">
        <v>10720</v>
      </c>
      <c r="AB21" t="s">
        <v>369</v>
      </c>
      <c r="AC21">
        <v>10</v>
      </c>
      <c r="AD21">
        <v>2016</v>
      </c>
      <c r="AE21">
        <v>40</v>
      </c>
      <c r="AF21" t="s">
        <v>370</v>
      </c>
      <c r="AG21">
        <v>-18</v>
      </c>
      <c r="AH21">
        <v>16.96465638259</v>
      </c>
      <c r="AI21">
        <v>0.89287665171526298</v>
      </c>
      <c r="AJ21" t="s">
        <v>61</v>
      </c>
      <c r="AK21" t="s">
        <v>371</v>
      </c>
      <c r="AL21">
        <v>15</v>
      </c>
      <c r="AM21">
        <v>4</v>
      </c>
      <c r="AN21">
        <v>23</v>
      </c>
      <c r="AO21">
        <v>0.17</v>
      </c>
      <c r="AP21" t="s">
        <v>63</v>
      </c>
      <c r="AQ21" t="s">
        <v>63</v>
      </c>
    </row>
    <row r="22" spans="1:43" x14ac:dyDescent="0.2">
      <c r="A22">
        <v>403540</v>
      </c>
      <c r="B22" t="s">
        <v>372</v>
      </c>
      <c r="C22">
        <v>6.2</v>
      </c>
      <c r="D22">
        <v>19</v>
      </c>
      <c r="E22" t="s">
        <v>44</v>
      </c>
      <c r="F22" s="1">
        <v>42650</v>
      </c>
      <c r="G22">
        <v>1500000</v>
      </c>
      <c r="H22">
        <v>129</v>
      </c>
      <c r="I22">
        <v>6750000</v>
      </c>
      <c r="J22" t="s">
        <v>373</v>
      </c>
      <c r="K22" t="s">
        <v>374</v>
      </c>
      <c r="L22" t="s">
        <v>375</v>
      </c>
      <c r="M22" t="s">
        <v>376</v>
      </c>
      <c r="N22">
        <v>0.8</v>
      </c>
      <c r="O22" t="s">
        <v>377</v>
      </c>
      <c r="P22" t="s">
        <v>378</v>
      </c>
      <c r="Q22" t="s">
        <v>379</v>
      </c>
      <c r="R22" t="s">
        <v>380</v>
      </c>
      <c r="S22" t="s">
        <v>381</v>
      </c>
      <c r="T22" t="s">
        <v>382</v>
      </c>
      <c r="U22" t="s">
        <v>383</v>
      </c>
      <c r="V22" t="s">
        <v>384</v>
      </c>
      <c r="W22" t="s">
        <v>385</v>
      </c>
      <c r="X22" t="s">
        <v>386</v>
      </c>
      <c r="Y22" t="s">
        <v>387</v>
      </c>
      <c r="Z22">
        <v>4.5999999999999996</v>
      </c>
      <c r="AA22">
        <v>1963</v>
      </c>
      <c r="AB22" t="s">
        <v>388</v>
      </c>
      <c r="AC22">
        <v>10</v>
      </c>
      <c r="AD22">
        <v>2016</v>
      </c>
      <c r="AE22">
        <v>40</v>
      </c>
      <c r="AF22" t="s">
        <v>389</v>
      </c>
      <c r="AG22">
        <v>-18</v>
      </c>
      <c r="AH22">
        <v>14.2209763327388</v>
      </c>
      <c r="AI22">
        <v>0.74847243856520396</v>
      </c>
      <c r="AJ22" t="s">
        <v>61</v>
      </c>
      <c r="AK22" t="s">
        <v>390</v>
      </c>
      <c r="AL22">
        <v>4</v>
      </c>
      <c r="AM22">
        <v>1</v>
      </c>
      <c r="AN22">
        <v>8</v>
      </c>
      <c r="AO22">
        <v>0.12</v>
      </c>
      <c r="AP22" t="s">
        <v>63</v>
      </c>
      <c r="AQ22" t="s">
        <v>63</v>
      </c>
    </row>
    <row r="23" spans="1:43" x14ac:dyDescent="0.2">
      <c r="A23">
        <v>383354</v>
      </c>
      <c r="B23" t="s">
        <v>391</v>
      </c>
      <c r="C23">
        <v>4.9000000000000004</v>
      </c>
      <c r="D23">
        <v>13</v>
      </c>
      <c r="E23" t="s">
        <v>44</v>
      </c>
      <c r="F23" s="1">
        <v>42651</v>
      </c>
      <c r="G23">
        <v>222565</v>
      </c>
      <c r="H23">
        <v>97</v>
      </c>
      <c r="I23">
        <v>3200000</v>
      </c>
      <c r="J23" t="s">
        <v>392</v>
      </c>
      <c r="K23" t="s">
        <v>46</v>
      </c>
      <c r="L23" t="s">
        <v>391</v>
      </c>
      <c r="M23" t="s">
        <v>393</v>
      </c>
      <c r="N23">
        <v>1.5145</v>
      </c>
      <c r="O23" t="s">
        <v>394</v>
      </c>
      <c r="P23" t="s">
        <v>180</v>
      </c>
      <c r="Q23" t="s">
        <v>395</v>
      </c>
      <c r="R23" t="s">
        <v>396</v>
      </c>
      <c r="S23" t="s">
        <v>102</v>
      </c>
      <c r="T23" t="s">
        <v>397</v>
      </c>
      <c r="U23" t="s">
        <v>398</v>
      </c>
      <c r="V23" t="s">
        <v>399</v>
      </c>
      <c r="W23" t="s">
        <v>398</v>
      </c>
      <c r="X23" t="s">
        <v>400</v>
      </c>
      <c r="Y23" t="s">
        <v>401</v>
      </c>
      <c r="Z23">
        <v>5.2</v>
      </c>
      <c r="AA23">
        <v>335</v>
      </c>
      <c r="AB23" t="s">
        <v>402</v>
      </c>
      <c r="AC23">
        <v>10</v>
      </c>
      <c r="AD23">
        <v>2016</v>
      </c>
      <c r="AE23">
        <v>40</v>
      </c>
      <c r="AF23" t="s">
        <v>403</v>
      </c>
      <c r="AG23">
        <v>-17</v>
      </c>
      <c r="AH23">
        <v>12.3129789658161</v>
      </c>
      <c r="AI23">
        <v>0.68405438698978704</v>
      </c>
      <c r="AJ23" t="s">
        <v>61</v>
      </c>
      <c r="AK23" t="s">
        <v>404</v>
      </c>
      <c r="AL23">
        <v>2</v>
      </c>
      <c r="AM23">
        <v>0</v>
      </c>
      <c r="AN23">
        <v>2</v>
      </c>
      <c r="AO23">
        <v>0</v>
      </c>
      <c r="AP23" t="s">
        <v>63</v>
      </c>
      <c r="AQ23" t="s">
        <v>63</v>
      </c>
    </row>
    <row r="24" spans="1:43" x14ac:dyDescent="0.2">
      <c r="A24">
        <v>340674</v>
      </c>
      <c r="B24" t="s">
        <v>405</v>
      </c>
      <c r="C24">
        <v>4.5999999999999996</v>
      </c>
      <c r="D24">
        <v>460</v>
      </c>
      <c r="E24" t="s">
        <v>44</v>
      </c>
      <c r="F24" s="1">
        <v>42655</v>
      </c>
      <c r="G24">
        <v>21216</v>
      </c>
      <c r="H24">
        <v>93</v>
      </c>
      <c r="I24">
        <v>4480393</v>
      </c>
      <c r="J24" t="s">
        <v>406</v>
      </c>
      <c r="K24" t="s">
        <v>46</v>
      </c>
      <c r="L24" t="s">
        <v>405</v>
      </c>
      <c r="M24" t="s">
        <v>407</v>
      </c>
      <c r="N24">
        <v>2.5091000000000001</v>
      </c>
      <c r="O24" t="s">
        <v>408</v>
      </c>
      <c r="P24" t="s">
        <v>409</v>
      </c>
      <c r="Q24" t="s">
        <v>410</v>
      </c>
      <c r="R24" t="s">
        <v>411</v>
      </c>
      <c r="S24" t="s">
        <v>102</v>
      </c>
      <c r="T24" t="s">
        <v>412</v>
      </c>
      <c r="U24" t="s">
        <v>413</v>
      </c>
      <c r="V24" t="s">
        <v>414</v>
      </c>
      <c r="W24" t="s">
        <v>415</v>
      </c>
      <c r="X24" t="s">
        <v>416</v>
      </c>
      <c r="Y24" t="s">
        <v>417</v>
      </c>
      <c r="Z24">
        <v>4.5999999999999996</v>
      </c>
      <c r="AA24">
        <v>21235</v>
      </c>
      <c r="AB24" t="s">
        <v>418</v>
      </c>
      <c r="AC24">
        <v>10</v>
      </c>
      <c r="AD24">
        <v>2016</v>
      </c>
      <c r="AE24">
        <v>41</v>
      </c>
      <c r="AF24" t="s">
        <v>419</v>
      </c>
      <c r="AG24">
        <v>-13</v>
      </c>
      <c r="AH24">
        <v>9.9625580261131095</v>
      </c>
      <c r="AI24">
        <v>0.71161128757950798</v>
      </c>
      <c r="AJ24" t="s">
        <v>61</v>
      </c>
      <c r="AK24" t="s">
        <v>420</v>
      </c>
      <c r="AL24">
        <v>10</v>
      </c>
      <c r="AM24">
        <v>4</v>
      </c>
      <c r="AN24">
        <v>23</v>
      </c>
      <c r="AO24">
        <v>0.17</v>
      </c>
      <c r="AP24" t="s">
        <v>63</v>
      </c>
      <c r="AQ24" t="s">
        <v>63</v>
      </c>
    </row>
    <row r="25" spans="1:43" x14ac:dyDescent="0.2">
      <c r="A25">
        <v>136799</v>
      </c>
      <c r="B25" t="s">
        <v>421</v>
      </c>
      <c r="C25">
        <v>6.63</v>
      </c>
      <c r="D25">
        <v>3720</v>
      </c>
      <c r="E25" t="s">
        <v>44</v>
      </c>
      <c r="F25" s="1">
        <v>42656</v>
      </c>
      <c r="G25">
        <v>347337803</v>
      </c>
      <c r="H25">
        <v>92</v>
      </c>
      <c r="I25">
        <v>125000000</v>
      </c>
      <c r="J25" t="s">
        <v>422</v>
      </c>
      <c r="K25" t="s">
        <v>46</v>
      </c>
      <c r="L25" t="s">
        <v>421</v>
      </c>
      <c r="M25" t="s">
        <v>423</v>
      </c>
      <c r="N25">
        <v>9.1492000000000004</v>
      </c>
      <c r="O25" t="s">
        <v>424</v>
      </c>
      <c r="P25" t="s">
        <v>425</v>
      </c>
      <c r="Q25" t="s">
        <v>426</v>
      </c>
      <c r="R25" t="s">
        <v>70</v>
      </c>
      <c r="S25" t="s">
        <v>102</v>
      </c>
      <c r="T25" t="s">
        <v>427</v>
      </c>
      <c r="U25" t="s">
        <v>428</v>
      </c>
      <c r="V25" t="s">
        <v>429</v>
      </c>
      <c r="W25" t="s">
        <v>430</v>
      </c>
      <c r="X25" t="s">
        <v>431</v>
      </c>
      <c r="Y25" t="s">
        <v>432</v>
      </c>
      <c r="Z25">
        <v>6.4</v>
      </c>
      <c r="AA25">
        <v>98657</v>
      </c>
      <c r="AB25" t="s">
        <v>433</v>
      </c>
      <c r="AC25">
        <v>10</v>
      </c>
      <c r="AD25">
        <v>2016</v>
      </c>
      <c r="AE25">
        <v>41</v>
      </c>
      <c r="AF25" t="s">
        <v>434</v>
      </c>
      <c r="AG25">
        <v>-12</v>
      </c>
      <c r="AH25">
        <v>19.665808362927699</v>
      </c>
      <c r="AI25">
        <v>1.5127544894559799</v>
      </c>
      <c r="AJ25" t="s">
        <v>61</v>
      </c>
      <c r="AK25" t="s">
        <v>435</v>
      </c>
      <c r="AL25">
        <v>59</v>
      </c>
      <c r="AM25">
        <v>1</v>
      </c>
      <c r="AN25">
        <v>65</v>
      </c>
      <c r="AO25">
        <v>0.02</v>
      </c>
      <c r="AP25" t="s">
        <v>63</v>
      </c>
      <c r="AQ25" t="s">
        <v>63</v>
      </c>
    </row>
    <row r="26" spans="1:43" x14ac:dyDescent="0.2">
      <c r="A26">
        <v>207932</v>
      </c>
      <c r="B26" t="s">
        <v>436</v>
      </c>
      <c r="C26">
        <v>6.085</v>
      </c>
      <c r="D26">
        <v>6459</v>
      </c>
      <c r="E26" t="s">
        <v>44</v>
      </c>
      <c r="F26" s="1">
        <v>42656</v>
      </c>
      <c r="G26">
        <v>220021259</v>
      </c>
      <c r="H26">
        <v>121</v>
      </c>
      <c r="I26">
        <v>75000000</v>
      </c>
      <c r="J26" t="s">
        <v>437</v>
      </c>
      <c r="K26" t="s">
        <v>46</v>
      </c>
      <c r="L26" t="s">
        <v>436</v>
      </c>
      <c r="M26" t="s">
        <v>438</v>
      </c>
      <c r="N26">
        <v>5.4242999999999997</v>
      </c>
      <c r="O26" t="s">
        <v>439</v>
      </c>
      <c r="P26" t="s">
        <v>440</v>
      </c>
      <c r="Q26" t="s">
        <v>441</v>
      </c>
      <c r="R26" t="s">
        <v>70</v>
      </c>
      <c r="S26" t="s">
        <v>442</v>
      </c>
      <c r="T26" t="s">
        <v>443</v>
      </c>
      <c r="U26" t="s">
        <v>444</v>
      </c>
      <c r="V26" t="s">
        <v>445</v>
      </c>
      <c r="W26" t="s">
        <v>446</v>
      </c>
      <c r="X26" t="s">
        <v>447</v>
      </c>
      <c r="Y26" t="s">
        <v>448</v>
      </c>
      <c r="Z26">
        <v>6.2</v>
      </c>
      <c r="AA26">
        <v>199272</v>
      </c>
      <c r="AB26" t="s">
        <v>449</v>
      </c>
      <c r="AC26">
        <v>10</v>
      </c>
      <c r="AD26">
        <v>2016</v>
      </c>
      <c r="AE26">
        <v>41</v>
      </c>
      <c r="AF26" t="s">
        <v>450</v>
      </c>
      <c r="AG26">
        <v>-12</v>
      </c>
      <c r="AH26">
        <v>19.209234736011201</v>
      </c>
      <c r="AI26">
        <v>1.4776334412316301</v>
      </c>
      <c r="AJ26" t="s">
        <v>61</v>
      </c>
      <c r="AK26" t="s">
        <v>451</v>
      </c>
      <c r="AL26">
        <v>61</v>
      </c>
      <c r="AM26">
        <v>2</v>
      </c>
      <c r="AN26">
        <v>69</v>
      </c>
      <c r="AO26">
        <v>0.03</v>
      </c>
      <c r="AP26" t="s">
        <v>63</v>
      </c>
      <c r="AQ26" t="s">
        <v>63</v>
      </c>
    </row>
    <row r="27" spans="1:43" x14ac:dyDescent="0.2">
      <c r="A27">
        <v>277834</v>
      </c>
      <c r="B27" t="s">
        <v>452</v>
      </c>
      <c r="C27">
        <v>7.6</v>
      </c>
      <c r="D27">
        <v>13365</v>
      </c>
      <c r="E27" t="s">
        <v>44</v>
      </c>
      <c r="F27" s="1">
        <v>42656</v>
      </c>
      <c r="G27">
        <v>690860472</v>
      </c>
      <c r="H27">
        <v>107</v>
      </c>
      <c r="I27">
        <v>150000000</v>
      </c>
      <c r="J27" t="s">
        <v>453</v>
      </c>
      <c r="K27" t="s">
        <v>46</v>
      </c>
      <c r="L27" t="s">
        <v>452</v>
      </c>
      <c r="M27" t="s">
        <v>454</v>
      </c>
      <c r="N27">
        <v>2.5438999999999998</v>
      </c>
      <c r="O27" t="s">
        <v>455</v>
      </c>
      <c r="P27" t="s">
        <v>456</v>
      </c>
      <c r="Q27" t="s">
        <v>457</v>
      </c>
      <c r="R27" t="s">
        <v>70</v>
      </c>
      <c r="S27" t="s">
        <v>102</v>
      </c>
      <c r="T27" t="s">
        <v>458</v>
      </c>
      <c r="U27" t="s">
        <v>459</v>
      </c>
      <c r="W27" t="s">
        <v>460</v>
      </c>
      <c r="X27" t="s">
        <v>461</v>
      </c>
      <c r="Y27" t="s">
        <v>462</v>
      </c>
      <c r="Z27">
        <v>7.6</v>
      </c>
      <c r="AA27">
        <v>428786</v>
      </c>
      <c r="AB27" t="s">
        <v>463</v>
      </c>
      <c r="AC27">
        <v>10</v>
      </c>
      <c r="AD27">
        <v>2016</v>
      </c>
      <c r="AE27">
        <v>41</v>
      </c>
      <c r="AF27" t="s">
        <v>464</v>
      </c>
      <c r="AG27">
        <v>-12</v>
      </c>
      <c r="AH27">
        <v>20.353448440937999</v>
      </c>
      <c r="AI27">
        <v>1.5656498800721499</v>
      </c>
      <c r="AJ27" t="s">
        <v>61</v>
      </c>
      <c r="AK27" t="s">
        <v>465</v>
      </c>
      <c r="AL27">
        <v>73</v>
      </c>
      <c r="AM27">
        <v>0</v>
      </c>
      <c r="AN27">
        <v>88</v>
      </c>
      <c r="AO27">
        <v>0</v>
      </c>
      <c r="AP27" t="s">
        <v>63</v>
      </c>
      <c r="AQ27" t="s">
        <v>63</v>
      </c>
    </row>
    <row r="28" spans="1:43" x14ac:dyDescent="0.2">
      <c r="A28">
        <v>302946</v>
      </c>
      <c r="B28" t="s">
        <v>466</v>
      </c>
      <c r="C28">
        <v>7.1289999999999996</v>
      </c>
      <c r="D28">
        <v>7032</v>
      </c>
      <c r="E28" t="s">
        <v>44</v>
      </c>
      <c r="F28" s="1">
        <v>42656</v>
      </c>
      <c r="G28">
        <v>155160045</v>
      </c>
      <c r="H28">
        <v>128</v>
      </c>
      <c r="I28">
        <v>44000000</v>
      </c>
      <c r="J28" t="s">
        <v>467</v>
      </c>
      <c r="K28" t="s">
        <v>46</v>
      </c>
      <c r="L28" t="s">
        <v>466</v>
      </c>
      <c r="M28" t="s">
        <v>468</v>
      </c>
      <c r="N28">
        <v>6.8851000000000004</v>
      </c>
      <c r="O28" t="s">
        <v>469</v>
      </c>
      <c r="P28" t="s">
        <v>470</v>
      </c>
      <c r="Q28" t="s">
        <v>471</v>
      </c>
      <c r="R28" t="s">
        <v>70</v>
      </c>
      <c r="S28" t="s">
        <v>102</v>
      </c>
      <c r="T28" t="s">
        <v>472</v>
      </c>
      <c r="U28" t="s">
        <v>473</v>
      </c>
      <c r="V28" t="s">
        <v>474</v>
      </c>
      <c r="W28" t="s">
        <v>475</v>
      </c>
      <c r="X28" t="s">
        <v>476</v>
      </c>
      <c r="Y28" t="s">
        <v>477</v>
      </c>
      <c r="Z28">
        <v>7.3</v>
      </c>
      <c r="AA28">
        <v>386177</v>
      </c>
      <c r="AB28" t="s">
        <v>478</v>
      </c>
      <c r="AC28">
        <v>10</v>
      </c>
      <c r="AD28">
        <v>2016</v>
      </c>
      <c r="AE28">
        <v>41</v>
      </c>
      <c r="AF28" t="s">
        <v>479</v>
      </c>
      <c r="AG28">
        <v>-12</v>
      </c>
      <c r="AH28">
        <v>18.859967697004102</v>
      </c>
      <c r="AI28">
        <v>1.4507667459233899</v>
      </c>
      <c r="AJ28" t="s">
        <v>61</v>
      </c>
      <c r="AK28" t="s">
        <v>480</v>
      </c>
      <c r="AL28">
        <v>70</v>
      </c>
      <c r="AM28">
        <v>1</v>
      </c>
      <c r="AN28">
        <v>81</v>
      </c>
      <c r="AO28">
        <v>0.01</v>
      </c>
      <c r="AP28" t="s">
        <v>63</v>
      </c>
      <c r="AQ28" t="s">
        <v>63</v>
      </c>
    </row>
    <row r="29" spans="1:43" x14ac:dyDescent="0.2">
      <c r="A29">
        <v>343611</v>
      </c>
      <c r="B29" t="s">
        <v>481</v>
      </c>
      <c r="C29">
        <v>6</v>
      </c>
      <c r="D29">
        <v>5122</v>
      </c>
      <c r="E29" t="s">
        <v>44</v>
      </c>
      <c r="F29" s="1">
        <v>42662</v>
      </c>
      <c r="G29">
        <v>162100000</v>
      </c>
      <c r="H29">
        <v>118</v>
      </c>
      <c r="I29">
        <v>60000000</v>
      </c>
      <c r="J29" t="s">
        <v>482</v>
      </c>
      <c r="K29" t="s">
        <v>46</v>
      </c>
      <c r="L29" t="s">
        <v>481</v>
      </c>
      <c r="M29" t="s">
        <v>483</v>
      </c>
      <c r="N29">
        <v>8.6908999999999992</v>
      </c>
      <c r="O29" t="s">
        <v>484</v>
      </c>
      <c r="P29" t="s">
        <v>485</v>
      </c>
      <c r="Q29" t="s">
        <v>486</v>
      </c>
      <c r="R29" t="s">
        <v>487</v>
      </c>
      <c r="S29" t="s">
        <v>102</v>
      </c>
      <c r="T29" t="s">
        <v>488</v>
      </c>
      <c r="U29" t="s">
        <v>489</v>
      </c>
      <c r="V29" t="s">
        <v>490</v>
      </c>
      <c r="W29" t="s">
        <v>491</v>
      </c>
      <c r="X29" t="s">
        <v>492</v>
      </c>
      <c r="Y29" t="s">
        <v>493</v>
      </c>
      <c r="Z29">
        <v>6.2</v>
      </c>
      <c r="AA29">
        <v>189210</v>
      </c>
      <c r="AB29" t="s">
        <v>494</v>
      </c>
      <c r="AC29">
        <v>10</v>
      </c>
      <c r="AD29">
        <v>2016</v>
      </c>
      <c r="AE29">
        <v>42</v>
      </c>
      <c r="AF29" t="s">
        <v>495</v>
      </c>
      <c r="AG29">
        <v>-6</v>
      </c>
      <c r="AH29">
        <v>18.903723992874902</v>
      </c>
      <c r="AI29">
        <v>2.7005319989821301</v>
      </c>
      <c r="AJ29" t="s">
        <v>61</v>
      </c>
      <c r="AK29" t="s">
        <v>496</v>
      </c>
      <c r="AL29">
        <v>72</v>
      </c>
      <c r="AM29">
        <v>1</v>
      </c>
      <c r="AN29">
        <v>86</v>
      </c>
      <c r="AO29">
        <v>0.01</v>
      </c>
      <c r="AP29" t="s">
        <v>63</v>
      </c>
      <c r="AQ29" t="s">
        <v>63</v>
      </c>
    </row>
    <row r="30" spans="1:43" x14ac:dyDescent="0.2">
      <c r="A30">
        <v>326285</v>
      </c>
      <c r="B30" t="s">
        <v>497</v>
      </c>
      <c r="C30">
        <v>6.1769999999999996</v>
      </c>
      <c r="D30">
        <v>719</v>
      </c>
      <c r="E30" t="s">
        <v>44</v>
      </c>
      <c r="F30" s="1">
        <v>42663</v>
      </c>
      <c r="G30">
        <v>1715728</v>
      </c>
      <c r="H30">
        <v>108</v>
      </c>
      <c r="I30">
        <v>10000000</v>
      </c>
      <c r="J30" t="s">
        <v>498</v>
      </c>
      <c r="K30" t="s">
        <v>46</v>
      </c>
      <c r="L30" t="s">
        <v>497</v>
      </c>
      <c r="M30" t="s">
        <v>499</v>
      </c>
      <c r="N30">
        <v>2.4085999999999999</v>
      </c>
      <c r="O30" t="s">
        <v>500</v>
      </c>
      <c r="P30" t="s">
        <v>501</v>
      </c>
      <c r="Q30" t="s">
        <v>502</v>
      </c>
      <c r="R30" t="s">
        <v>212</v>
      </c>
      <c r="S30" t="s">
        <v>102</v>
      </c>
      <c r="T30" t="s">
        <v>503</v>
      </c>
      <c r="U30" t="s">
        <v>504</v>
      </c>
      <c r="V30" t="s">
        <v>505</v>
      </c>
      <c r="W30" t="s">
        <v>506</v>
      </c>
      <c r="X30" t="s">
        <v>507</v>
      </c>
      <c r="Y30" t="s">
        <v>508</v>
      </c>
      <c r="Z30">
        <v>6.1</v>
      </c>
      <c r="AA30">
        <v>19270</v>
      </c>
      <c r="AB30" t="s">
        <v>509</v>
      </c>
      <c r="AC30">
        <v>10</v>
      </c>
      <c r="AD30">
        <v>2016</v>
      </c>
      <c r="AE30">
        <v>42</v>
      </c>
      <c r="AF30" t="s">
        <v>510</v>
      </c>
      <c r="AG30">
        <v>-5</v>
      </c>
      <c r="AH30">
        <v>14.355348621150499</v>
      </c>
      <c r="AI30">
        <v>2.39255810352509</v>
      </c>
      <c r="AJ30" t="s">
        <v>61</v>
      </c>
      <c r="AK30" t="s">
        <v>511</v>
      </c>
      <c r="AL30">
        <v>35</v>
      </c>
      <c r="AM30">
        <v>0</v>
      </c>
      <c r="AN30">
        <v>64</v>
      </c>
      <c r="AO30">
        <v>0</v>
      </c>
      <c r="AP30" t="s">
        <v>63</v>
      </c>
      <c r="AQ30" t="s">
        <v>63</v>
      </c>
    </row>
    <row r="31" spans="1:43" x14ac:dyDescent="0.2">
      <c r="A31">
        <v>331313</v>
      </c>
      <c r="B31" t="s">
        <v>512</v>
      </c>
      <c r="C31">
        <v>6.0960000000000001</v>
      </c>
      <c r="D31">
        <v>2075</v>
      </c>
      <c r="E31" t="s">
        <v>44</v>
      </c>
      <c r="F31" s="1">
        <v>42663</v>
      </c>
      <c r="G31">
        <v>29900000</v>
      </c>
      <c r="H31">
        <v>105</v>
      </c>
      <c r="I31">
        <v>40000000</v>
      </c>
      <c r="J31" t="s">
        <v>513</v>
      </c>
      <c r="K31" t="s">
        <v>46</v>
      </c>
      <c r="L31" t="s">
        <v>512</v>
      </c>
      <c r="M31" t="s">
        <v>514</v>
      </c>
      <c r="N31">
        <v>3.2618999999999998</v>
      </c>
      <c r="O31" t="s">
        <v>515</v>
      </c>
      <c r="P31" t="s">
        <v>516</v>
      </c>
      <c r="Q31" t="s">
        <v>517</v>
      </c>
      <c r="R31" t="s">
        <v>70</v>
      </c>
      <c r="S31" t="s">
        <v>518</v>
      </c>
      <c r="T31" t="s">
        <v>519</v>
      </c>
      <c r="U31" t="s">
        <v>520</v>
      </c>
      <c r="V31" t="s">
        <v>55</v>
      </c>
      <c r="W31" t="s">
        <v>521</v>
      </c>
      <c r="X31" t="s">
        <v>522</v>
      </c>
      <c r="Y31" t="s">
        <v>523</v>
      </c>
      <c r="Z31">
        <v>5.9</v>
      </c>
      <c r="AA31">
        <v>71388</v>
      </c>
      <c r="AB31" t="s">
        <v>524</v>
      </c>
      <c r="AC31">
        <v>10</v>
      </c>
      <c r="AD31">
        <v>2016</v>
      </c>
      <c r="AE31">
        <v>42</v>
      </c>
      <c r="AF31" t="s">
        <v>525</v>
      </c>
      <c r="AG31">
        <v>-5</v>
      </c>
      <c r="AH31">
        <v>17.213369071805701</v>
      </c>
      <c r="AI31">
        <v>2.8688948453009502</v>
      </c>
      <c r="AJ31" t="s">
        <v>61</v>
      </c>
      <c r="AK31" t="s">
        <v>526</v>
      </c>
      <c r="AL31">
        <v>27</v>
      </c>
      <c r="AM31">
        <v>4</v>
      </c>
      <c r="AN31">
        <v>35</v>
      </c>
      <c r="AO31">
        <v>0.11</v>
      </c>
      <c r="AP31" t="s">
        <v>63</v>
      </c>
      <c r="AQ31" t="s">
        <v>63</v>
      </c>
    </row>
    <row r="32" spans="1:43" x14ac:dyDescent="0.2">
      <c r="A32">
        <v>335796</v>
      </c>
      <c r="B32" t="s">
        <v>527</v>
      </c>
      <c r="C32">
        <v>6.1</v>
      </c>
      <c r="D32">
        <v>2541</v>
      </c>
      <c r="E32" t="s">
        <v>44</v>
      </c>
      <c r="F32" s="1">
        <v>42663</v>
      </c>
      <c r="G32">
        <v>81831866</v>
      </c>
      <c r="H32">
        <v>99</v>
      </c>
      <c r="I32">
        <v>9000000</v>
      </c>
      <c r="J32" t="s">
        <v>528</v>
      </c>
      <c r="K32" t="s">
        <v>46</v>
      </c>
      <c r="L32" t="s">
        <v>527</v>
      </c>
      <c r="M32" t="s">
        <v>529</v>
      </c>
      <c r="N32">
        <v>2.9264000000000001</v>
      </c>
      <c r="O32" t="s">
        <v>530</v>
      </c>
      <c r="P32" t="s">
        <v>531</v>
      </c>
      <c r="Q32" t="s">
        <v>532</v>
      </c>
      <c r="R32" t="s">
        <v>70</v>
      </c>
      <c r="S32" t="s">
        <v>102</v>
      </c>
      <c r="T32" t="s">
        <v>533</v>
      </c>
      <c r="U32" t="s">
        <v>534</v>
      </c>
      <c r="V32" t="s">
        <v>535</v>
      </c>
      <c r="W32" t="s">
        <v>536</v>
      </c>
      <c r="X32" t="s">
        <v>537</v>
      </c>
      <c r="Y32" t="s">
        <v>538</v>
      </c>
      <c r="Z32">
        <v>6.2</v>
      </c>
      <c r="AA32">
        <v>80958</v>
      </c>
      <c r="AB32" t="s">
        <v>539</v>
      </c>
      <c r="AC32">
        <v>10</v>
      </c>
      <c r="AD32">
        <v>2016</v>
      </c>
      <c r="AE32">
        <v>42</v>
      </c>
      <c r="AF32" t="s">
        <v>540</v>
      </c>
      <c r="AG32">
        <v>-5</v>
      </c>
      <c r="AH32">
        <v>18.2201772978365</v>
      </c>
      <c r="AI32">
        <v>3.03669621630609</v>
      </c>
      <c r="AJ32" t="s">
        <v>61</v>
      </c>
      <c r="AK32" t="s">
        <v>541</v>
      </c>
      <c r="AL32">
        <v>41</v>
      </c>
      <c r="AM32">
        <v>3</v>
      </c>
      <c r="AN32">
        <v>52</v>
      </c>
      <c r="AO32">
        <v>0.06</v>
      </c>
      <c r="AP32" t="s">
        <v>63</v>
      </c>
      <c r="AQ32" t="s">
        <v>63</v>
      </c>
    </row>
    <row r="33" spans="1:43" x14ac:dyDescent="0.2">
      <c r="A33">
        <v>376867</v>
      </c>
      <c r="B33" t="s">
        <v>542</v>
      </c>
      <c r="C33">
        <v>7.3659999999999997</v>
      </c>
      <c r="D33">
        <v>7311</v>
      </c>
      <c r="E33" t="s">
        <v>44</v>
      </c>
      <c r="F33" s="1">
        <v>42664</v>
      </c>
      <c r="G33">
        <v>65046687</v>
      </c>
      <c r="H33">
        <v>111</v>
      </c>
      <c r="I33">
        <v>4000000</v>
      </c>
      <c r="J33" t="s">
        <v>543</v>
      </c>
      <c r="K33" t="s">
        <v>46</v>
      </c>
      <c r="L33" t="s">
        <v>542</v>
      </c>
      <c r="M33" t="s">
        <v>544</v>
      </c>
      <c r="N33">
        <v>3.4424000000000001</v>
      </c>
      <c r="O33" t="s">
        <v>545</v>
      </c>
      <c r="P33" t="s">
        <v>180</v>
      </c>
      <c r="Q33" t="s">
        <v>546</v>
      </c>
      <c r="R33" t="s">
        <v>70</v>
      </c>
      <c r="S33" t="s">
        <v>102</v>
      </c>
      <c r="T33" t="s">
        <v>547</v>
      </c>
      <c r="U33" t="s">
        <v>548</v>
      </c>
      <c r="V33" t="s">
        <v>549</v>
      </c>
      <c r="W33" t="s">
        <v>550</v>
      </c>
      <c r="X33" t="s">
        <v>551</v>
      </c>
      <c r="Y33" t="s">
        <v>552</v>
      </c>
      <c r="Z33">
        <v>7.4</v>
      </c>
      <c r="AA33">
        <v>346830</v>
      </c>
      <c r="AB33" t="s">
        <v>553</v>
      </c>
      <c r="AC33">
        <v>10</v>
      </c>
      <c r="AD33">
        <v>2016</v>
      </c>
      <c r="AE33">
        <v>42</v>
      </c>
      <c r="AF33" t="s">
        <v>554</v>
      </c>
      <c r="AG33">
        <v>-4</v>
      </c>
      <c r="AH33">
        <v>17.990615846945499</v>
      </c>
      <c r="AI33">
        <v>3.59812316938911</v>
      </c>
      <c r="AJ33" t="s">
        <v>61</v>
      </c>
      <c r="AK33" t="s">
        <v>555</v>
      </c>
      <c r="AL33">
        <v>48</v>
      </c>
      <c r="AM33">
        <v>2</v>
      </c>
      <c r="AN33">
        <v>86</v>
      </c>
      <c r="AO33">
        <v>0.02</v>
      </c>
      <c r="AP33" t="s">
        <v>63</v>
      </c>
      <c r="AQ33" t="s">
        <v>63</v>
      </c>
    </row>
    <row r="34" spans="1:43" hidden="1" x14ac:dyDescent="0.2">
      <c r="A34">
        <v>380124</v>
      </c>
      <c r="B34" t="s">
        <v>556</v>
      </c>
      <c r="C34">
        <v>5.8</v>
      </c>
      <c r="D34">
        <v>427</v>
      </c>
      <c r="E34" t="s">
        <v>44</v>
      </c>
      <c r="F34" s="1">
        <v>42664</v>
      </c>
      <c r="G34">
        <v>74827344</v>
      </c>
      <c r="H34">
        <v>103</v>
      </c>
      <c r="I34">
        <v>20000000</v>
      </c>
      <c r="J34" t="s">
        <v>557</v>
      </c>
      <c r="K34" t="s">
        <v>46</v>
      </c>
      <c r="L34" t="s">
        <v>556</v>
      </c>
      <c r="M34" t="s">
        <v>558</v>
      </c>
      <c r="N34">
        <v>3.6642000000000001</v>
      </c>
      <c r="O34" t="s">
        <v>559</v>
      </c>
      <c r="P34" t="s">
        <v>560</v>
      </c>
      <c r="Q34" t="s">
        <v>561</v>
      </c>
      <c r="R34" t="s">
        <v>70</v>
      </c>
      <c r="S34" t="s">
        <v>228</v>
      </c>
      <c r="T34" t="s">
        <v>562</v>
      </c>
      <c r="U34" t="s">
        <v>563</v>
      </c>
      <c r="V34" t="s">
        <v>564</v>
      </c>
      <c r="W34" t="s">
        <v>563</v>
      </c>
      <c r="X34" t="s">
        <v>565</v>
      </c>
      <c r="Y34" t="s">
        <v>566</v>
      </c>
      <c r="Z34">
        <v>4.7</v>
      </c>
      <c r="AA34">
        <v>10020</v>
      </c>
      <c r="AB34" t="s">
        <v>567</v>
      </c>
      <c r="AC34">
        <v>10</v>
      </c>
      <c r="AD34">
        <v>2016</v>
      </c>
      <c r="AE34">
        <v>42</v>
      </c>
      <c r="AF34" t="s">
        <v>568</v>
      </c>
      <c r="AG34">
        <v>-4</v>
      </c>
      <c r="AH34">
        <v>18.130693951004801</v>
      </c>
      <c r="AI34">
        <v>3.6261387902009599</v>
      </c>
      <c r="AJ34" t="s">
        <v>61</v>
      </c>
      <c r="AK34" t="s">
        <v>569</v>
      </c>
      <c r="AL34">
        <v>3</v>
      </c>
      <c r="AM34">
        <v>5</v>
      </c>
      <c r="AN34">
        <v>11</v>
      </c>
      <c r="AO34">
        <v>0.45</v>
      </c>
      <c r="AP34" t="s">
        <v>570</v>
      </c>
      <c r="AQ34" t="s">
        <v>63</v>
      </c>
    </row>
    <row r="35" spans="1:43" x14ac:dyDescent="0.2">
      <c r="A35">
        <v>300667</v>
      </c>
      <c r="B35" t="s">
        <v>571</v>
      </c>
      <c r="C35">
        <v>6.4</v>
      </c>
      <c r="D35">
        <v>433</v>
      </c>
      <c r="E35" t="s">
        <v>44</v>
      </c>
      <c r="F35" s="1">
        <v>42670</v>
      </c>
      <c r="G35">
        <v>680351</v>
      </c>
      <c r="H35">
        <v>87</v>
      </c>
      <c r="I35">
        <v>10000000</v>
      </c>
      <c r="J35" t="s">
        <v>572</v>
      </c>
      <c r="K35" t="s">
        <v>46</v>
      </c>
      <c r="L35" t="s">
        <v>571</v>
      </c>
      <c r="M35" t="s">
        <v>573</v>
      </c>
      <c r="N35">
        <v>1.4</v>
      </c>
      <c r="O35" t="s">
        <v>574</v>
      </c>
      <c r="P35" t="s">
        <v>575</v>
      </c>
      <c r="Q35" t="s">
        <v>576</v>
      </c>
      <c r="R35" t="s">
        <v>70</v>
      </c>
      <c r="S35" t="s">
        <v>102</v>
      </c>
      <c r="T35" t="s">
        <v>577</v>
      </c>
      <c r="U35" t="s">
        <v>578</v>
      </c>
      <c r="V35" t="s">
        <v>579</v>
      </c>
      <c r="W35" t="s">
        <v>580</v>
      </c>
      <c r="X35" t="s">
        <v>581</v>
      </c>
      <c r="Y35" t="s">
        <v>582</v>
      </c>
      <c r="Z35">
        <v>6</v>
      </c>
      <c r="AA35">
        <v>7250</v>
      </c>
      <c r="AB35" t="s">
        <v>583</v>
      </c>
      <c r="AC35">
        <v>10</v>
      </c>
      <c r="AD35">
        <v>2016</v>
      </c>
      <c r="AE35">
        <v>43</v>
      </c>
      <c r="AF35" t="s">
        <v>584</v>
      </c>
      <c r="AG35">
        <v>2</v>
      </c>
      <c r="AH35">
        <v>13.430365590278001</v>
      </c>
      <c r="AI35">
        <v>4.4767885300926897</v>
      </c>
      <c r="AJ35" t="s">
        <v>61</v>
      </c>
      <c r="AK35" t="s">
        <v>585</v>
      </c>
      <c r="AL35">
        <v>13</v>
      </c>
      <c r="AM35">
        <v>0</v>
      </c>
      <c r="AN35">
        <v>30</v>
      </c>
      <c r="AO35">
        <v>0</v>
      </c>
      <c r="AP35" t="s">
        <v>63</v>
      </c>
      <c r="AQ35" t="s">
        <v>63</v>
      </c>
    </row>
    <row r="36" spans="1:43" x14ac:dyDescent="0.2">
      <c r="A36">
        <v>332979</v>
      </c>
      <c r="B36" t="s">
        <v>586</v>
      </c>
      <c r="C36">
        <v>6.8</v>
      </c>
      <c r="D36">
        <v>808</v>
      </c>
      <c r="E36" t="s">
        <v>44</v>
      </c>
      <c r="F36" s="1">
        <v>42678</v>
      </c>
      <c r="G36">
        <v>6174491</v>
      </c>
      <c r="H36">
        <v>116</v>
      </c>
      <c r="I36">
        <v>6000000</v>
      </c>
      <c r="J36" t="s">
        <v>587</v>
      </c>
      <c r="K36" t="s">
        <v>46</v>
      </c>
      <c r="L36" t="s">
        <v>586</v>
      </c>
      <c r="M36" t="s">
        <v>588</v>
      </c>
      <c r="N36">
        <v>2.9015</v>
      </c>
      <c r="O36" t="s">
        <v>589</v>
      </c>
      <c r="P36" t="s">
        <v>180</v>
      </c>
      <c r="Q36" t="s">
        <v>590</v>
      </c>
      <c r="R36" t="s">
        <v>70</v>
      </c>
      <c r="S36" t="s">
        <v>591</v>
      </c>
      <c r="T36" t="s">
        <v>592</v>
      </c>
      <c r="U36" t="s">
        <v>593</v>
      </c>
      <c r="V36" t="s">
        <v>594</v>
      </c>
      <c r="W36" t="s">
        <v>595</v>
      </c>
      <c r="X36" t="s">
        <v>596</v>
      </c>
      <c r="Y36" t="s">
        <v>597</v>
      </c>
      <c r="Z36">
        <v>6.8</v>
      </c>
      <c r="AA36">
        <v>33015</v>
      </c>
      <c r="AB36" t="s">
        <v>598</v>
      </c>
      <c r="AC36">
        <v>11</v>
      </c>
      <c r="AD36">
        <v>2016</v>
      </c>
      <c r="AE36">
        <v>44</v>
      </c>
      <c r="AF36" t="s">
        <v>599</v>
      </c>
      <c r="AG36">
        <v>10</v>
      </c>
      <c r="AH36">
        <v>15.635937169887701</v>
      </c>
      <c r="AI36">
        <v>1.4214488336261499</v>
      </c>
      <c r="AJ36" t="s">
        <v>61</v>
      </c>
      <c r="AK36" t="s">
        <v>600</v>
      </c>
      <c r="AL36">
        <v>24</v>
      </c>
      <c r="AM36">
        <v>2</v>
      </c>
      <c r="AN36">
        <v>37</v>
      </c>
      <c r="AO36">
        <v>0.05</v>
      </c>
      <c r="AP36" t="s">
        <v>63</v>
      </c>
      <c r="AQ36" t="s">
        <v>63</v>
      </c>
    </row>
    <row r="37" spans="1:43" x14ac:dyDescent="0.2">
      <c r="A37">
        <v>339419</v>
      </c>
      <c r="B37" t="s">
        <v>601</v>
      </c>
      <c r="C37">
        <v>6.7039999999999997</v>
      </c>
      <c r="D37">
        <v>937</v>
      </c>
      <c r="E37" t="s">
        <v>44</v>
      </c>
      <c r="F37" s="1">
        <v>42678</v>
      </c>
      <c r="G37">
        <v>8996802</v>
      </c>
      <c r="H37">
        <v>123</v>
      </c>
      <c r="I37">
        <v>9000000</v>
      </c>
      <c r="J37" t="s">
        <v>602</v>
      </c>
      <c r="K37" t="s">
        <v>46</v>
      </c>
      <c r="L37" t="s">
        <v>601</v>
      </c>
      <c r="M37" t="s">
        <v>603</v>
      </c>
      <c r="N37">
        <v>4.7031999999999998</v>
      </c>
      <c r="O37" t="s">
        <v>604</v>
      </c>
      <c r="P37" t="s">
        <v>605</v>
      </c>
      <c r="Q37" t="s">
        <v>606</v>
      </c>
      <c r="R37" t="s">
        <v>86</v>
      </c>
      <c r="S37" t="s">
        <v>102</v>
      </c>
      <c r="T37" t="s">
        <v>607</v>
      </c>
      <c r="U37" t="s">
        <v>608</v>
      </c>
      <c r="V37" t="s">
        <v>609</v>
      </c>
      <c r="W37" t="s">
        <v>610</v>
      </c>
      <c r="X37" t="s">
        <v>611</v>
      </c>
      <c r="Y37" t="s">
        <v>612</v>
      </c>
      <c r="Z37">
        <v>7</v>
      </c>
      <c r="AA37">
        <v>38187</v>
      </c>
      <c r="AB37" t="s">
        <v>613</v>
      </c>
      <c r="AC37">
        <v>11</v>
      </c>
      <c r="AD37">
        <v>2016</v>
      </c>
      <c r="AE37">
        <v>44</v>
      </c>
      <c r="AF37" t="s">
        <v>614</v>
      </c>
      <c r="AG37">
        <v>10</v>
      </c>
      <c r="AH37">
        <v>16.0123798499719</v>
      </c>
      <c r="AI37">
        <v>1.4556708954519899</v>
      </c>
      <c r="AJ37" t="s">
        <v>61</v>
      </c>
      <c r="AK37" t="s">
        <v>615</v>
      </c>
      <c r="AL37">
        <v>15</v>
      </c>
      <c r="AM37">
        <v>0</v>
      </c>
      <c r="AN37">
        <v>39</v>
      </c>
      <c r="AO37">
        <v>0</v>
      </c>
      <c r="AP37" t="s">
        <v>63</v>
      </c>
      <c r="AQ37" t="s">
        <v>63</v>
      </c>
    </row>
    <row r="38" spans="1:43" x14ac:dyDescent="0.2">
      <c r="A38">
        <v>340666</v>
      </c>
      <c r="B38" t="s">
        <v>616</v>
      </c>
      <c r="C38">
        <v>7.4</v>
      </c>
      <c r="D38">
        <v>8064</v>
      </c>
      <c r="E38" t="s">
        <v>44</v>
      </c>
      <c r="F38" s="1">
        <v>42678</v>
      </c>
      <c r="G38">
        <v>29300000</v>
      </c>
      <c r="H38">
        <v>117</v>
      </c>
      <c r="I38">
        <v>22500000</v>
      </c>
      <c r="J38" t="s">
        <v>617</v>
      </c>
      <c r="K38" t="s">
        <v>46</v>
      </c>
      <c r="L38" t="s">
        <v>616</v>
      </c>
      <c r="M38" t="s">
        <v>618</v>
      </c>
      <c r="N38">
        <v>3.3893</v>
      </c>
      <c r="O38" t="s">
        <v>619</v>
      </c>
      <c r="P38" t="s">
        <v>409</v>
      </c>
      <c r="Q38" t="s">
        <v>620</v>
      </c>
      <c r="R38" t="s">
        <v>621</v>
      </c>
      <c r="S38" t="s">
        <v>102</v>
      </c>
      <c r="T38" t="s">
        <v>622</v>
      </c>
      <c r="U38" t="s">
        <v>623</v>
      </c>
      <c r="V38" t="s">
        <v>474</v>
      </c>
      <c r="W38" t="s">
        <v>624</v>
      </c>
      <c r="X38" t="s">
        <v>625</v>
      </c>
      <c r="Y38" t="s">
        <v>626</v>
      </c>
      <c r="Z38">
        <v>7.4</v>
      </c>
      <c r="AA38">
        <v>333601</v>
      </c>
      <c r="AB38" t="s">
        <v>627</v>
      </c>
      <c r="AC38">
        <v>11</v>
      </c>
      <c r="AD38">
        <v>2016</v>
      </c>
      <c r="AE38">
        <v>44</v>
      </c>
      <c r="AF38" t="s">
        <v>628</v>
      </c>
      <c r="AG38">
        <v>10</v>
      </c>
      <c r="AH38">
        <v>17.193098108116899</v>
      </c>
      <c r="AI38">
        <v>1.56300891891972</v>
      </c>
      <c r="AJ38" t="s">
        <v>61</v>
      </c>
      <c r="AK38" t="s">
        <v>629</v>
      </c>
      <c r="AL38">
        <v>46</v>
      </c>
      <c r="AM38">
        <v>3</v>
      </c>
      <c r="AN38">
        <v>76</v>
      </c>
      <c r="AO38">
        <v>0.04</v>
      </c>
      <c r="AP38" t="s">
        <v>63</v>
      </c>
      <c r="AQ38" t="s">
        <v>63</v>
      </c>
    </row>
    <row r="39" spans="1:43" x14ac:dyDescent="0.2">
      <c r="A39">
        <v>404378</v>
      </c>
      <c r="B39" t="s">
        <v>630</v>
      </c>
      <c r="C39">
        <v>7.9009999999999998</v>
      </c>
      <c r="D39">
        <v>1501</v>
      </c>
      <c r="E39" t="s">
        <v>44</v>
      </c>
      <c r="F39" s="1">
        <v>42678</v>
      </c>
      <c r="G39">
        <v>17900000</v>
      </c>
      <c r="H39">
        <v>103</v>
      </c>
      <c r="I39">
        <v>8000000</v>
      </c>
      <c r="J39" t="s">
        <v>631</v>
      </c>
      <c r="K39" t="s">
        <v>46</v>
      </c>
      <c r="L39" t="s">
        <v>630</v>
      </c>
      <c r="M39" t="s">
        <v>632</v>
      </c>
      <c r="N39">
        <v>3.1692999999999998</v>
      </c>
      <c r="O39" t="s">
        <v>633</v>
      </c>
      <c r="P39" t="s">
        <v>634</v>
      </c>
      <c r="Q39" t="s">
        <v>635</v>
      </c>
      <c r="R39" t="s">
        <v>636</v>
      </c>
      <c r="S39" t="s">
        <v>102</v>
      </c>
      <c r="T39" t="s">
        <v>637</v>
      </c>
      <c r="U39" t="s">
        <v>638</v>
      </c>
      <c r="V39" t="s">
        <v>639</v>
      </c>
      <c r="W39" t="s">
        <v>640</v>
      </c>
      <c r="X39" t="s">
        <v>641</v>
      </c>
      <c r="Y39" t="s">
        <v>642</v>
      </c>
      <c r="Z39">
        <v>7.3</v>
      </c>
      <c r="AA39">
        <v>36278</v>
      </c>
      <c r="AB39" t="s">
        <v>643</v>
      </c>
      <c r="AC39">
        <v>11</v>
      </c>
      <c r="AD39">
        <v>2016</v>
      </c>
      <c r="AE39">
        <v>44</v>
      </c>
      <c r="AF39" t="s">
        <v>644</v>
      </c>
      <c r="AG39">
        <v>10</v>
      </c>
      <c r="AH39">
        <v>16.7003113266769</v>
      </c>
      <c r="AI39">
        <v>1.51821012060699</v>
      </c>
      <c r="AJ39" t="s">
        <v>61</v>
      </c>
      <c r="AK39" t="s">
        <v>645</v>
      </c>
      <c r="AL39">
        <v>46</v>
      </c>
      <c r="AM39">
        <v>0</v>
      </c>
      <c r="AN39">
        <v>57</v>
      </c>
      <c r="AO39">
        <v>0</v>
      </c>
      <c r="AP39" t="s">
        <v>63</v>
      </c>
      <c r="AQ39" t="s">
        <v>63</v>
      </c>
    </row>
    <row r="40" spans="1:43" x14ac:dyDescent="0.2">
      <c r="A40">
        <v>293767</v>
      </c>
      <c r="B40" t="s">
        <v>646</v>
      </c>
      <c r="C40">
        <v>6.02</v>
      </c>
      <c r="D40">
        <v>596</v>
      </c>
      <c r="E40" t="s">
        <v>44</v>
      </c>
      <c r="F40" s="1">
        <v>42684</v>
      </c>
      <c r="G40">
        <v>30930984</v>
      </c>
      <c r="H40">
        <v>113</v>
      </c>
      <c r="I40">
        <v>40000000</v>
      </c>
      <c r="J40" t="s">
        <v>647</v>
      </c>
      <c r="K40" t="s">
        <v>46</v>
      </c>
      <c r="L40" t="s">
        <v>646</v>
      </c>
      <c r="M40" t="s">
        <v>648</v>
      </c>
      <c r="N40">
        <v>2.6840000000000002</v>
      </c>
      <c r="O40" t="s">
        <v>649</v>
      </c>
      <c r="P40" t="s">
        <v>650</v>
      </c>
      <c r="Q40" t="s">
        <v>651</v>
      </c>
      <c r="R40" t="s">
        <v>652</v>
      </c>
      <c r="S40" t="s">
        <v>102</v>
      </c>
      <c r="T40" t="s">
        <v>653</v>
      </c>
      <c r="U40" t="s">
        <v>654</v>
      </c>
      <c r="V40" t="s">
        <v>655</v>
      </c>
      <c r="W40" t="s">
        <v>656</v>
      </c>
      <c r="X40" t="s">
        <v>657</v>
      </c>
      <c r="Y40" t="s">
        <v>137</v>
      </c>
      <c r="Z40">
        <v>6.2</v>
      </c>
      <c r="AA40">
        <v>24972</v>
      </c>
      <c r="AB40" t="s">
        <v>658</v>
      </c>
      <c r="AC40">
        <v>11</v>
      </c>
      <c r="AD40">
        <v>2016</v>
      </c>
      <c r="AE40">
        <v>45</v>
      </c>
      <c r="AF40" t="s">
        <v>659</v>
      </c>
      <c r="AG40">
        <v>16</v>
      </c>
      <c r="AH40">
        <v>17.247268990258199</v>
      </c>
      <c r="AI40">
        <v>1.0145452347210699</v>
      </c>
      <c r="AJ40" t="s">
        <v>61</v>
      </c>
      <c r="AK40" t="s">
        <v>660</v>
      </c>
      <c r="AL40">
        <v>27</v>
      </c>
      <c r="AM40">
        <v>1</v>
      </c>
      <c r="AN40">
        <v>37</v>
      </c>
      <c r="AO40">
        <v>0.03</v>
      </c>
      <c r="AP40" t="s">
        <v>63</v>
      </c>
      <c r="AQ40" t="s">
        <v>63</v>
      </c>
    </row>
    <row r="41" spans="1:43" x14ac:dyDescent="0.2">
      <c r="A41">
        <v>329865</v>
      </c>
      <c r="B41" t="s">
        <v>661</v>
      </c>
      <c r="C41">
        <v>7.6210000000000004</v>
      </c>
      <c r="D41">
        <v>18693</v>
      </c>
      <c r="E41" t="s">
        <v>44</v>
      </c>
      <c r="F41" s="1">
        <v>42684</v>
      </c>
      <c r="G41">
        <v>203388186</v>
      </c>
      <c r="H41">
        <v>116</v>
      </c>
      <c r="I41">
        <v>47000000</v>
      </c>
      <c r="J41" t="s">
        <v>662</v>
      </c>
      <c r="K41" t="s">
        <v>46</v>
      </c>
      <c r="L41" t="s">
        <v>661</v>
      </c>
      <c r="M41" t="s">
        <v>663</v>
      </c>
      <c r="N41">
        <v>9.85</v>
      </c>
      <c r="O41" t="s">
        <v>664</v>
      </c>
      <c r="P41" t="s">
        <v>665</v>
      </c>
      <c r="Q41" t="s">
        <v>666</v>
      </c>
      <c r="R41" t="s">
        <v>70</v>
      </c>
      <c r="S41" t="s">
        <v>667</v>
      </c>
      <c r="T41" t="s">
        <v>668</v>
      </c>
      <c r="U41" t="s">
        <v>669</v>
      </c>
      <c r="V41" t="s">
        <v>670</v>
      </c>
      <c r="W41" t="s">
        <v>671</v>
      </c>
      <c r="X41" t="s">
        <v>672</v>
      </c>
      <c r="Y41" t="s">
        <v>673</v>
      </c>
      <c r="Z41">
        <v>7.9</v>
      </c>
      <c r="AA41">
        <v>839847</v>
      </c>
      <c r="AB41" t="s">
        <v>674</v>
      </c>
      <c r="AC41">
        <v>11</v>
      </c>
      <c r="AD41">
        <v>2016</v>
      </c>
      <c r="AE41">
        <v>45</v>
      </c>
      <c r="AF41" t="s">
        <v>675</v>
      </c>
      <c r="AG41">
        <v>16</v>
      </c>
      <c r="AH41">
        <v>19.130626962212698</v>
      </c>
      <c r="AI41">
        <v>1.1253309977772099</v>
      </c>
      <c r="AJ41" t="s">
        <v>61</v>
      </c>
      <c r="AK41" t="s">
        <v>676</v>
      </c>
      <c r="AL41">
        <v>65</v>
      </c>
      <c r="AM41">
        <v>1</v>
      </c>
      <c r="AN41">
        <v>91</v>
      </c>
      <c r="AO41">
        <v>0.01</v>
      </c>
      <c r="AP41" t="s">
        <v>63</v>
      </c>
      <c r="AQ41" t="s">
        <v>63</v>
      </c>
    </row>
    <row r="42" spans="1:43" x14ac:dyDescent="0.2">
      <c r="A42">
        <v>289269</v>
      </c>
      <c r="B42" t="s">
        <v>677</v>
      </c>
      <c r="C42">
        <v>6.6</v>
      </c>
      <c r="D42">
        <v>165</v>
      </c>
      <c r="E42" t="s">
        <v>44</v>
      </c>
      <c r="F42" s="1">
        <v>42685</v>
      </c>
      <c r="G42">
        <v>13109</v>
      </c>
      <c r="H42">
        <v>97</v>
      </c>
      <c r="I42">
        <v>10000000</v>
      </c>
      <c r="J42" t="s">
        <v>678</v>
      </c>
      <c r="K42" t="s">
        <v>46</v>
      </c>
      <c r="L42" t="s">
        <v>677</v>
      </c>
      <c r="M42" t="s">
        <v>679</v>
      </c>
      <c r="N42">
        <v>3.2031999999999998</v>
      </c>
      <c r="O42" t="s">
        <v>680</v>
      </c>
      <c r="P42" t="s">
        <v>681</v>
      </c>
      <c r="Q42" t="s">
        <v>682</v>
      </c>
      <c r="R42" t="s">
        <v>212</v>
      </c>
      <c r="S42" t="s">
        <v>683</v>
      </c>
      <c r="T42" t="s">
        <v>684</v>
      </c>
      <c r="U42" t="s">
        <v>685</v>
      </c>
      <c r="V42" t="s">
        <v>686</v>
      </c>
      <c r="W42" t="s">
        <v>687</v>
      </c>
      <c r="X42" t="s">
        <v>688</v>
      </c>
      <c r="Y42" t="s">
        <v>689</v>
      </c>
      <c r="Z42">
        <v>5.6</v>
      </c>
      <c r="AA42">
        <v>3560</v>
      </c>
      <c r="AB42" t="s">
        <v>690</v>
      </c>
      <c r="AC42">
        <v>11</v>
      </c>
      <c r="AD42">
        <v>2016</v>
      </c>
      <c r="AE42">
        <v>45</v>
      </c>
      <c r="AF42" t="s">
        <v>691</v>
      </c>
      <c r="AG42">
        <v>17</v>
      </c>
      <c r="AH42">
        <v>9.4811305767577405</v>
      </c>
      <c r="AI42">
        <v>0.526729476486541</v>
      </c>
      <c r="AJ42" t="s">
        <v>61</v>
      </c>
      <c r="AK42" t="s">
        <v>692</v>
      </c>
      <c r="AL42">
        <v>4</v>
      </c>
      <c r="AM42">
        <v>1</v>
      </c>
      <c r="AN42">
        <v>10</v>
      </c>
      <c r="AO42">
        <v>0.1</v>
      </c>
      <c r="AP42" t="s">
        <v>63</v>
      </c>
      <c r="AQ42" t="s">
        <v>63</v>
      </c>
    </row>
    <row r="43" spans="1:43" x14ac:dyDescent="0.2">
      <c r="A43">
        <v>329981</v>
      </c>
      <c r="B43" t="s">
        <v>693</v>
      </c>
      <c r="C43">
        <v>5.3</v>
      </c>
      <c r="D43">
        <v>712</v>
      </c>
      <c r="E43" t="s">
        <v>44</v>
      </c>
      <c r="F43" s="1">
        <v>42685</v>
      </c>
      <c r="G43">
        <v>13082071</v>
      </c>
      <c r="H43">
        <v>91</v>
      </c>
      <c r="I43">
        <v>10000000</v>
      </c>
      <c r="J43" t="s">
        <v>694</v>
      </c>
      <c r="K43" t="s">
        <v>46</v>
      </c>
      <c r="L43" t="s">
        <v>693</v>
      </c>
      <c r="M43" t="s">
        <v>695</v>
      </c>
      <c r="N43">
        <v>1.5881000000000001</v>
      </c>
      <c r="O43" t="s">
        <v>696</v>
      </c>
      <c r="P43" t="s">
        <v>409</v>
      </c>
      <c r="Q43" t="s">
        <v>697</v>
      </c>
      <c r="R43" t="s">
        <v>698</v>
      </c>
      <c r="S43" t="s">
        <v>102</v>
      </c>
      <c r="T43" t="s">
        <v>699</v>
      </c>
      <c r="U43" t="s">
        <v>700</v>
      </c>
      <c r="V43" t="s">
        <v>701</v>
      </c>
      <c r="W43" t="s">
        <v>702</v>
      </c>
      <c r="X43" t="s">
        <v>703</v>
      </c>
      <c r="Y43" t="s">
        <v>704</v>
      </c>
      <c r="Z43">
        <v>4.8</v>
      </c>
      <c r="AA43">
        <v>15496</v>
      </c>
      <c r="AB43" t="s">
        <v>705</v>
      </c>
      <c r="AC43">
        <v>11</v>
      </c>
      <c r="AD43">
        <v>2016</v>
      </c>
      <c r="AE43">
        <v>45</v>
      </c>
      <c r="AF43" t="s">
        <v>706</v>
      </c>
      <c r="AG43">
        <v>17</v>
      </c>
      <c r="AH43">
        <v>16.3867533012337</v>
      </c>
      <c r="AI43">
        <v>0.91037518340187495</v>
      </c>
      <c r="AJ43" t="s">
        <v>61</v>
      </c>
      <c r="AK43" t="s">
        <v>707</v>
      </c>
      <c r="AL43">
        <v>34</v>
      </c>
      <c r="AM43">
        <v>1</v>
      </c>
      <c r="AN43">
        <v>39</v>
      </c>
      <c r="AO43">
        <v>0.03</v>
      </c>
      <c r="AP43" t="s">
        <v>63</v>
      </c>
      <c r="AQ43" t="s">
        <v>63</v>
      </c>
    </row>
    <row r="44" spans="1:43" x14ac:dyDescent="0.2">
      <c r="A44">
        <v>340103</v>
      </c>
      <c r="B44" t="s">
        <v>708</v>
      </c>
      <c r="C44">
        <v>5.5279999999999996</v>
      </c>
      <c r="D44">
        <v>579</v>
      </c>
      <c r="E44" t="s">
        <v>44</v>
      </c>
      <c r="F44" s="1">
        <v>42685</v>
      </c>
      <c r="G44">
        <v>74000</v>
      </c>
      <c r="H44">
        <v>91</v>
      </c>
      <c r="I44">
        <v>2700000</v>
      </c>
      <c r="J44" t="s">
        <v>709</v>
      </c>
      <c r="K44" t="s">
        <v>46</v>
      </c>
      <c r="L44" t="s">
        <v>708</v>
      </c>
      <c r="M44" t="s">
        <v>710</v>
      </c>
      <c r="N44">
        <v>2.5427</v>
      </c>
      <c r="O44" t="s">
        <v>711</v>
      </c>
      <c r="P44" t="s">
        <v>712</v>
      </c>
      <c r="Q44" t="s">
        <v>713</v>
      </c>
      <c r="R44" t="s">
        <v>118</v>
      </c>
      <c r="S44" t="s">
        <v>102</v>
      </c>
      <c r="T44" t="s">
        <v>714</v>
      </c>
      <c r="U44" t="s">
        <v>715</v>
      </c>
      <c r="V44" t="s">
        <v>716</v>
      </c>
      <c r="W44" t="s">
        <v>715</v>
      </c>
      <c r="X44" t="s">
        <v>717</v>
      </c>
      <c r="Y44" t="s">
        <v>718</v>
      </c>
      <c r="Z44">
        <v>5.4</v>
      </c>
      <c r="AA44">
        <v>20416</v>
      </c>
      <c r="AB44" t="s">
        <v>719</v>
      </c>
      <c r="AC44">
        <v>11</v>
      </c>
      <c r="AD44">
        <v>2016</v>
      </c>
      <c r="AE44">
        <v>45</v>
      </c>
      <c r="AF44" t="s">
        <v>720</v>
      </c>
      <c r="AG44">
        <v>17</v>
      </c>
      <c r="AH44">
        <v>11.211833885608501</v>
      </c>
      <c r="AI44">
        <v>0.62287966031158404</v>
      </c>
      <c r="AJ44" t="s">
        <v>61</v>
      </c>
      <c r="AK44" t="s">
        <v>721</v>
      </c>
      <c r="AL44">
        <v>5</v>
      </c>
      <c r="AM44">
        <v>2</v>
      </c>
      <c r="AN44">
        <v>16</v>
      </c>
      <c r="AO44">
        <v>0.12</v>
      </c>
      <c r="AP44" t="s">
        <v>63</v>
      </c>
      <c r="AQ44" t="s">
        <v>63</v>
      </c>
    </row>
    <row r="45" spans="1:43" x14ac:dyDescent="0.2">
      <c r="A45">
        <v>393519</v>
      </c>
      <c r="B45" t="s">
        <v>722</v>
      </c>
      <c r="C45">
        <v>7</v>
      </c>
      <c r="D45">
        <v>3321</v>
      </c>
      <c r="E45" t="s">
        <v>44</v>
      </c>
      <c r="F45" s="1">
        <v>42685</v>
      </c>
      <c r="G45">
        <v>4100000</v>
      </c>
      <c r="H45">
        <v>99</v>
      </c>
      <c r="I45">
        <v>3500000</v>
      </c>
      <c r="J45" t="s">
        <v>723</v>
      </c>
      <c r="K45" t="s">
        <v>159</v>
      </c>
      <c r="L45" t="s">
        <v>724</v>
      </c>
      <c r="M45" t="s">
        <v>725</v>
      </c>
      <c r="N45">
        <v>3.0838999999999999</v>
      </c>
      <c r="O45" t="s">
        <v>726</v>
      </c>
      <c r="P45" t="s">
        <v>712</v>
      </c>
      <c r="Q45" t="s">
        <v>727</v>
      </c>
      <c r="R45" t="s">
        <v>728</v>
      </c>
      <c r="S45" t="s">
        <v>166</v>
      </c>
      <c r="T45" t="s">
        <v>729</v>
      </c>
      <c r="U45" t="s">
        <v>730</v>
      </c>
      <c r="V45" t="s">
        <v>731</v>
      </c>
      <c r="W45" t="s">
        <v>732</v>
      </c>
      <c r="X45" t="s">
        <v>733</v>
      </c>
      <c r="Y45" t="s">
        <v>734</v>
      </c>
      <c r="Z45">
        <v>6.9</v>
      </c>
      <c r="AA45">
        <v>95141</v>
      </c>
      <c r="AB45" t="s">
        <v>735</v>
      </c>
      <c r="AC45">
        <v>11</v>
      </c>
      <c r="AD45">
        <v>2016</v>
      </c>
      <c r="AE45">
        <v>45</v>
      </c>
      <c r="AF45" t="s">
        <v>736</v>
      </c>
      <c r="AG45">
        <v>17</v>
      </c>
      <c r="AH45">
        <v>15.226497775576901</v>
      </c>
      <c r="AI45">
        <v>0.845916543087608</v>
      </c>
      <c r="AJ45" t="s">
        <v>61</v>
      </c>
      <c r="AK45" t="s">
        <v>737</v>
      </c>
      <c r="AL45">
        <v>14</v>
      </c>
      <c r="AM45">
        <v>3</v>
      </c>
      <c r="AN45">
        <v>79</v>
      </c>
      <c r="AO45">
        <v>0.04</v>
      </c>
      <c r="AP45" t="s">
        <v>63</v>
      </c>
      <c r="AQ45" t="s">
        <v>63</v>
      </c>
    </row>
    <row r="46" spans="1:43" x14ac:dyDescent="0.2">
      <c r="A46">
        <v>259316</v>
      </c>
      <c r="B46" t="s">
        <v>738</v>
      </c>
      <c r="C46">
        <v>7.31</v>
      </c>
      <c r="D46">
        <v>19321</v>
      </c>
      <c r="E46" t="s">
        <v>44</v>
      </c>
      <c r="F46" s="1">
        <v>42690</v>
      </c>
      <c r="G46">
        <v>809342332</v>
      </c>
      <c r="H46">
        <v>133</v>
      </c>
      <c r="I46">
        <v>180000000</v>
      </c>
      <c r="J46" t="s">
        <v>739</v>
      </c>
      <c r="K46" t="s">
        <v>46</v>
      </c>
      <c r="L46" t="s">
        <v>738</v>
      </c>
      <c r="M46" t="s">
        <v>740</v>
      </c>
      <c r="N46">
        <v>8.2723999999999993</v>
      </c>
      <c r="O46" t="s">
        <v>741</v>
      </c>
      <c r="P46" t="s">
        <v>742</v>
      </c>
      <c r="Q46" t="s">
        <v>743</v>
      </c>
      <c r="R46" t="s">
        <v>86</v>
      </c>
      <c r="S46" t="s">
        <v>102</v>
      </c>
      <c r="T46" t="s">
        <v>744</v>
      </c>
      <c r="U46" t="s">
        <v>745</v>
      </c>
      <c r="V46" t="s">
        <v>746</v>
      </c>
      <c r="W46" t="s">
        <v>747</v>
      </c>
      <c r="X46" t="s">
        <v>748</v>
      </c>
      <c r="Y46" t="s">
        <v>749</v>
      </c>
      <c r="Z46">
        <v>7.2</v>
      </c>
      <c r="AA46">
        <v>532842</v>
      </c>
      <c r="AB46" t="s">
        <v>750</v>
      </c>
      <c r="AC46">
        <v>11</v>
      </c>
      <c r="AD46">
        <v>2016</v>
      </c>
      <c r="AE46">
        <v>46</v>
      </c>
      <c r="AF46" t="s">
        <v>751</v>
      </c>
      <c r="AG46">
        <v>22</v>
      </c>
      <c r="AH46">
        <v>20.511732541265399</v>
      </c>
      <c r="AI46">
        <v>0.89181445831588901</v>
      </c>
      <c r="AJ46" t="s">
        <v>61</v>
      </c>
      <c r="AK46" t="s">
        <v>752</v>
      </c>
      <c r="AL46">
        <v>72</v>
      </c>
      <c r="AM46">
        <v>0</v>
      </c>
      <c r="AN46">
        <v>78</v>
      </c>
      <c r="AO46">
        <v>0</v>
      </c>
      <c r="AP46" t="s">
        <v>63</v>
      </c>
      <c r="AQ46" t="s">
        <v>63</v>
      </c>
    </row>
    <row r="47" spans="1:43" x14ac:dyDescent="0.2">
      <c r="A47">
        <v>370755</v>
      </c>
      <c r="B47" t="s">
        <v>753</v>
      </c>
      <c r="C47">
        <v>7.1</v>
      </c>
      <c r="D47">
        <v>1971</v>
      </c>
      <c r="E47" t="s">
        <v>44</v>
      </c>
      <c r="F47" s="1">
        <v>42691</v>
      </c>
      <c r="G47">
        <v>2152738</v>
      </c>
      <c r="H47">
        <v>118</v>
      </c>
      <c r="I47">
        <v>5000000</v>
      </c>
      <c r="J47" t="s">
        <v>754</v>
      </c>
      <c r="K47" t="s">
        <v>46</v>
      </c>
      <c r="L47" t="s">
        <v>753</v>
      </c>
      <c r="M47" t="s">
        <v>755</v>
      </c>
      <c r="N47">
        <v>2.4683000000000002</v>
      </c>
      <c r="O47" t="s">
        <v>756</v>
      </c>
      <c r="P47" t="s">
        <v>49</v>
      </c>
      <c r="Q47" t="s">
        <v>757</v>
      </c>
      <c r="R47" t="s">
        <v>758</v>
      </c>
      <c r="S47" t="s">
        <v>759</v>
      </c>
      <c r="T47" t="s">
        <v>760</v>
      </c>
      <c r="U47" t="s">
        <v>761</v>
      </c>
      <c r="V47" t="s">
        <v>762</v>
      </c>
      <c r="W47" t="s">
        <v>763</v>
      </c>
      <c r="X47" t="s">
        <v>764</v>
      </c>
      <c r="Y47" t="s">
        <v>765</v>
      </c>
      <c r="Z47">
        <v>7.3</v>
      </c>
      <c r="AA47">
        <v>93824</v>
      </c>
      <c r="AB47" t="s">
        <v>766</v>
      </c>
      <c r="AC47">
        <v>11</v>
      </c>
      <c r="AD47">
        <v>2016</v>
      </c>
      <c r="AE47">
        <v>46</v>
      </c>
      <c r="AF47" t="s">
        <v>767</v>
      </c>
      <c r="AG47">
        <v>23</v>
      </c>
      <c r="AH47">
        <v>14.582251542802</v>
      </c>
      <c r="AI47">
        <v>0.60759381428341597</v>
      </c>
      <c r="AJ47" t="s">
        <v>61</v>
      </c>
      <c r="AK47" t="s">
        <v>768</v>
      </c>
      <c r="AL47">
        <v>37</v>
      </c>
      <c r="AM47">
        <v>1</v>
      </c>
      <c r="AN47">
        <v>85</v>
      </c>
      <c r="AO47">
        <v>0.01</v>
      </c>
      <c r="AP47" t="s">
        <v>63</v>
      </c>
      <c r="AQ47" t="s">
        <v>63</v>
      </c>
    </row>
    <row r="48" spans="1:43" x14ac:dyDescent="0.2">
      <c r="A48">
        <v>376660</v>
      </c>
      <c r="B48" t="s">
        <v>769</v>
      </c>
      <c r="C48">
        <v>7.1589999999999998</v>
      </c>
      <c r="D48">
        <v>4153</v>
      </c>
      <c r="E48" t="s">
        <v>44</v>
      </c>
      <c r="F48" s="1">
        <v>42692</v>
      </c>
      <c r="G48">
        <v>18803648</v>
      </c>
      <c r="H48">
        <v>105</v>
      </c>
      <c r="I48">
        <v>9000000</v>
      </c>
      <c r="J48" t="s">
        <v>770</v>
      </c>
      <c r="K48" t="s">
        <v>46</v>
      </c>
      <c r="L48" t="s">
        <v>769</v>
      </c>
      <c r="M48" t="s">
        <v>771</v>
      </c>
      <c r="N48">
        <v>2.3683999999999998</v>
      </c>
      <c r="O48" t="s">
        <v>772</v>
      </c>
      <c r="P48" t="s">
        <v>575</v>
      </c>
      <c r="Q48" t="s">
        <v>773</v>
      </c>
      <c r="R48" t="s">
        <v>621</v>
      </c>
      <c r="S48" t="s">
        <v>102</v>
      </c>
      <c r="T48" t="s">
        <v>774</v>
      </c>
      <c r="U48" t="s">
        <v>775</v>
      </c>
      <c r="V48" t="s">
        <v>776</v>
      </c>
      <c r="W48" t="s">
        <v>775</v>
      </c>
      <c r="X48" t="s">
        <v>777</v>
      </c>
      <c r="Y48" t="s">
        <v>778</v>
      </c>
      <c r="Z48">
        <v>7.3</v>
      </c>
      <c r="AA48">
        <v>148631</v>
      </c>
      <c r="AB48" t="s">
        <v>779</v>
      </c>
      <c r="AC48">
        <v>11</v>
      </c>
      <c r="AD48">
        <v>2016</v>
      </c>
      <c r="AE48">
        <v>46</v>
      </c>
      <c r="AF48" t="s">
        <v>780</v>
      </c>
      <c r="AG48">
        <v>24</v>
      </c>
      <c r="AH48">
        <v>16.749561504710702</v>
      </c>
      <c r="AI48">
        <v>0.669982460188428</v>
      </c>
      <c r="AJ48" t="s">
        <v>61</v>
      </c>
      <c r="AK48" t="s">
        <v>781</v>
      </c>
      <c r="AL48">
        <v>19</v>
      </c>
      <c r="AM48">
        <v>7</v>
      </c>
      <c r="AN48">
        <v>40</v>
      </c>
      <c r="AO48">
        <v>0.17</v>
      </c>
      <c r="AP48" t="s">
        <v>63</v>
      </c>
      <c r="AQ48" t="s">
        <v>63</v>
      </c>
    </row>
    <row r="49" spans="1:43" x14ac:dyDescent="0.2">
      <c r="A49">
        <v>426558</v>
      </c>
      <c r="B49" t="s">
        <v>782</v>
      </c>
      <c r="C49">
        <v>6.7</v>
      </c>
      <c r="D49">
        <v>43</v>
      </c>
      <c r="E49" t="s">
        <v>44</v>
      </c>
      <c r="F49" s="1">
        <v>42692</v>
      </c>
      <c r="G49">
        <v>6900000</v>
      </c>
      <c r="H49">
        <v>123</v>
      </c>
      <c r="I49">
        <v>6500000</v>
      </c>
      <c r="J49" t="s">
        <v>783</v>
      </c>
      <c r="K49" t="s">
        <v>374</v>
      </c>
      <c r="L49" t="s">
        <v>784</v>
      </c>
      <c r="M49" t="s">
        <v>785</v>
      </c>
      <c r="N49">
        <v>1.0831999999999999</v>
      </c>
      <c r="O49" t="s">
        <v>786</v>
      </c>
      <c r="P49" t="s">
        <v>787</v>
      </c>
      <c r="Q49" t="s">
        <v>788</v>
      </c>
      <c r="R49" t="s">
        <v>380</v>
      </c>
      <c r="S49" t="s">
        <v>381</v>
      </c>
      <c r="T49" t="s">
        <v>789</v>
      </c>
      <c r="U49" t="s">
        <v>790</v>
      </c>
      <c r="V49" t="s">
        <v>791</v>
      </c>
      <c r="W49" t="s">
        <v>792</v>
      </c>
      <c r="X49" t="s">
        <v>793</v>
      </c>
      <c r="Y49" t="s">
        <v>794</v>
      </c>
      <c r="Z49">
        <v>6.2</v>
      </c>
      <c r="AA49">
        <v>6348</v>
      </c>
      <c r="AB49" t="s">
        <v>795</v>
      </c>
      <c r="AC49">
        <v>11</v>
      </c>
      <c r="AD49">
        <v>2016</v>
      </c>
      <c r="AE49">
        <v>46</v>
      </c>
      <c r="AF49" t="s">
        <v>796</v>
      </c>
      <c r="AG49">
        <v>24</v>
      </c>
      <c r="AH49">
        <v>15.747032114494999</v>
      </c>
      <c r="AI49">
        <v>0.62988128457979997</v>
      </c>
      <c r="AJ49" t="s">
        <v>61</v>
      </c>
      <c r="AK49" t="s">
        <v>797</v>
      </c>
      <c r="AL49">
        <v>3</v>
      </c>
      <c r="AM49">
        <v>3</v>
      </c>
      <c r="AN49">
        <v>7</v>
      </c>
      <c r="AO49">
        <v>0.43</v>
      </c>
      <c r="AP49" t="s">
        <v>63</v>
      </c>
      <c r="AQ49" t="s">
        <v>63</v>
      </c>
    </row>
    <row r="50" spans="1:43" x14ac:dyDescent="0.2">
      <c r="A50">
        <v>335797</v>
      </c>
      <c r="B50" t="s">
        <v>798</v>
      </c>
      <c r="C50">
        <v>7.1189999999999998</v>
      </c>
      <c r="D50">
        <v>8237</v>
      </c>
      <c r="E50" t="s">
        <v>44</v>
      </c>
      <c r="F50" s="1">
        <v>42697</v>
      </c>
      <c r="G50">
        <v>634151679</v>
      </c>
      <c r="H50">
        <v>107</v>
      </c>
      <c r="I50">
        <v>75000000</v>
      </c>
      <c r="J50" t="s">
        <v>799</v>
      </c>
      <c r="K50" t="s">
        <v>46</v>
      </c>
      <c r="L50" t="s">
        <v>798</v>
      </c>
      <c r="M50" t="s">
        <v>800</v>
      </c>
      <c r="N50">
        <v>12.514200000000001</v>
      </c>
      <c r="O50" t="s">
        <v>801</v>
      </c>
      <c r="P50" t="s">
        <v>802</v>
      </c>
      <c r="Q50" t="s">
        <v>803</v>
      </c>
      <c r="R50" t="s">
        <v>70</v>
      </c>
      <c r="S50" t="s">
        <v>102</v>
      </c>
      <c r="T50" t="s">
        <v>804</v>
      </c>
      <c r="U50" t="s">
        <v>805</v>
      </c>
      <c r="W50" t="s">
        <v>805</v>
      </c>
      <c r="X50" t="s">
        <v>806</v>
      </c>
      <c r="Y50" t="s">
        <v>807</v>
      </c>
      <c r="Z50">
        <v>7.1</v>
      </c>
      <c r="AA50">
        <v>207739</v>
      </c>
      <c r="AB50" t="s">
        <v>808</v>
      </c>
      <c r="AC50">
        <v>11</v>
      </c>
      <c r="AD50">
        <v>2016</v>
      </c>
      <c r="AE50">
        <v>47</v>
      </c>
      <c r="AF50" t="s">
        <v>809</v>
      </c>
      <c r="AG50">
        <v>29</v>
      </c>
      <c r="AH50">
        <v>20.267798726689598</v>
      </c>
      <c r="AI50">
        <v>0.67559329088965603</v>
      </c>
      <c r="AJ50" t="s">
        <v>61</v>
      </c>
      <c r="AK50" t="s">
        <v>810</v>
      </c>
      <c r="AL50">
        <v>69</v>
      </c>
      <c r="AM50">
        <v>1</v>
      </c>
      <c r="AN50">
        <v>80</v>
      </c>
      <c r="AO50">
        <v>0.01</v>
      </c>
      <c r="AP50" t="s">
        <v>63</v>
      </c>
      <c r="AQ50" t="s">
        <v>63</v>
      </c>
    </row>
    <row r="51" spans="1:43" x14ac:dyDescent="0.2">
      <c r="A51">
        <v>338964</v>
      </c>
      <c r="B51" t="s">
        <v>811</v>
      </c>
      <c r="C51">
        <v>5.4</v>
      </c>
      <c r="D51">
        <v>824</v>
      </c>
      <c r="E51" t="s">
        <v>44</v>
      </c>
      <c r="F51" s="1">
        <v>42697</v>
      </c>
      <c r="G51">
        <v>24100000</v>
      </c>
      <c r="H51">
        <v>92</v>
      </c>
      <c r="I51">
        <v>26000000</v>
      </c>
      <c r="J51" t="s">
        <v>812</v>
      </c>
      <c r="K51" t="s">
        <v>46</v>
      </c>
      <c r="L51" t="s">
        <v>811</v>
      </c>
      <c r="M51" t="s">
        <v>813</v>
      </c>
      <c r="N51">
        <v>4.3617999999999997</v>
      </c>
      <c r="O51" t="s">
        <v>814</v>
      </c>
      <c r="P51" t="s">
        <v>815</v>
      </c>
      <c r="Q51" t="s">
        <v>816</v>
      </c>
      <c r="R51" t="s">
        <v>817</v>
      </c>
      <c r="S51" t="s">
        <v>102</v>
      </c>
      <c r="T51" t="s">
        <v>818</v>
      </c>
      <c r="U51" t="s">
        <v>819</v>
      </c>
      <c r="V51" t="s">
        <v>820</v>
      </c>
      <c r="W51" t="s">
        <v>821</v>
      </c>
      <c r="X51" t="s">
        <v>822</v>
      </c>
      <c r="Y51" t="s">
        <v>823</v>
      </c>
      <c r="Z51">
        <v>5.6</v>
      </c>
      <c r="AA51">
        <v>30415</v>
      </c>
      <c r="AB51" t="s">
        <v>824</v>
      </c>
      <c r="AC51">
        <v>11</v>
      </c>
      <c r="AD51">
        <v>2016</v>
      </c>
      <c r="AE51">
        <v>47</v>
      </c>
      <c r="AF51" t="s">
        <v>825</v>
      </c>
      <c r="AG51">
        <v>29</v>
      </c>
      <c r="AH51">
        <v>16.9977224399546</v>
      </c>
      <c r="AI51">
        <v>0.56659074799848796</v>
      </c>
      <c r="AJ51" t="s">
        <v>61</v>
      </c>
      <c r="AK51" t="s">
        <v>826</v>
      </c>
      <c r="AL51">
        <v>33</v>
      </c>
      <c r="AM51">
        <v>0</v>
      </c>
      <c r="AN51">
        <v>33</v>
      </c>
      <c r="AO51">
        <v>0</v>
      </c>
      <c r="AP51" t="s">
        <v>63</v>
      </c>
      <c r="AQ51" t="s">
        <v>63</v>
      </c>
    </row>
    <row r="52" spans="1:43" x14ac:dyDescent="0.2">
      <c r="A52">
        <v>369885</v>
      </c>
      <c r="B52" t="s">
        <v>827</v>
      </c>
      <c r="C52">
        <v>6.8</v>
      </c>
      <c r="D52">
        <v>4647</v>
      </c>
      <c r="E52" t="s">
        <v>44</v>
      </c>
      <c r="F52" s="1">
        <v>42697</v>
      </c>
      <c r="G52">
        <v>119520023</v>
      </c>
      <c r="H52">
        <v>124</v>
      </c>
      <c r="I52">
        <v>106000000</v>
      </c>
      <c r="J52" t="s">
        <v>828</v>
      </c>
      <c r="K52" t="s">
        <v>46</v>
      </c>
      <c r="L52" t="s">
        <v>827</v>
      </c>
      <c r="M52" t="s">
        <v>829</v>
      </c>
      <c r="N52">
        <v>4.8125999999999998</v>
      </c>
      <c r="O52" t="s">
        <v>830</v>
      </c>
      <c r="P52" t="s">
        <v>831</v>
      </c>
      <c r="Q52" t="s">
        <v>832</v>
      </c>
      <c r="R52" t="s">
        <v>833</v>
      </c>
      <c r="S52" t="s">
        <v>834</v>
      </c>
      <c r="T52" t="s">
        <v>835</v>
      </c>
      <c r="U52" t="s">
        <v>836</v>
      </c>
      <c r="V52" t="s">
        <v>837</v>
      </c>
      <c r="W52" t="s">
        <v>838</v>
      </c>
      <c r="X52" t="s">
        <v>839</v>
      </c>
      <c r="Y52" t="s">
        <v>840</v>
      </c>
      <c r="Z52">
        <v>7.1</v>
      </c>
      <c r="AA52">
        <v>177810</v>
      </c>
      <c r="AB52" t="s">
        <v>841</v>
      </c>
      <c r="AC52">
        <v>11</v>
      </c>
      <c r="AD52">
        <v>2016</v>
      </c>
      <c r="AE52">
        <v>47</v>
      </c>
      <c r="AF52" t="s">
        <v>842</v>
      </c>
      <c r="AG52">
        <v>29</v>
      </c>
      <c r="AH52">
        <v>18.598994480151902</v>
      </c>
      <c r="AI52">
        <v>0.61996648267173204</v>
      </c>
      <c r="AJ52" t="s">
        <v>61</v>
      </c>
      <c r="AK52" t="s">
        <v>843</v>
      </c>
      <c r="AL52">
        <v>66</v>
      </c>
      <c r="AM52">
        <v>0</v>
      </c>
      <c r="AN52">
        <v>74</v>
      </c>
      <c r="AO52">
        <v>0</v>
      </c>
      <c r="AP52" t="s">
        <v>63</v>
      </c>
      <c r="AQ52" t="s">
        <v>63</v>
      </c>
    </row>
    <row r="53" spans="1:43" x14ac:dyDescent="0.2">
      <c r="A53">
        <v>310307</v>
      </c>
      <c r="B53" t="s">
        <v>844</v>
      </c>
      <c r="C53">
        <v>7.1</v>
      </c>
      <c r="D53">
        <v>5216</v>
      </c>
      <c r="E53" t="s">
        <v>44</v>
      </c>
      <c r="F53" s="1">
        <v>42698</v>
      </c>
      <c r="G53">
        <v>24121245</v>
      </c>
      <c r="H53">
        <v>115</v>
      </c>
      <c r="I53">
        <v>15000000</v>
      </c>
      <c r="J53" t="s">
        <v>845</v>
      </c>
      <c r="K53" t="s">
        <v>46</v>
      </c>
      <c r="L53" t="s">
        <v>844</v>
      </c>
      <c r="M53" t="s">
        <v>846</v>
      </c>
      <c r="N53">
        <v>3.8368000000000002</v>
      </c>
      <c r="O53" t="s">
        <v>847</v>
      </c>
      <c r="P53" t="s">
        <v>278</v>
      </c>
      <c r="Q53" t="s">
        <v>848</v>
      </c>
      <c r="R53" t="s">
        <v>849</v>
      </c>
      <c r="S53" t="s">
        <v>102</v>
      </c>
      <c r="T53" t="s">
        <v>850</v>
      </c>
      <c r="U53" t="s">
        <v>851</v>
      </c>
      <c r="V53" t="s">
        <v>852</v>
      </c>
      <c r="W53" t="s">
        <v>853</v>
      </c>
      <c r="X53" t="s">
        <v>854</v>
      </c>
      <c r="Y53" t="s">
        <v>855</v>
      </c>
      <c r="Z53">
        <v>7.2</v>
      </c>
      <c r="AA53">
        <v>198959</v>
      </c>
      <c r="AB53" t="s">
        <v>856</v>
      </c>
      <c r="AC53">
        <v>11</v>
      </c>
      <c r="AD53">
        <v>2016</v>
      </c>
      <c r="AE53">
        <v>47</v>
      </c>
      <c r="AF53" t="s">
        <v>857</v>
      </c>
      <c r="AG53">
        <v>30</v>
      </c>
      <c r="AH53">
        <v>16.998603586863801</v>
      </c>
      <c r="AI53">
        <v>0.54834205118915502</v>
      </c>
      <c r="AJ53" t="s">
        <v>61</v>
      </c>
      <c r="AK53" t="s">
        <v>858</v>
      </c>
      <c r="AL53">
        <v>42</v>
      </c>
      <c r="AM53">
        <v>2</v>
      </c>
      <c r="AN53">
        <v>55</v>
      </c>
      <c r="AO53">
        <v>0.04</v>
      </c>
      <c r="AP53" t="s">
        <v>63</v>
      </c>
      <c r="AQ53" t="s">
        <v>63</v>
      </c>
    </row>
    <row r="54" spans="1:43" x14ac:dyDescent="0.2">
      <c r="A54">
        <v>334543</v>
      </c>
      <c r="B54" t="s">
        <v>859</v>
      </c>
      <c r="C54">
        <v>8.0419999999999998</v>
      </c>
      <c r="D54">
        <v>6786</v>
      </c>
      <c r="E54" t="s">
        <v>44</v>
      </c>
      <c r="F54" s="1">
        <v>42698</v>
      </c>
      <c r="G54">
        <v>140312928</v>
      </c>
      <c r="H54">
        <v>118</v>
      </c>
      <c r="I54">
        <v>12000000</v>
      </c>
      <c r="J54" t="s">
        <v>860</v>
      </c>
      <c r="K54" t="s">
        <v>46</v>
      </c>
      <c r="L54" t="s">
        <v>859</v>
      </c>
      <c r="M54" t="s">
        <v>861</v>
      </c>
      <c r="N54">
        <v>5.2455999999999996</v>
      </c>
      <c r="O54" t="s">
        <v>862</v>
      </c>
      <c r="P54" t="s">
        <v>180</v>
      </c>
      <c r="Q54" t="s">
        <v>863</v>
      </c>
      <c r="R54" t="s">
        <v>864</v>
      </c>
      <c r="S54" t="s">
        <v>865</v>
      </c>
      <c r="T54" t="s">
        <v>866</v>
      </c>
      <c r="U54" t="s">
        <v>867</v>
      </c>
      <c r="V54" t="s">
        <v>868</v>
      </c>
      <c r="W54" t="s">
        <v>869</v>
      </c>
      <c r="X54" t="s">
        <v>870</v>
      </c>
      <c r="Y54" t="s">
        <v>871</v>
      </c>
      <c r="Z54">
        <v>8</v>
      </c>
      <c r="AA54">
        <v>262983</v>
      </c>
      <c r="AB54" t="s">
        <v>872</v>
      </c>
      <c r="AC54">
        <v>11</v>
      </c>
      <c r="AD54">
        <v>2016</v>
      </c>
      <c r="AE54">
        <v>47</v>
      </c>
      <c r="AF54" t="s">
        <v>873</v>
      </c>
      <c r="AG54">
        <v>30</v>
      </c>
      <c r="AH54">
        <v>18.759385693357199</v>
      </c>
      <c r="AI54">
        <v>0.60514147397926399</v>
      </c>
      <c r="AJ54" t="s">
        <v>61</v>
      </c>
      <c r="AK54" t="s">
        <v>874</v>
      </c>
      <c r="AL54">
        <v>51</v>
      </c>
      <c r="AM54">
        <v>0</v>
      </c>
      <c r="AN54">
        <v>80</v>
      </c>
      <c r="AO54">
        <v>0</v>
      </c>
      <c r="AP54" t="s">
        <v>63</v>
      </c>
      <c r="AQ54" t="s">
        <v>63</v>
      </c>
    </row>
    <row r="55" spans="1:43" x14ac:dyDescent="0.2">
      <c r="A55">
        <v>346672</v>
      </c>
      <c r="B55" t="s">
        <v>875</v>
      </c>
      <c r="C55">
        <v>5.9</v>
      </c>
      <c r="D55">
        <v>3818</v>
      </c>
      <c r="E55" t="s">
        <v>44</v>
      </c>
      <c r="F55" s="1">
        <v>42698</v>
      </c>
      <c r="G55">
        <v>81093313</v>
      </c>
      <c r="H55">
        <v>91</v>
      </c>
      <c r="I55">
        <v>35000000</v>
      </c>
      <c r="J55" t="s">
        <v>876</v>
      </c>
      <c r="K55" t="s">
        <v>46</v>
      </c>
      <c r="L55" t="s">
        <v>875</v>
      </c>
      <c r="M55" t="s">
        <v>877</v>
      </c>
      <c r="N55">
        <v>5.5553999999999997</v>
      </c>
      <c r="O55" t="s">
        <v>878</v>
      </c>
      <c r="P55" t="s">
        <v>879</v>
      </c>
      <c r="Q55" t="s">
        <v>880</v>
      </c>
      <c r="R55" t="s">
        <v>70</v>
      </c>
      <c r="S55" t="s">
        <v>102</v>
      </c>
      <c r="T55" t="s">
        <v>881</v>
      </c>
      <c r="U55" t="s">
        <v>882</v>
      </c>
      <c r="V55" t="s">
        <v>883</v>
      </c>
      <c r="W55" t="s">
        <v>884</v>
      </c>
      <c r="X55" t="s">
        <v>885</v>
      </c>
      <c r="Y55" t="s">
        <v>886</v>
      </c>
      <c r="Z55">
        <v>5.8</v>
      </c>
      <c r="AA55">
        <v>84969</v>
      </c>
      <c r="AB55" t="s">
        <v>887</v>
      </c>
      <c r="AC55">
        <v>11</v>
      </c>
      <c r="AD55">
        <v>2016</v>
      </c>
      <c r="AE55">
        <v>47</v>
      </c>
      <c r="AF55" t="s">
        <v>888</v>
      </c>
      <c r="AG55">
        <v>30</v>
      </c>
      <c r="AH55">
        <v>18.211111074256799</v>
      </c>
      <c r="AI55">
        <v>0.58745519594376805</v>
      </c>
      <c r="AJ55" t="s">
        <v>61</v>
      </c>
      <c r="AK55" t="s">
        <v>889</v>
      </c>
      <c r="AL55">
        <v>55</v>
      </c>
      <c r="AM55">
        <v>0</v>
      </c>
      <c r="AN55">
        <v>59</v>
      </c>
      <c r="AO55">
        <v>0</v>
      </c>
      <c r="AP55" t="s">
        <v>63</v>
      </c>
      <c r="AQ55" t="s">
        <v>63</v>
      </c>
    </row>
    <row r="56" spans="1:43" x14ac:dyDescent="0.2">
      <c r="A56">
        <v>384682</v>
      </c>
      <c r="B56" t="s">
        <v>890</v>
      </c>
      <c r="C56">
        <v>5.7</v>
      </c>
      <c r="D56">
        <v>2117</v>
      </c>
      <c r="E56" t="s">
        <v>44</v>
      </c>
      <c r="F56" s="1">
        <v>42699</v>
      </c>
      <c r="G56">
        <v>114500000</v>
      </c>
      <c r="H56">
        <v>105</v>
      </c>
      <c r="I56">
        <v>45000000</v>
      </c>
      <c r="J56" t="s">
        <v>891</v>
      </c>
      <c r="K56" t="s">
        <v>46</v>
      </c>
      <c r="L56" t="s">
        <v>890</v>
      </c>
      <c r="M56" t="s">
        <v>892</v>
      </c>
      <c r="N56">
        <v>1.4077999999999999</v>
      </c>
      <c r="O56" t="s">
        <v>893</v>
      </c>
      <c r="P56" t="s">
        <v>560</v>
      </c>
      <c r="Q56" t="s">
        <v>894</v>
      </c>
      <c r="R56" t="s">
        <v>70</v>
      </c>
      <c r="S56" t="s">
        <v>895</v>
      </c>
      <c r="T56" t="s">
        <v>896</v>
      </c>
      <c r="U56" t="s">
        <v>897</v>
      </c>
      <c r="V56" t="s">
        <v>898</v>
      </c>
      <c r="W56" t="s">
        <v>899</v>
      </c>
      <c r="X56" t="s">
        <v>900</v>
      </c>
      <c r="Y56" t="s">
        <v>901</v>
      </c>
      <c r="Z56">
        <v>5.9</v>
      </c>
      <c r="AA56">
        <v>92367</v>
      </c>
      <c r="AB56" t="s">
        <v>902</v>
      </c>
      <c r="AC56">
        <v>11</v>
      </c>
      <c r="AD56">
        <v>2016</v>
      </c>
      <c r="AE56">
        <v>47</v>
      </c>
      <c r="AF56" t="s">
        <v>903</v>
      </c>
      <c r="AG56">
        <v>31</v>
      </c>
      <c r="AH56">
        <v>18.5560853896921</v>
      </c>
      <c r="AI56">
        <v>0.57987766842788102</v>
      </c>
      <c r="AJ56" t="s">
        <v>61</v>
      </c>
      <c r="AK56" t="s">
        <v>904</v>
      </c>
      <c r="AL56">
        <v>54</v>
      </c>
      <c r="AM56">
        <v>0</v>
      </c>
      <c r="AN56">
        <v>62</v>
      </c>
      <c r="AO56">
        <v>0</v>
      </c>
      <c r="AP56" t="s">
        <v>63</v>
      </c>
      <c r="AQ56" t="s">
        <v>63</v>
      </c>
    </row>
    <row r="57" spans="1:43" x14ac:dyDescent="0.2">
      <c r="A57">
        <v>401252</v>
      </c>
      <c r="B57" t="s">
        <v>905</v>
      </c>
      <c r="C57">
        <v>5.0999999999999996</v>
      </c>
      <c r="D57">
        <v>92</v>
      </c>
      <c r="E57" t="s">
        <v>44</v>
      </c>
      <c r="F57" s="1">
        <v>42699</v>
      </c>
      <c r="G57">
        <v>1236731</v>
      </c>
      <c r="H57">
        <v>130</v>
      </c>
      <c r="I57">
        <v>11800000</v>
      </c>
      <c r="J57" t="s">
        <v>906</v>
      </c>
      <c r="K57" t="s">
        <v>907</v>
      </c>
      <c r="L57" t="s">
        <v>908</v>
      </c>
      <c r="M57" t="s">
        <v>909</v>
      </c>
      <c r="N57">
        <v>0.94769999999999999</v>
      </c>
      <c r="O57" t="s">
        <v>910</v>
      </c>
      <c r="P57" t="s">
        <v>560</v>
      </c>
      <c r="Q57" t="s">
        <v>911</v>
      </c>
      <c r="R57" t="s">
        <v>912</v>
      </c>
      <c r="S57" t="s">
        <v>228</v>
      </c>
      <c r="T57" t="s">
        <v>913</v>
      </c>
      <c r="U57" t="s">
        <v>914</v>
      </c>
      <c r="V57" t="s">
        <v>915</v>
      </c>
      <c r="W57" t="s">
        <v>916</v>
      </c>
      <c r="X57" t="s">
        <v>917</v>
      </c>
      <c r="Y57" t="s">
        <v>918</v>
      </c>
      <c r="Z57">
        <v>5.3</v>
      </c>
      <c r="AA57">
        <v>2369</v>
      </c>
      <c r="AB57" t="s">
        <v>919</v>
      </c>
      <c r="AC57">
        <v>11</v>
      </c>
      <c r="AD57">
        <v>2016</v>
      </c>
      <c r="AE57">
        <v>47</v>
      </c>
      <c r="AF57" t="s">
        <v>920</v>
      </c>
      <c r="AG57">
        <v>31</v>
      </c>
      <c r="AH57">
        <v>14.027982974708699</v>
      </c>
      <c r="AI57">
        <v>0.43837446795964702</v>
      </c>
      <c r="AJ57" t="s">
        <v>61</v>
      </c>
      <c r="AK57" t="s">
        <v>921</v>
      </c>
      <c r="AL57">
        <v>13</v>
      </c>
      <c r="AM57">
        <v>0</v>
      </c>
      <c r="AN57">
        <v>19</v>
      </c>
      <c r="AO57">
        <v>0</v>
      </c>
      <c r="AP57" t="s">
        <v>63</v>
      </c>
      <c r="AQ57" t="s">
        <v>63</v>
      </c>
    </row>
    <row r="58" spans="1:43" x14ac:dyDescent="0.2">
      <c r="A58">
        <v>241258</v>
      </c>
      <c r="B58" t="s">
        <v>922</v>
      </c>
      <c r="C58">
        <v>5.4</v>
      </c>
      <c r="D58">
        <v>581</v>
      </c>
      <c r="E58" t="s">
        <v>44</v>
      </c>
      <c r="F58" s="1">
        <v>42705</v>
      </c>
      <c r="G58">
        <v>9371036</v>
      </c>
      <c r="H58">
        <v>87</v>
      </c>
      <c r="I58">
        <v>5000000</v>
      </c>
      <c r="J58" t="s">
        <v>923</v>
      </c>
      <c r="K58" t="s">
        <v>46</v>
      </c>
      <c r="L58" t="s">
        <v>922</v>
      </c>
      <c r="M58" t="s">
        <v>924</v>
      </c>
      <c r="N58">
        <v>3.2292000000000001</v>
      </c>
      <c r="O58" t="s">
        <v>925</v>
      </c>
      <c r="P58" t="s">
        <v>84</v>
      </c>
      <c r="Q58" t="s">
        <v>926</v>
      </c>
      <c r="R58" t="s">
        <v>70</v>
      </c>
      <c r="S58" t="s">
        <v>102</v>
      </c>
      <c r="T58" t="s">
        <v>927</v>
      </c>
      <c r="U58" t="s">
        <v>928</v>
      </c>
      <c r="V58" t="s">
        <v>929</v>
      </c>
      <c r="W58" t="s">
        <v>930</v>
      </c>
      <c r="X58" t="s">
        <v>931</v>
      </c>
      <c r="Y58" t="s">
        <v>932</v>
      </c>
      <c r="Z58">
        <v>5.3</v>
      </c>
      <c r="AA58">
        <v>14784</v>
      </c>
      <c r="AB58" t="s">
        <v>933</v>
      </c>
      <c r="AC58">
        <v>12</v>
      </c>
      <c r="AD58">
        <v>2016</v>
      </c>
      <c r="AE58">
        <v>48</v>
      </c>
      <c r="AF58" t="s">
        <v>934</v>
      </c>
      <c r="AG58">
        <v>37</v>
      </c>
      <c r="AH58">
        <v>16.053134320449399</v>
      </c>
      <c r="AI58">
        <v>0.422450903169722</v>
      </c>
      <c r="AJ58" t="s">
        <v>61</v>
      </c>
      <c r="AK58" t="s">
        <v>935</v>
      </c>
      <c r="AL58">
        <v>36</v>
      </c>
      <c r="AM58">
        <v>2</v>
      </c>
      <c r="AN58">
        <v>41</v>
      </c>
      <c r="AO58">
        <v>0.05</v>
      </c>
      <c r="AP58" t="s">
        <v>63</v>
      </c>
      <c r="AQ58" t="s">
        <v>63</v>
      </c>
    </row>
    <row r="59" spans="1:43" x14ac:dyDescent="0.2">
      <c r="A59">
        <v>313369</v>
      </c>
      <c r="B59" t="s">
        <v>936</v>
      </c>
      <c r="C59">
        <v>7.8979999999999997</v>
      </c>
      <c r="D59">
        <v>17604</v>
      </c>
      <c r="E59" t="s">
        <v>44</v>
      </c>
      <c r="F59" s="1">
        <v>42705</v>
      </c>
      <c r="G59">
        <v>509183536</v>
      </c>
      <c r="H59">
        <v>129</v>
      </c>
      <c r="I59">
        <v>30000000</v>
      </c>
      <c r="J59" t="s">
        <v>937</v>
      </c>
      <c r="K59" t="s">
        <v>46</v>
      </c>
      <c r="L59" t="s">
        <v>936</v>
      </c>
      <c r="M59" t="s">
        <v>938</v>
      </c>
      <c r="N59">
        <v>9.0991</v>
      </c>
      <c r="O59" t="s">
        <v>939</v>
      </c>
      <c r="P59" t="s">
        <v>940</v>
      </c>
      <c r="Q59" t="s">
        <v>941</v>
      </c>
      <c r="R59" t="s">
        <v>70</v>
      </c>
      <c r="S59" t="s">
        <v>102</v>
      </c>
      <c r="T59" t="s">
        <v>942</v>
      </c>
      <c r="U59" t="s">
        <v>943</v>
      </c>
      <c r="V59" t="s">
        <v>944</v>
      </c>
      <c r="W59" t="s">
        <v>945</v>
      </c>
      <c r="X59" t="s">
        <v>946</v>
      </c>
      <c r="Y59" t="s">
        <v>947</v>
      </c>
      <c r="Z59">
        <v>8</v>
      </c>
      <c r="AA59">
        <v>739269</v>
      </c>
      <c r="AB59" t="s">
        <v>948</v>
      </c>
      <c r="AC59">
        <v>12</v>
      </c>
      <c r="AD59">
        <v>2016</v>
      </c>
      <c r="AE59">
        <v>48</v>
      </c>
      <c r="AF59" t="s">
        <v>949</v>
      </c>
      <c r="AG59">
        <v>37</v>
      </c>
      <c r="AH59">
        <v>20.048319093017199</v>
      </c>
      <c r="AI59">
        <v>0.52758734455308498</v>
      </c>
      <c r="AJ59" t="s">
        <v>61</v>
      </c>
      <c r="AK59" t="s">
        <v>950</v>
      </c>
      <c r="AL59">
        <v>75</v>
      </c>
      <c r="AM59">
        <v>2</v>
      </c>
      <c r="AN59">
        <v>121</v>
      </c>
      <c r="AO59">
        <v>0.02</v>
      </c>
      <c r="AP59" t="s">
        <v>63</v>
      </c>
      <c r="AQ59" t="s">
        <v>63</v>
      </c>
    </row>
    <row r="60" spans="1:43" x14ac:dyDescent="0.2">
      <c r="A60">
        <v>354859</v>
      </c>
      <c r="B60" t="s">
        <v>951</v>
      </c>
      <c r="C60">
        <v>6.9</v>
      </c>
      <c r="D60">
        <v>482</v>
      </c>
      <c r="E60" t="s">
        <v>44</v>
      </c>
      <c r="F60" s="1">
        <v>42706</v>
      </c>
      <c r="G60">
        <v>12448676</v>
      </c>
      <c r="H60">
        <v>133</v>
      </c>
      <c r="I60">
        <v>90000000</v>
      </c>
      <c r="J60" t="s">
        <v>952</v>
      </c>
      <c r="K60" t="s">
        <v>46</v>
      </c>
      <c r="L60" t="s">
        <v>951</v>
      </c>
      <c r="M60" t="s">
        <v>953</v>
      </c>
      <c r="N60">
        <v>6.6383000000000001</v>
      </c>
      <c r="O60" t="s">
        <v>954</v>
      </c>
      <c r="P60" t="s">
        <v>955</v>
      </c>
      <c r="Q60" t="s">
        <v>956</v>
      </c>
      <c r="R60" t="s">
        <v>329</v>
      </c>
      <c r="S60" t="s">
        <v>957</v>
      </c>
      <c r="T60" t="s">
        <v>958</v>
      </c>
      <c r="U60" t="s">
        <v>959</v>
      </c>
      <c r="V60" t="s">
        <v>960</v>
      </c>
      <c r="W60" t="s">
        <v>961</v>
      </c>
      <c r="X60" t="s">
        <v>962</v>
      </c>
      <c r="Y60" t="s">
        <v>963</v>
      </c>
      <c r="Z60">
        <v>6.1</v>
      </c>
      <c r="AA60">
        <v>180049</v>
      </c>
      <c r="AB60" t="s">
        <v>964</v>
      </c>
      <c r="AC60">
        <v>12</v>
      </c>
      <c r="AD60">
        <v>2016</v>
      </c>
      <c r="AE60">
        <v>48</v>
      </c>
      <c r="AF60" t="s">
        <v>965</v>
      </c>
      <c r="AG60">
        <v>38</v>
      </c>
      <c r="AH60">
        <v>16.3371249101682</v>
      </c>
      <c r="AI60">
        <v>0.41890063872226102</v>
      </c>
      <c r="AJ60" t="s">
        <v>61</v>
      </c>
      <c r="AK60" t="s">
        <v>966</v>
      </c>
      <c r="AL60">
        <v>33</v>
      </c>
      <c r="AM60">
        <v>0</v>
      </c>
      <c r="AN60">
        <v>43</v>
      </c>
      <c r="AO60">
        <v>0</v>
      </c>
      <c r="AP60" t="s">
        <v>63</v>
      </c>
      <c r="AQ60" t="s">
        <v>63</v>
      </c>
    </row>
    <row r="61" spans="1:43" hidden="1" x14ac:dyDescent="0.2">
      <c r="A61">
        <v>429450</v>
      </c>
      <c r="B61" t="s">
        <v>967</v>
      </c>
      <c r="C61">
        <v>7.5</v>
      </c>
      <c r="D61">
        <v>495</v>
      </c>
      <c r="E61" t="s">
        <v>44</v>
      </c>
      <c r="F61" s="1">
        <v>42711</v>
      </c>
      <c r="G61">
        <v>30169000</v>
      </c>
      <c r="H61">
        <v>136</v>
      </c>
      <c r="I61">
        <v>13938145</v>
      </c>
      <c r="J61" t="s">
        <v>968</v>
      </c>
      <c r="K61" t="s">
        <v>969</v>
      </c>
      <c r="L61" t="s">
        <v>970</v>
      </c>
      <c r="M61" t="s">
        <v>971</v>
      </c>
      <c r="N61">
        <v>3.5821999999999998</v>
      </c>
      <c r="O61" t="s">
        <v>972</v>
      </c>
      <c r="P61" t="s">
        <v>973</v>
      </c>
      <c r="Q61" t="s">
        <v>974</v>
      </c>
      <c r="R61" t="s">
        <v>975</v>
      </c>
      <c r="S61" t="s">
        <v>976</v>
      </c>
      <c r="T61" t="s">
        <v>977</v>
      </c>
      <c r="U61" t="s">
        <v>978</v>
      </c>
      <c r="V61" t="s">
        <v>979</v>
      </c>
      <c r="W61" t="s">
        <v>980</v>
      </c>
      <c r="X61" t="s">
        <v>981</v>
      </c>
      <c r="Y61" t="s">
        <v>982</v>
      </c>
      <c r="Z61">
        <v>6.7</v>
      </c>
      <c r="AA61">
        <v>9374</v>
      </c>
      <c r="AB61" t="s">
        <v>983</v>
      </c>
      <c r="AC61">
        <v>12</v>
      </c>
      <c r="AD61">
        <v>2016</v>
      </c>
      <c r="AE61">
        <v>49</v>
      </c>
      <c r="AF61" t="s">
        <v>984</v>
      </c>
      <c r="AG61">
        <v>43</v>
      </c>
      <c r="AH61">
        <v>17.2223254982237</v>
      </c>
      <c r="AI61">
        <v>0.39141648859599398</v>
      </c>
      <c r="AJ61" t="s">
        <v>61</v>
      </c>
      <c r="AK61" t="s">
        <v>985</v>
      </c>
      <c r="AL61">
        <v>2</v>
      </c>
      <c r="AM61">
        <v>12</v>
      </c>
      <c r="AN61">
        <v>15</v>
      </c>
      <c r="AO61">
        <v>0.8</v>
      </c>
      <c r="AP61" t="s">
        <v>570</v>
      </c>
      <c r="AQ61" t="s">
        <v>63</v>
      </c>
    </row>
    <row r="62" spans="1:43" x14ac:dyDescent="0.2">
      <c r="A62">
        <v>399624</v>
      </c>
      <c r="B62" t="s">
        <v>986</v>
      </c>
      <c r="C62">
        <v>5.2</v>
      </c>
      <c r="D62">
        <v>56</v>
      </c>
      <c r="E62" t="s">
        <v>44</v>
      </c>
      <c r="F62" s="1">
        <v>42713</v>
      </c>
      <c r="G62">
        <v>9600000</v>
      </c>
      <c r="H62">
        <v>132</v>
      </c>
      <c r="I62">
        <v>15500000</v>
      </c>
      <c r="J62" t="s">
        <v>987</v>
      </c>
      <c r="K62" t="s">
        <v>374</v>
      </c>
      <c r="L62" t="s">
        <v>988</v>
      </c>
      <c r="M62" t="s">
        <v>989</v>
      </c>
      <c r="N62">
        <v>0.72460000000000002</v>
      </c>
      <c r="O62" t="s">
        <v>990</v>
      </c>
      <c r="P62" t="s">
        <v>991</v>
      </c>
      <c r="Q62" t="s">
        <v>992</v>
      </c>
      <c r="R62" t="s">
        <v>993</v>
      </c>
      <c r="S62" t="s">
        <v>381</v>
      </c>
      <c r="T62" t="s">
        <v>994</v>
      </c>
      <c r="U62" t="s">
        <v>995</v>
      </c>
      <c r="W62" t="s">
        <v>996</v>
      </c>
      <c r="X62" t="s">
        <v>997</v>
      </c>
      <c r="Y62" t="s">
        <v>998</v>
      </c>
      <c r="Z62">
        <v>4.2</v>
      </c>
      <c r="AA62">
        <v>8637</v>
      </c>
      <c r="AB62" t="s">
        <v>999</v>
      </c>
      <c r="AC62">
        <v>12</v>
      </c>
      <c r="AD62">
        <v>2016</v>
      </c>
      <c r="AE62">
        <v>49</v>
      </c>
      <c r="AF62" t="s">
        <v>1000</v>
      </c>
      <c r="AG62">
        <v>45</v>
      </c>
      <c r="AH62">
        <v>16.077273760604701</v>
      </c>
      <c r="AI62">
        <v>0.34950595131749401</v>
      </c>
      <c r="AJ62" t="s">
        <v>61</v>
      </c>
      <c r="AK62" t="s">
        <v>1001</v>
      </c>
      <c r="AL62">
        <v>10</v>
      </c>
      <c r="AM62">
        <v>0</v>
      </c>
      <c r="AN62">
        <v>12</v>
      </c>
      <c r="AO62">
        <v>0</v>
      </c>
      <c r="AP62" t="s">
        <v>63</v>
      </c>
      <c r="AQ62" t="s">
        <v>63</v>
      </c>
    </row>
    <row r="63" spans="1:43" x14ac:dyDescent="0.2">
      <c r="A63" t="s">
        <v>1002</v>
      </c>
      <c r="AI63">
        <f>SUBTOTAL(109,Table1[score])</f>
        <v>59.35950402391056</v>
      </c>
      <c r="AQ63">
        <f>SUBTOTAL(103,Table1[error])</f>
        <v>59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Doctor_Strange_attributes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ksarav</cp:lastModifiedBy>
  <dcterms:created xsi:type="dcterms:W3CDTF">2026-02-17T17:10:57Z</dcterms:created>
  <dcterms:modified xsi:type="dcterms:W3CDTF">2026-02-17T17:57:34Z</dcterms:modified>
</cp:coreProperties>
</file>