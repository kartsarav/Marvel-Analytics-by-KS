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D678A3C9-86DA-C246-B0D4-784030BDD2EB}" xr6:coauthVersionLast="47" xr6:coauthVersionMax="47" xr10:uidLastSave="{00000000-0000-0000-0000-000000000000}"/>
  <bookViews>
    <workbookView xWindow="380" yWindow="80" windowWidth="28040" windowHeight="17180" xr2:uid="{B8846B57-1C39-8945-98FB-8C852ACA4452}"/>
  </bookViews>
  <sheets>
    <sheet name="Thor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6" i="1" l="1"/>
  <c r="AQ56" i="1"/>
</calcChain>
</file>

<file path=xl/sharedStrings.xml><?xml version="1.0" encoding="utf-8"?>
<sst xmlns="http://schemas.openxmlformats.org/spreadsheetml/2006/main" count="1285" uniqueCount="879">
  <si>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</si>
  <si>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</si>
  <si>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</si>
  <si>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</si>
  <si>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</si>
  <si>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</si>
  <si>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</si>
  <si>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</si>
  <si>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</si>
  <si>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</si>
  <si>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</si>
  <si>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</si>
  <si>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</si>
  <si>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</si>
  <si>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</si>
  <si>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</si>
  <si>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</si>
  <si>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</si>
  <si>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</si>
  <si>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</si>
  <si>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</si>
  <si>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</si>
  <si>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</si>
  <si>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</si>
  <si>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</si>
  <si>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</si>
  <si>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</si>
  <si>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</si>
  <si>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</si>
  <si>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</si>
  <si>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</si>
  <si>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</si>
  <si>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</si>
  <si>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</si>
  <si>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</si>
  <si>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</si>
  <si>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</si>
  <si>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</si>
  <si>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</si>
  <si>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</si>
  <si>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</si>
  <si>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</si>
  <si>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</si>
  <si>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Battle: Los Angeles</t>
  </si>
  <si>
    <t>Released</t>
  </si>
  <si>
    <t>tt1217613</t>
  </si>
  <si>
    <t>en</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</si>
  <si>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</si>
  <si>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</si>
  <si>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Science Fiction, Action</t>
  </si>
  <si>
    <t>columbia pictures, relativity media, original film</t>
  </si>
  <si>
    <t>United States of America</t>
  </si>
  <si>
    <t>English, ‚Äì¬£‚Äì‚à´‚Äî√Ñ‚Äì‚àû‚Äî√≥‚ÄìŒ©‚Äî√Ö‚Äî√•‚Äì‚à´‚Äì‚àè‚ÄìœÄ</t>
  </si>
  <si>
    <t>Ava Bogle, Beth Keener, Ram‚àö‚â•n Rodr‚àö‚â†guez,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Pe‚àö¬±a, Bryce Cass, Taylor Handley, Rus Blackwell, Courtney Munch, Todd Cochran, Susie Abromeit, Nzinga Blake, Kenneth Brown Jr., Bridget Moynahan, Taryn Southern, Keith Middlebrook, Grant Case, Will Rothhaar, Nick Jones Jr., Jim Palmer</t>
  </si>
  <si>
    <t>Jonathan Liebesman</t>
  </si>
  <si>
    <t>Lukas Ettlin</t>
  </si>
  <si>
    <t>Christopher Bertolini</t>
  </si>
  <si>
    <t>Jeffrey Chernov, Neal H. Moritz, David Greenblatt, Ori Marmur</t>
  </si>
  <si>
    <t>Brian Tyler</t>
  </si>
  <si>
    <t>/jloyGeVYZSxM9zsLFvVOWuj2ey4.jpg</t>
  </si>
  <si>
    <t>battle: los angeles</t>
  </si>
  <si>
    <t>thor</t>
  </si>
  <si>
    <t>westwood, california (1), premiere (1), blank (53), dvd premiere (2), blu-ray release (1)</t>
  </si>
  <si>
    <t>no</t>
  </si>
  <si>
    <t>Mars Needs Moms</t>
  </si>
  <si>
    <t>tt1305591</t>
  </si>
  <si>
    <t>When Martians suddenly abduct his mom, mischievous Milo rushes to the rescue and discovers why all moms are so special.</t>
  </si>
  <si>
    <t>Mom needs a little space.</t>
  </si>
  <si>
    <t>Adventure, Animation, Family</t>
  </si>
  <si>
    <t>walt disney pictures, imagemovers digital</t>
  </si>
  <si>
    <t>English</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</si>
  <si>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</si>
  <si>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</si>
  <si>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Robert Presley</t>
  </si>
  <si>
    <t>Berkeley Breathed, Simon Wells, Wendy Wells</t>
  </si>
  <si>
    <t>Steven J. Boyd, Robert Zemeckis, Steve Starkey, Jack Rapke</t>
  </si>
  <si>
    <t>John Powell</t>
  </si>
  <si>
    <t>/g94LNU4pipIUJLkTvYIgNGfT2J2.jpg</t>
  </si>
  <si>
    <t>mars needs moms</t>
  </si>
  <si>
    <t>blank (35), dvd premiere (6), future film festival (1)</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</si>
  <si>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</si>
  <si>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</si>
  <si>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</si>
  <si>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</si>
  <si>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</si>
  <si>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</si>
  <si>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Canada, United States of America</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</si>
  <si>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</si>
  <si>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Catherine Hardwicke</t>
  </si>
  <si>
    <t>Mandy Walker</t>
  </si>
  <si>
    <t>David Leslie Johnson-McGoldrick</t>
  </si>
  <si>
    <t>Catherine Hardwicke, Jennifer Davisson, Michael Ireland, Jim Rowe, Leonardo DiCaprio, Julie Yorn</t>
  </si>
  <si>
    <t>Brian Reitzell, Alex Heffes</t>
  </si>
  <si>
    <t>/dMI4XZCfC0VhUNN1Ds6ty6iRoyJ.jpg</t>
  </si>
  <si>
    <t>red riding hood</t>
  </si>
  <si>
    <t>los angeles, california (1), premiere (1), blank (40), limited (10), shanghai international film festival (1), blu-ray release (1), internet (2)</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</si>
  <si>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</si>
  <si>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</si>
  <si>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</si>
  <si>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refuge‚Äö√Ñ¬∂ and found a place haunted by secrets.</t>
  </si>
  <si>
    <t>Drama, Romance</t>
  </si>
  <si>
    <t>bbc film, ruby films, focus features, lipsync productions</t>
  </si>
  <si>
    <t>United Kingdom, United States of America</t>
  </si>
  <si>
    <t>Fran‚àö√üais, English</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</si>
  <si>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</si>
  <si>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Cary Joji Fukunaga</t>
  </si>
  <si>
    <t>Adriano Goldman</t>
  </si>
  <si>
    <t>Charlotte Bront‚àö¬¥, Moira Buffini</t>
  </si>
  <si>
    <t>Alison Owen, Christine Langan, Paul Trijbits, Peter Hampden</t>
  </si>
  <si>
    <t>Dario Marianelli</t>
  </si>
  <si>
    <t>/3Cn7D0wEaxnvm8kTta1osNu3QJv.jpg</t>
  </si>
  <si>
    <t>jane eyre</t>
  </si>
  <si>
    <t>new york city, new york (1), premiere (1), limited (3), blank (37), karlovy vary international film festival (1), dvd premiere (7), hamburg film festival (1), sitges film festival (1), gent international film festival (1), panorama of european cinema (1), belgrade film festival (1), artisokka film festival (1), cabourg film festival (1), paris cin√©ma (1), tv premiere (1)</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</si>
  <si>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</si>
  <si>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</si>
  <si>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</si>
  <si>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</si>
  <si>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</si>
  <si>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</si>
  <si>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English, T‚àö¬∫rk‚àö√üe</t>
  </si>
  <si>
    <t>Courtney James Clark, Kurt Angle, Gabrielle Chapin, James H‚àö¬©bert,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</si>
  <si>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</si>
  <si>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</si>
  <si>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</si>
  <si>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</si>
  <si>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Klaus Badelt</t>
  </si>
  <si>
    <t>/nZdYn5IktnGVg7pRA2JHD1rdZDH.jpg</t>
  </si>
  <si>
    <t>dylan dog: dead of night</t>
  </si>
  <si>
    <t>american film market (1), blank (13), dvd premiere (3), horrorthon festival dublin (1)</t>
  </si>
  <si>
    <t>My Friends: Act IV ‚Äö√Ñ√¨ How It All Began</t>
  </si>
  <si>
    <t>tt1656168</t>
  </si>
  <si>
    <t>it</t>
  </si>
  <si>
    <t>Amici miei - Come tutto ebbe inizio</t>
  </si>
  <si>
    <t>Jacopo, Duccio, Cecco, Manfredo and Filippo are five friends who live in Florence of the fifteenth century, during a plague epidemic.</t>
  </si>
  <si>
    <t>At the height of its splendor, Florence was struck by a calamity: BOREDOM! To combat it, 5 friends relied on new remedies: gypsies, fishermen, fooling around? I'm fucking around!</t>
  </si>
  <si>
    <t>Comedy</t>
  </si>
  <si>
    <t>filmauro</t>
  </si>
  <si>
    <t>Italy</t>
  </si>
  <si>
    <t>Italiano</t>
  </si>
  <si>
    <t>Massimo Ceccherini, Chiara Francini, Katia Beni, Eros Pagni, Massimo Ghini, Giorgio Panariello, Aline Pilato, Sergio Forconi, Andrea Buscemi, Alessandro Paci, Franco Pistoni, Ainett Stephens, David Riondino, Barbara Enrichi, Giorgio Ariani, Christian De Sica, Graziano Salvadori, Alessandra Acciai, Paolo Hendel, Pamela Villoresi, Michele Placido, Andrea Muzzi, Alessandro Benvenuti</t>
  </si>
  <si>
    <t>Neri Parenti</t>
  </si>
  <si>
    <t>Luciano Tovoli</t>
  </si>
  <si>
    <t>Neri Parenti, Leonardo Benvenuti, Marco Martani, Fausto Brizzi, Piero De Bernardi, Tullio Pinelli</t>
  </si>
  <si>
    <t>Maurizio Amati, Luigi De Laurentiis, Aurelio De Laurentiis</t>
  </si>
  <si>
    <t>Andrea Guerra</t>
  </si>
  <si>
    <t>/6DDYFWsSnYmoKM4ssouD47EYV7A.jpg</t>
  </si>
  <si>
    <t>my friends: act iv ‚Äö√§√¨ how it all began</t>
  </si>
  <si>
    <t>blank (1)</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</si>
  <si>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</si>
  <si>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</si>
  <si>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</si>
  <si>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</si>
  <si>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Crime, Drama, Thriller</t>
  </si>
  <si>
    <t>sidney kimmel entertainment, lionsgate, lakeshore entertainment, stone village pictures</t>
  </si>
  <si>
    <t>Michael Pe‚àö¬±a, Michaela Conlin, Ryan Phillippe, Rebecca Jordan, Jeff Cole, Ron Kari, Tilda Del Toro, Michael Par‚àö¬©,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</si>
  <si>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Brad Furman</t>
  </si>
  <si>
    <t>John Romano, Michael Connelly</t>
  </si>
  <si>
    <t>Tom Rosenberg, Bruce Toll, Sidney Kimmel, Eric Reid, Scott Steindorff, Richard S. Wright, David Kern, Gary Lucchesi</t>
  </si>
  <si>
    <t>Cliff Martinez</t>
  </si>
  <si>
    <t>/gOn8Ve9Yi8fxjRkmLr5BZoOc7KV.jpg</t>
  </si>
  <si>
    <t>the lincoln lawyer</t>
  </si>
  <si>
    <t>hollywood, california (1), premiere (1), blank (45), blu ray premiere (1), dvd premiere (2), internet (3)</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</si>
  <si>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</si>
  <si>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</si>
  <si>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</si>
  <si>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</si>
  <si>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</si>
  <si>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</si>
  <si>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P‚Äî√â‚Äî√Ö‚Äî√Ö‚Äì‚à´‚Äì‚àè‚ÄìœÄ, √ä√¥√Ü√à√Ñ√∂√ã√ò√π, Fran‚àö√üais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</si>
  <si>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</si>
  <si>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Neil Burger</t>
  </si>
  <si>
    <t>Jo Willems</t>
  </si>
  <si>
    <t>Alan Glynn, Leslie Dixon</t>
  </si>
  <si>
    <t>Leslie Dixon, Tucker Tooley, Ryan Kavanaugh, Bradley Cooper, Scott Kroopf, Jason Felts</t>
  </si>
  <si>
    <t>Paul Leonard-Morgan</t>
  </si>
  <si>
    <t>/un0a2U7KLjMH77N6EhqYh7ZOlVx.jpg</t>
  </si>
  <si>
    <t>limitless</t>
  </si>
  <si>
    <t>new york city, new york (1), premiere (2), blank (51), dvd premiere (3), buenos aires (1)</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</si>
  <si>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</si>
  <si>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</si>
  <si>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</si>
  <si>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</si>
  <si>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Drama, Comedy</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</si>
  <si>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</si>
  <si>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</si>
  <si>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Tom McCarthy</t>
  </si>
  <si>
    <t>Oliver Bokelberg</t>
  </si>
  <si>
    <t>Joe Tiboni, Tom McCarthy</t>
  </si>
  <si>
    <t>Lisa Maria Falcone, Tom Heller, Michael London, Tom McCarthy, Mary Jane Skalski, Lori Keith Douglas</t>
  </si>
  <si>
    <t>Lyle Workman</t>
  </si>
  <si>
    <t>/xX0Ryq5J2weFF5BPYb80giKUL02.jpg</t>
  </si>
  <si>
    <t>win win</t>
  </si>
  <si>
    <t>sundance film festival (1), belgrade film festival (1), limited (1), wisconsin film festival (1), blank (15), karlovy vary international film festival (1), athens film festival (1), dvd premiere (2), rio de janeiro international film festival (1), gent international film festival (1), amsterdam film week (1), tallinn black nights film festival (1), torino film festival (1), tv premiere (1)</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</si>
  <si>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</si>
  <si>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</si>
  <si>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</si>
  <si>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</si>
  <si>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Drama</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</si>
  <si>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</si>
  <si>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M‚àö‚â†a Maestro, Rashad Edwards, Josh Segarra</t>
  </si>
  <si>
    <t>Jim Kohlberg</t>
  </si>
  <si>
    <t>Stephen Kazmierski</t>
  </si>
  <si>
    <t>Gwyn Lurie, Gary Marks</t>
  </si>
  <si>
    <t>Jim Kohlberg, Brad Luff, Peter Newman, Julie W. Noll, Neal H. Moritz, Greg Johnson</t>
  </si>
  <si>
    <t>Paul Cantelon</t>
  </si>
  <si>
    <t>/hbKqNh3bi2Do4cpefIbBNUdQJg6.jpg</t>
  </si>
  <si>
    <t>the music never stopped</t>
  </si>
  <si>
    <t>sundance film festival (1), portland, oregon (1), hamburg film festival (1), blank (5), dvd premiere (2), tv premiere (1)</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</si>
  <si>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</si>
  <si>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</si>
  <si>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</si>
  <si>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</si>
  <si>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</si>
  <si>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</si>
  <si>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English, Deutsch</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</si>
  <si>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</si>
  <si>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t>
  </si>
  <si>
    <t>Larry Fong</t>
  </si>
  <si>
    <t>Zack Snyder, Steve Shibuya</t>
  </si>
  <si>
    <t>Jim Rowe, Deborah Snyder, Thomas Tull, Christopher DeFaria, Wesley Coller, Zack Snyder, Jon Jashni, William Fay</t>
  </si>
  <si>
    <t>Marius de Vries, Tyler Bates</t>
  </si>
  <si>
    <t>/jtaUDnvIiHUd2ranDcjB5AbPx6o.jpg</t>
  </si>
  <si>
    <t>sucker punch</t>
  </si>
  <si>
    <t>buenos aires (1), blank (56), night visions film festival (1), blu-ray release (1), dvd premiere (1), tv premiere (1)</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</si>
  <si>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</si>
  <si>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</si>
  <si>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</si>
  <si>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</si>
  <si>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Family, Comedy</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</si>
  <si>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</si>
  <si>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</si>
  <si>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</si>
  <si>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David Bowers</t>
  </si>
  <si>
    <t>Jack N. Green</t>
  </si>
  <si>
    <t>Jeff Kinney, Gabe Sachs, Jeff Judah</t>
  </si>
  <si>
    <t>Jeff Kinney, Brad Simpson, Nina Jacobson</t>
  </si>
  <si>
    <t>Edward Shearmur</t>
  </si>
  <si>
    <t>/k54R3ag1sLu93Wbfo4quw9sSFyj.jpg</t>
  </si>
  <si>
    <t>diary of a wimpy kid: rodrick rules</t>
  </si>
  <si>
    <t>blank (15), dvd premiere (10), blu-ray release (1), blu-ray premiere (1), internet (1), tv premiere (1)</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</si>
  <si>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</si>
  <si>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</si>
  <si>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</si>
  <si>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</si>
  <si>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</si>
  <si>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vend‚àö¬•me production</t>
  </si>
  <si>
    <t>Canada, United States of America, France</t>
  </si>
  <si>
    <t>Michael Arden, Paula Jean Hixson, Kyle Allatt, Raynald Lapierre, Pierre Leblanc, Russell Peters, Matt Holland, Vera Farmiga, Craig Thomas, Kyle Gatehouse, Jeffrey Wright, Fr‚àö¬©d‚àö¬©rick de Grandpr‚àö¬©, Joe Cobden, Tom Tammi, Anne Day-Jones, Albert Kwan, Michelle Monaghan, Brent Skagford, Gordon Masten, Susan Bain, Scott Bakula, Jasson Finney, Lincoln Ward, Cas Anvar, James A. Woods, Clarice Byrne, Jake Gyllenhaal</t>
  </si>
  <si>
    <t>Duncan Jones</t>
  </si>
  <si>
    <t>Don Burgess</t>
  </si>
  <si>
    <t>Ben Ripley</t>
  </si>
  <si>
    <t>Jeb Brody, Philippe Rousselet, Mark Gordon, Hawk Koch, Fabrice Gianfermi, Jordan Wynn</t>
  </si>
  <si>
    <t>Chris Bacon</t>
  </si>
  <si>
    <t>/nTr0lvAzeQmUjgSgDEHTJpnrxTz.jpg</t>
  </si>
  <si>
    <t>source code</t>
  </si>
  <si>
    <t>south by southwest film festival (1), hollywood, california (1), premiere (2), blank (67), beaune film festival (1), mostra de valencia (1), imagine film festival (1), limited (1), buenos aires (1), internet (1), blu-ray release (1), dvd premiere (1)</t>
  </si>
  <si>
    <t>Hop</t>
  </si>
  <si>
    <t>tt1411704</t>
  </si>
  <si>
    <t>E.B., the Easter Bunny's teenage son, heads to Hollywood, determined to become a drummer in a rock 'n' roll band. In L.A., he's taken in by Fred after the out-of-work slacker hits E.B. with his car.</t>
  </si>
  <si>
    <t>Candy, chicks and rock 'n' roll.</t>
  </si>
  <si>
    <t>Animation, Comedy, Family</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</si>
  <si>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</si>
  <si>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Micha‚àö¬¥l Gr‚àö¬©gorio</t>
  </si>
  <si>
    <t>Tim Hill</t>
  </si>
  <si>
    <t>Peter Lyons Collister</t>
  </si>
  <si>
    <t>Brian Lynch, Cinco Paul, Ken Daurio</t>
  </si>
  <si>
    <t>John Cohen, Chris Meledandri, Michele Imperato Stabile</t>
  </si>
  <si>
    <t>Christopher Lennertz</t>
  </si>
  <si>
    <t>/hRa9MJTgCbSuL3h2CVPwUdYOWJH.jpg</t>
  </si>
  <si>
    <t>hop</t>
  </si>
  <si>
    <t>universal city, california (1), premiere (1), blank (45), paris cin√©ma (1)</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</si>
  <si>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</si>
  <si>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</si>
  <si>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</si>
  <si>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</si>
  <si>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Horror, Thriller</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</si>
  <si>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</si>
  <si>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</si>
  <si>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James Wan</t>
  </si>
  <si>
    <t>John R. Leonetti, David M. Brewer</t>
  </si>
  <si>
    <t>Leigh Whannell</t>
  </si>
  <si>
    <t>Jason Blum, Oren Peli, Brian Kavanaugh-Jones, Steven Schneider</t>
  </si>
  <si>
    <t>Joseph Bishara</t>
  </si>
  <si>
    <t>/tmlDFIUpGRKiuWm9Ixc6CYDk4y0.jpg</t>
  </si>
  <si>
    <t>insidious</t>
  </si>
  <si>
    <t>toronto international film festival (1), premiere (1), sitges international fantastic film festival (1), blank (45), imagine film festival (1), lyon festival hallucinations collectives (1), neuch√¢tel international fantastic film festival (1), dvd and blu-ray premiere (1), dvd premiere (2), molins film festival (1)</t>
  </si>
  <si>
    <t>Cat Run</t>
  </si>
  <si>
    <t>tt1446147</t>
  </si>
  <si>
    <t>When a sexy, high-end escort holds the key evidence to a scandalous government cover-up, two bumbling young detectives become her unlikely protectors from a ruthless assassin hired to silence her.</t>
  </si>
  <si>
    <t>CATch her if you can...</t>
  </si>
  <si>
    <t>Action, Comedy, Thriller</t>
  </si>
  <si>
    <t>lleju productions</t>
  </si>
  <si>
    <t>English, Srpski</t>
  </si>
  <si>
    <t>Branko ∆í√™uri∆í√°, Marija Tonic, Ivana Pekovi∆í√°, Jean-Christophe Bouvet, Karina Shay, Ana Saki∆í√°, Eve Angel, Bill Perkins, Steven Radusinovi∆í√°, Heather Chasen, Scott Mechlowicz, Malina Germanova, Gordan Ki∆í√ßi∆í√°, D.L. Hughley, Karel Roden, Milorad Kapor, Kaloian Vodenicharov, Biljana Hresnjek, Malique Hawkins, Miomir Radevi∆í√° 'Pigi', Da‚âà¬∞a ‚âàŒ©ivkovi∆í√°, Janet McTeer, Tony Curran, Benjamin Mustelaj, Miodrag Kadic, Petar Buri∆í√°, Slobodan Marunic, Peaches, Caleb Vela Poquet, Ivanka Bozinovic, Radik Golovkov, Michael Sopko, Slobodan 'Boda' Ninkovi∆í√°, J.J. Perry, Nenad Stefanovic, Albert P‚àö¬©rez, Neil Nolan, Paz Vega, Jelena Gavrilovi∆í√°, Steve Agnew, Mila Kala∆í√´ur∆í√´evi∆í√°, Alphonso McAuley, Jovan Krsti∆í√°, Olga Astanaskaja, Christopher McDonald, Michelle Lombardo, Vanja Govorko, Ken Phillips</t>
  </si>
  <si>
    <t>John Stockwell</t>
  </si>
  <si>
    <t>Jean-Fran‚àö√üois Hensgens</t>
  </si>
  <si>
    <t>Nick Ball, John Niven</t>
  </si>
  <si>
    <t>Peter Principato, Derrick Borte, Paul Young, Ram Bergman, Bill Perkins, Max Winkler</t>
  </si>
  <si>
    <t>Devin Powers</t>
  </si>
  <si>
    <t>/2QnqQn7W2IjVEgK6mmUIkfQWY19.jpg</t>
  </si>
  <si>
    <t>cat run</t>
  </si>
  <si>
    <t>blank (3), fantasy filmfest (1), dvd premiere (5)</t>
  </si>
  <si>
    <t>Boris: The Film</t>
  </si>
  <si>
    <t>tt1680058</t>
  </si>
  <si>
    <t>Boris - Il film</t>
  </si>
  <si>
    <t>A director and his crew attempt to make the transition from the small to the big screen.</t>
  </si>
  <si>
    <t>After "Jaws", another cinematic giant.</t>
  </si>
  <si>
    <t>rai cinema, wildside, sky cinema</t>
  </si>
  <si>
    <t>Giulia Cotugno, Daniele Costantini, Ulf Peter Johansson, Arpad Vincenti, Andrea Pannofino, Veronica Cannizzaro, Lavinia Biagi, Ivan Urbinati, Rosanna Gentili, Vladimir Aleksi∆í√°, Alberto Di Stasio, Agnese Torre, Valerio Aprea, Vanessa Compagnucci, Roberta Fiorentini, Massimiliano Bruno, Claudio Gio‚àö¬Æ,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Al‚àö¬®,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</si>
  <si>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</si>
  <si>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</si>
  <si>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</si>
  <si>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</si>
  <si>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</si>
  <si>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boris: the film</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</si>
  <si>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</si>
  <si>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</si>
  <si>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</si>
  <si>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</si>
  <si>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Animation, Family, Comedy, Adventure</t>
  </si>
  <si>
    <t>walt disney animation studios</t>
  </si>
  <si>
    <t>Travis Oates, Jack Boulter, Lisa Linder, Jim Cummings, Robert Lopez, Huell Howser, Tom Kenny, Craig Ferguson, John Cleese, Kristen Anderson-Lopez, Wyatt Dean Hall, M. Ward, Zooey Deschanel, Bud Luckey</t>
  </si>
  <si>
    <t>Stephen J. Anderson, Don Hall</t>
  </si>
  <si>
    <t>Julio Macat</t>
  </si>
  <si>
    <t>Nicole Mitchell, Brian Kesinger, Kendelle Hoyer, A.A. Milne, Burny Mattinson, Stephen J. Anderson, Paul Briggs, Don Dougherty, Don Hall, Jeremy Spears, Clio Chiang</t>
  </si>
  <si>
    <t>Peter Del Vecho, John Lasseter, Clark Spencer</t>
  </si>
  <si>
    <t>Henry Jackman</t>
  </si>
  <si>
    <t>/xlFs85nq62jeR4a9iHNGB113m6x.jpg</t>
  </si>
  <si>
    <t>winnie the pooh</t>
  </si>
  <si>
    <t>blank (57), galway (1), premiere (2), french speaking region (1), limited (2), hollywood, california (1)</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</si>
  <si>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</si>
  <si>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</si>
  <si>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</si>
  <si>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</si>
  <si>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</si>
  <si>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</si>
  <si>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Germany, United States of America</t>
  </si>
  <si>
    <t>English, Fran‚àö√üais, Deutsch, Italiano, √ø√ü≈∏√ë√øœÄ√ø¬±√ø¬Æ≈∏√§√ø¬©, Espa‚àö¬±ol</t>
  </si>
  <si>
    <t>Gudrun Ritter, Martin Wuttke, Saoirse Ronan, John Macmillan, Tom Hodgkins, Vicky Krieps, Marc Soto, Paul Birchard, Jason Flemyng, Cate Blanchett, ‚àö√Ölvaro Cervantes, Mathias Harrebye-Brandt, Nathan Nolan, Aldo Maland, Mohamed Majd, Jessica Barden, Tim Beckmann, Sebastian H‚àö¬∫lk, Christian Malcolm, Olivia Williams, Jamie Beamish, Vincent Montuel, Paris Arrowsmith, Tom Hollander, Joel Basman, Michelle Dockery, Eric Bana</t>
  </si>
  <si>
    <t>Joe Wright</t>
  </si>
  <si>
    <t>Alwin H. K‚àö¬∫chler</t>
  </si>
  <si>
    <t>Seth Lochhead, David Farr</t>
  </si>
  <si>
    <t>Scott Nemes, Barbara A. Hall, Marty Adelstein, Leslie Holleran</t>
  </si>
  <si>
    <t>Ed Simons, Tom Rowlands</t>
  </si>
  <si>
    <t>/gRvxRMtejJa9jjfDDUibUIfIJbP.jpg</t>
  </si>
  <si>
    <t>hanna</t>
  </si>
  <si>
    <t>cura√ßao (1), blank (47), mostra de valencia (1), german speaking region (1), sydney international film festival (1), french speaking region (1), italian speaking region (1), karlovy vary international film festival (1), dvd premiere (1), sofia (1), cinemania film festival (2), varna (1), tv premiere (1), internet (1)</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</si>
  <si>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</si>
  <si>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</si>
  <si>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</si>
  <si>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</si>
  <si>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</si>
  <si>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</si>
  <si>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</si>
  <si>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David Gordon Green</t>
  </si>
  <si>
    <t>Tim Orr</t>
  </si>
  <si>
    <t>Ben Best, Danny McBride</t>
  </si>
  <si>
    <t>Andrew Z. Davis, Danny McBride, Mark Huffam, Scott Stuber, Jon Mone</t>
  </si>
  <si>
    <t>Steve Jablonsky</t>
  </si>
  <si>
    <t>/zw1tEKhR1ncGGtuYkkf30GYlvYQ.jpg</t>
  </si>
  <si>
    <t>your highness</t>
  </si>
  <si>
    <t>blank (23), dvd premiere (6), dvd and blu-ray premiere (3), tv release (1), internet (2)</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</si>
  <si>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</si>
  <si>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</si>
  <si>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</si>
  <si>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</si>
  <si>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Family, Drama</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</si>
  <si>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</si>
  <si>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</si>
  <si>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Sean McNamara</t>
  </si>
  <si>
    <t>John R. Leonetti</t>
  </si>
  <si>
    <t>Rick Bundschuh, Matt Allen, Sheryl Berk, Michael Berk, Douglas Schwartz, Bethany Hamilton, Brad Gann, Deborah Schwartz, Caleb Wilson, Sean McNamara</t>
  </si>
  <si>
    <t>Dominic Ianno, David Zelon, Sean McNamara, David Brookwell, Douglas Schwartz, Dutch Hofstetter, David Tice</t>
  </si>
  <si>
    <t>Marco Beltrami</t>
  </si>
  <si>
    <t>/cvgRxrEupUFeJ0xzUExJo4dMXbL.jpg</t>
  </si>
  <si>
    <t>soul surfer</t>
  </si>
  <si>
    <t>blank (13), dvd premiere (3), tv release (3), tv premiere (2), dvd (1), internet (1)</t>
  </si>
  <si>
    <t>Arthur</t>
  </si>
  <si>
    <t>tt1334512</t>
  </si>
  <si>
    <t>A drunken playboy stands to lose a wealthy inheritance when he falls for a woman that his family doesn't like.</t>
  </si>
  <si>
    <t>Meet the world's only loveable billionaire.</t>
  </si>
  <si>
    <t>Comedy, Romance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</si>
  <si>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</si>
  <si>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Jos‚àö¬© Ram‚àö‚â•n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Guzm‚àö¬∞n, Murphy Guyer, Tori Feinstein, Russell Brand, Devin Almonte</t>
  </si>
  <si>
    <t>Jason Winer</t>
  </si>
  <si>
    <t>Uta Briesewitz</t>
  </si>
  <si>
    <t>Peter Baynham, Steve Gordon</t>
  </si>
  <si>
    <t>Kevin McCormick, Larry Brezner, Nik Linnen, J.C. Spink, Chris Bender, Scott Kroopf, Michael Tadross, Russell Brand</t>
  </si>
  <si>
    <t>Theodore Shapiro</t>
  </si>
  <si>
    <t>/foUTAJurvnbUoIUbnuUk5dyHx7M.jpg</t>
  </si>
  <si>
    <t>arthur</t>
  </si>
  <si>
    <t>blank (20), dvd premiere (2), dvd and blu-ray premiere (1), tv premiere (1)</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</si>
  <si>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</si>
  <si>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</si>
  <si>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</si>
  <si>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</si>
  <si>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</si>
  <si>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</si>
  <si>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United Kingdom</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</si>
  <si>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</si>
  <si>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</si>
  <si>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</si>
  <si>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</si>
  <si>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</si>
  <si>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Michael Richard Plowman</t>
  </si>
  <si>
    <t>/xVYY1U5nYfx2PfJMs6knO8VZRk0.jpg</t>
  </si>
  <si>
    <t>a lonely place to die</t>
  </si>
  <si>
    <t>actionfest (1), fantasia international film festival (1), fantasy filmfest (1), film4 frightfest (1), blank (5), fantastic fest (1), chicago film festvial (1), sitges film festival (1), philadelphia film fest (1), toronto after dark film festival (1), internet (1), limited (1), indonesia international fantastic film festival (1), paris international fantastic film festival (1), whistler film festival (1), dvd and blu-ray premiere (1), dvd premiere (4), blu-ray release (2), blu ray release (2), imagine film festival (1), trento film festival (1), tv premiere (2)</t>
  </si>
  <si>
    <t>Scream 4</t>
  </si>
  <si>
    <t>tt1262416</t>
  </si>
  <si>
    <t>Ten years have passed, and Sidney Prescott has put herself back together thanks to her writing. However, her return to Woodsboro sparks the return of the Ghostface Killer.</t>
  </si>
  <si>
    <t>New decade. New rules.</t>
  </si>
  <si>
    <t>Horror, Mystery</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</si>
  <si>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</si>
  <si>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</si>
  <si>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Wes Craven</t>
  </si>
  <si>
    <t>Peter Deming</t>
  </si>
  <si>
    <t>Kevin Williamson</t>
  </si>
  <si>
    <t>Kevin Williamson, Ron Schmidt, Matthew Stein, Wes Craven, Harvey Weinstein, Ehren Kruger, Bob Weinstein, Cathy Konrad, Marianne Maddalena, Iya Labunka</t>
  </si>
  <si>
    <t>/tcrI37K98TVopLbcZBa55mWhLT1.jpg</t>
  </si>
  <si>
    <t>scream 4</t>
  </si>
  <si>
    <t>hollywood, california (1), premiere (2), the hague (1), blank (55), limited (1), blu-ray premiere (1), dvd premiere (1)</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</si>
  <si>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</si>
  <si>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</si>
  <si>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</si>
  <si>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</si>
  <si>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</si>
  <si>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</si>
  <si>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</si>
  <si>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</si>
  <si>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Ross Berryman</t>
  </si>
  <si>
    <t>Ayn Rand, Brian Patrick O'Toole, John Aglialoro</t>
  </si>
  <si>
    <t>Karen Elise Baldwin, Harmon Kaslow, Howard Baldwin, Ed Snider, Mike Marvin, John Aglialoro</t>
  </si>
  <si>
    <t>Elia Cmiral</t>
  </si>
  <si>
    <t>/tYfZIQb6ZabSUy1s1TRqSrYaAoM.jpg</t>
  </si>
  <si>
    <t>atlas shrugged: part i</t>
  </si>
  <si>
    <t>limited (1), dvd premiere (8), dvd and blu-ray premiere (1)</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</si>
  <si>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</si>
  <si>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</si>
  <si>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</si>
  <si>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</si>
  <si>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</si>
  <si>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</si>
  <si>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</si>
  <si>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Francis Lawrence</t>
  </si>
  <si>
    <t>Rodrigo Prieto</t>
  </si>
  <si>
    <t>Richard LaGravenese, Sara Gruen</t>
  </si>
  <si>
    <t>Gil Netter, Andrew R. Tennenbaum, Kevin Halloran, Erwin Stoff</t>
  </si>
  <si>
    <t>James Newton Howard</t>
  </si>
  <si>
    <t>/8T7Hvb9trKvCAmbSI8cEIU0Sl2T.jpg</t>
  </si>
  <si>
    <t>water for elephants</t>
  </si>
  <si>
    <t>blank (54), german speaking region (1), french speaking region (1), italian speaking region (1), opening film (1), shanghai international film festival (1), tokyo (1), blu-ray premiere (1), tv release (1)</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</si>
  <si>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</si>
  <si>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</si>
  <si>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</si>
  <si>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</si>
  <si>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Crime, Drama, History</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</si>
  <si>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</si>
  <si>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</si>
  <si>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</si>
  <si>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Newton Thomas Sigel</t>
  </si>
  <si>
    <t>James D. Solomon, Gregory Bernstein</t>
  </si>
  <si>
    <t>Greg Shapiro, Robert Stone, Jeremiah Samuels, Brian Peter Falk, Robert Redford, Joe Ricketts, Webster Stone, Bill Holderman</t>
  </si>
  <si>
    <t>Mark Isham</t>
  </si>
  <si>
    <t>/a2ubkGUjGYeKRN1C2Tib0rmjuWf.jpg</t>
  </si>
  <si>
    <t>the conspirator</t>
  </si>
  <si>
    <t>toronto international film festival (1), premiere (3), savannah film and video festival (1), washington, d.c. (1), new york city, new york (1), blank (32), deauville american film festival (1), athens film festival (1), gent international film festival (1), manresa festival internacional de cinema negre (1), dvd premiere (3), dvd and blu-ray premiere (1)</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</si>
  <si>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</si>
  <si>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</si>
  <si>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</si>
  <si>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</si>
  <si>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Action, Drama, Romance</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</si>
  <si>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</si>
  <si>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</si>
  <si>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</si>
  <si>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</si>
  <si>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</si>
  <si>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</si>
  <si>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</si>
  <si>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bellflower</t>
  </si>
  <si>
    <t>sundance film festival (1), south by southwest film festival (1), wisconsin film festival (1), philadelphia cinefest (1), riverrun international film festival (1), actionfest (1), calgary underground film festival (1), nashville film festival (1), minneapolis-st. paul international film festival (1), ivy film festival (1), independent film festival of boston (1), seattle international film festival (1), galway film fleadh (1), fantasia international film festival (1), traverse city film festival (1), limited (1), tallgrass film festival (1), fresh film fest (1), indie film festival of brazil (1), vladivostok international film festival (1), strasbourg european fantastic film festival (1), lund fantastisk film festival (1), athens film festival (1), atlantic film festival (1), toronto (1), sitges international fantastic film festival (1), amfest 11 american film festival (1), ellensburg film festival (1), pusan international film festival (1), darklight film festival (1), eastern oregon film festival (1), mar del plata film festival (1), little rock film festival (1), leeds international film festival (1), exground film festival (1), paris international fantastic film festival (1), les arcs international film festival (1), copenhagen (1), luxembourg city film festival (1), al√®s film festival (1), blank (3), imagine film festival (1), bilbao fantasy film festival (1), tv premiere (1)</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</si>
  <si>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</si>
  <si>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</si>
  <si>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</si>
  <si>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</si>
  <si>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Action, Thriller, Crime</t>
  </si>
  <si>
    <t>original film, universal pictures, one race</t>
  </si>
  <si>
    <t>English, Espa‚àö¬±ol, Portugu‚àö‚Ñ¢s,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</si>
  <si>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Garc‚àö‚â†a</t>
  </si>
  <si>
    <t>Justin Lin</t>
  </si>
  <si>
    <t>Stephen F. Windon</t>
  </si>
  <si>
    <t>Gary Scott Thompson, Chris Morgan</t>
  </si>
  <si>
    <t>Vin Diesel, Michael Fottrell, Justin Lin, Neal H. Moritz, Samantha Vincent, Amanda Lewis</t>
  </si>
  <si>
    <t>/gEfQjjQwY7fh5bI4GlG0RrBu7Pz.jpg</t>
  </si>
  <si>
    <t>fast five</t>
  </si>
  <si>
    <t>rio de janeiro (1), premiere (1), blank (61), limited (3), imax version (1), beijing international film festival (1), dvd premiere (2), internet (1)</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</si>
  <si>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</si>
  <si>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</si>
  <si>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</si>
  <si>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</si>
  <si>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Comedy, Drama</t>
  </si>
  <si>
    <t>lions gate films</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</si>
  <si>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</si>
  <si>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Tyler Perry</t>
  </si>
  <si>
    <t>Toyomichi Kurita</t>
  </si>
  <si>
    <t>Tyler Perry, Roger M. Bobb, Joseph P. Genier, Ozzie Areu, Michael Paseornek</t>
  </si>
  <si>
    <t>Aaron Zigman</t>
  </si>
  <si>
    <t>/6qWcpqRfUEFrbKdDvB7tg7h1oXz.jpg</t>
  </si>
  <si>
    <t>madea's big happy family</t>
  </si>
  <si>
    <t>blank (1), dvd premiere (1)</t>
  </si>
  <si>
    <t>Dum Maaro Dum</t>
  </si>
  <si>
    <t>tt1618430</t>
  </si>
  <si>
    <t>hi</t>
  </si>
  <si>
    <t>‚Ä°¬ß¬∂‚Ä°¬ß√Ü ‚Ä°¬ß√Ü‚Ä°¬ß√¶‚Ä°¬ß‚àû‚Ä°‚Ä¢√£ ‚Ä°¬ß¬∂‚Ä°¬ß√Ü</t>
  </si>
  <si>
    <t>ACP Vishnu is sent on a mission to investigate and clean the underbelly of Goa. During his investigation, he uncovers a huge racket and discovers the involvement of various politicians.</t>
  </si>
  <si>
    <t>Every Paradise Has a Few Snakes</t>
  </si>
  <si>
    <t>Action, Crime, Thriller</t>
  </si>
  <si>
    <t>ramesh sippy enterprises, cheyenne enterprises, fox star studios, louverture films, fox international productions</t>
  </si>
  <si>
    <t>India, United States of America</t>
  </si>
  <si>
    <t>‚Ä°¬ßœÄ‚Ä°¬ß√∏‚Ä°¬ß¬Æ‚Ä°‚Ä¢√ß‚Ä°¬ß¬∂‚Ä°‚Ä¢√Ñ, English</t>
  </si>
  <si>
    <t>Deepika Padukone, Anaitha Nair, Govind Namdeo, Bipasha Basu, Emma Brown Garrett, Aditya Pancholi, Rana Daggubati, Prateik Babbar, Gulshan Devaiah, Vidya Balan, Abhishek Bachchan</t>
  </si>
  <si>
    <t>Rohan Sippy</t>
  </si>
  <si>
    <t>Amit Roy</t>
  </si>
  <si>
    <t>Purva Naresh, Shridhar Raghavan, Charudutt Acharya</t>
  </si>
  <si>
    <t>Hussain Shaikh, Danny Glover, Ramesh Sippy, Arnold Rifkin, Joslyn Barnes, Prasanna R Coondapur</t>
  </si>
  <si>
    <t>Pritam Chakraborty</t>
  </si>
  <si>
    <t>/uzqKhhSA6ypWwqsnZSwCs7C42sb.jpg</t>
  </si>
  <si>
    <t>dum maaro dum</t>
  </si>
  <si>
    <t>blank (13)</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</si>
  <si>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</si>
  <si>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</si>
  <si>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</si>
  <si>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</si>
  <si>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Drama, Thriller, Mystery</t>
  </si>
  <si>
    <t>viddywell, code red</t>
  </si>
  <si>
    <t>Espa‚àö¬±ol, English</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</si>
  <si>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Pe‚àö¬±a, Riley Keough, Taraji P. Henson, Nathan Keyes, Rick Irwin, J.K. Simmons</t>
  </si>
  <si>
    <t>Lance Daly</t>
  </si>
  <si>
    <t>Yaron Orbach</t>
  </si>
  <si>
    <t>John Enbom</t>
  </si>
  <si>
    <t>Orlando Bloom, Jonathan King, Dan Etheridge</t>
  </si>
  <si>
    <t>Brian Byrne</t>
  </si>
  <si>
    <t>/fJSdqHzpMeCkXMrILYt1SdGN2sL.jpg</t>
  </si>
  <si>
    <t>the good doctor</t>
  </si>
  <si>
    <t>tribeca film festival (1), mill valley film festival (1), new hampshire film festival (1), blank (5), g√∂teborg international film festival (1), cleveland international film festival (1), riverrun international film festival (1), dvd and blu-ray premiere (2), video on demand (1), dvd premiere (3), limited (1), tv premiere (1)</t>
  </si>
  <si>
    <t>Prom</t>
  </si>
  <si>
    <t>tt1604171</t>
  </si>
  <si>
    <t>At ‚Äö√Ñ√∫Prom,‚Äö√Ñ√π every couple has a story and no two are exactly alike. As the big dance approaches for Nova Prescott, it‚Äö√Ñ√¥s a battle of wills as she finds herself drawn to the guy who gets in the way of her perfect prom. Fellow seniors Mei and Tyler harbor secrets, while others face all the insecurity and anticipation that surrounds one of high school‚Äö√Ñ√¥s most seminal events.</t>
  </si>
  <si>
    <t>There are hundreds of nights in high school, but there‚Äö√Ñ√¥s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</si>
  <si>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</si>
  <si>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</si>
  <si>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</si>
  <si>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</si>
  <si>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</si>
  <si>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</si>
  <si>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Deborah Lurie</t>
  </si>
  <si>
    <t>/pOYSCjYylOsEPkql3m9gcV1jycR.jpg</t>
  </si>
  <si>
    <t>prom</t>
  </si>
  <si>
    <t>blank (18), dvd premiere (4), dvd and blu-ray premiere (1), internet (1)</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</si>
  <si>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</si>
  <si>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</si>
  <si>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</si>
  <si>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</si>
  <si>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</si>
  <si>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</si>
  <si>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</si>
  <si>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</si>
  <si>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</si>
  <si>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</si>
  <si>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Murray Gold</t>
  </si>
  <si>
    <t>/3ofAJDO8A7ulJwgMGKcwEOPNWV3.jpg</t>
  </si>
  <si>
    <t>hoodwinked too! hood vs. evil</t>
  </si>
  <si>
    <t>festival best academy awards films for kids (1), tribeca film festival (1), blank (28), limited (1), dvd premiere (2), dvd and blu-ray premiere (1), tv premiere (1)</t>
  </si>
  <si>
    <t>Sunny</t>
  </si>
  <si>
    <t>tt1937339</t>
  </si>
  <si>
    <t>ko</t>
  </si>
  <si>
    <t>√è√ß¬Æ√é√£√†</t>
  </si>
  <si>
    <t>Seven girls become good friends in high school, then events pull them apart for 25 years. When one of the friends lies dying in a hospital, she wishes to see each of them one last time.</t>
  </si>
  <si>
    <t>The sunniest moment of our lives.</t>
  </si>
  <si>
    <t>cj entertainment</t>
  </si>
  <si>
    <t>South Korea</t>
  </si>
  <si>
    <t>√å√Ø√∫√ç¬µ‚â†√è√±¬•/√è¬∞‚àû√è√ë‚Ä†√é√ü√™</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</si>
  <si>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</si>
  <si>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</si>
  <si>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</si>
  <si>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</si>
  <si>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</si>
  <si>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</si>
  <si>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</si>
  <si>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sunny</t>
  </si>
  <si>
    <t>blank (5), director's cut (1), pusan international film festival (1), osaka asian film festival (1), beijing international film festival (1), shanghai international film festival (1), korea indonesia film festival (1), internet (1)</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</si>
  <si>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</si>
  <si>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</si>
  <si>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</si>
  <si>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</si>
  <si>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</si>
  <si>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</si>
  <si>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English, Portugu‚àö‚Ñ¢s, Espa‚àö¬±ol</t>
  </si>
  <si>
    <t>Stephen Moyer, Karl Urban, David Backus, Jacob Hopkins, Austin Priester, Michael D. Nye, Brad Dourif, Pramod Kumar, David Bianchi, Julie Mond, Christopher Plummer, Kanin Howell, Boyuen, Casey Pieretti, M‚àö¬ßdchen Amick, Dave Florek, Joel Polinsky, Lafayette R. Dorsey Sr., Paul Bettany, Arnold Chon, Marilyn Brett, Anthony Azizi, Henry Kingi Jr., Josh Wingate, Cam Gigandet, John Griffin, Theo Kypri, Kevin T. McCarthy, Roger Stoneburner, Jon Braver, Alan Dale, Maggie Q, Tanoai Reed, Reiner Sch‚àö‚àÇne, Lily Collins</t>
  </si>
  <si>
    <t>Scott Stewart</t>
  </si>
  <si>
    <t>Cory Goodman, Min-Woo Hyung</t>
  </si>
  <si>
    <t>Stu Levy, Glenn S. Gainor, Joshua Donen, Josh Bratman, Michael De Luca, Mitchell Peck, Steve Galloway</t>
  </si>
  <si>
    <t>Christopher Young</t>
  </si>
  <si>
    <t>/fYHiA7LPGl9DG7m3DUs0Td1VMcO.jpg</t>
  </si>
  <si>
    <t>priest</t>
  </si>
  <si>
    <t>blank (52), dvd premiere (2), tv release (1), internet (1)</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</si>
  <si>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</si>
  <si>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</si>
  <si>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</si>
  <si>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</si>
  <si>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</si>
  <si>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United Arab Emirates, United States of America</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</si>
  <si>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</si>
  <si>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Jodie Foster</t>
  </si>
  <si>
    <t>Hagen Bogdanski</t>
  </si>
  <si>
    <t>Kyle Killen</t>
  </si>
  <si>
    <t>Steve Golin, Keith Redmon, Ann Ruark</t>
  </si>
  <si>
    <t>Marcelo Zarvos</t>
  </si>
  <si>
    <t>/nlaWgS7iIb6MG3t0FitV1xdPqIV.jpg</t>
  </si>
  <si>
    <t>the beaver</t>
  </si>
  <si>
    <t>south by southwest film festival (1), toronto (1), limited (1), cannes film festival (1), blank (39), sydney film festival (1), moscow film festival (1), greek film archive (1), dvd premiere (3), pusan international film festival (1), belgrade film festival (1), tv release (2)</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</si>
  <si>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</si>
  <si>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</si>
  <si>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</si>
  <si>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</si>
  <si>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Crime, Action, Thriller</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</si>
  <si>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</si>
  <si>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</si>
  <si>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</si>
  <si>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Karim Hussain</t>
  </si>
  <si>
    <t>John Davies</t>
  </si>
  <si>
    <t>Rob Cotterill, Paul Gross, Niv Fichman, Frank Siracusa</t>
  </si>
  <si>
    <t>Russ Howard III</t>
  </si>
  <si>
    <t>/xxMaO7VoN2BnZit79PedVHnTjcO.jpg</t>
  </si>
  <si>
    <t>hobo with a shotgun</t>
  </si>
  <si>
    <t>sundance film festival (1), premiere (1), frightfest (1), limited (3), internet (1), imagine film festival (1), blank (4), neuch√¢tel international fantastic film festival (1), karlovy vary international film festival (1), dvd premiere (5), l'√©trange festival (1), athens film festival (1), strasbourg european fantastic film festival (1), dvd and blu-ray premiere (2), night visions film festival (1), iik!! horror film festival (1), cinemare film festival (1), tokyo (1), madrid (1), 9¬∫ syfy festival (1), tv premiere (1), tv release (1)</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</si>
  <si>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</si>
  <si>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</si>
  <si>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</si>
  <si>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</si>
  <si>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</si>
  <si>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English, Fran‚àö√üais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</si>
  <si>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</si>
  <si>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</si>
  <si>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Anastas N. Michos</t>
  </si>
  <si>
    <t>Arlene Gibbs, Elizabeth Hunter</t>
  </si>
  <si>
    <t>Tracey Edmonds, Michael Mahoney, Curtis Wallace, T.D. Jakes, Glendon Palmer, Elizabeth Hunter</t>
  </si>
  <si>
    <t>/60OXQUsWfAdSimqwAAJ5EvBxTre.jpg</t>
  </si>
  <si>
    <t>jumping the broom</t>
  </si>
  <si>
    <t>limited (1), blank (5), dvd premiere (3), internet (2), tv premiere (2)</t>
  </si>
  <si>
    <t>The Ledge</t>
  </si>
  <si>
    <t>tt1535970</t>
  </si>
  <si>
    <t>A thriller in which a battle of philosophies between a fundamentalist Christian and an atheist escalates into a lethal battle of wills.</t>
  </si>
  <si>
    <t>One life. One chance. One step.</t>
  </si>
  <si>
    <t>Drama, Thriller</t>
  </si>
  <si>
    <t>foresight unlimited, vip media group, michael mailer films, rising star productions, ledge productions</t>
  </si>
  <si>
    <t>United States of America, Germany</t>
  </si>
  <si>
    <t>Jaqueline Fleming, Amber Gaiennie, Tyler Humphrey, Charlie Hunnam, Terrence Howard, Geraldine Singer, Mike Pniewski, Christopher Gorham, Patrick Wilson, Katia Gomez, Liv Tyler, Maxine Greco, Jillian Batherson, Dean J. West</t>
  </si>
  <si>
    <t>Matthew Chapman</t>
  </si>
  <si>
    <t>Bobby Bukowski</t>
  </si>
  <si>
    <t>Michael Mailer, Moshe Diamant, Mark Damon</t>
  </si>
  <si>
    <t>Nathan Barr</t>
  </si>
  <si>
    <t>/cTaDS6CTIfZ5MH189ub6oE1FATk.jpg</t>
  </si>
  <si>
    <t>the ledge</t>
  </si>
  <si>
    <t>sundance film festival (1), premiere (1), video on demand (1), blank (10), limited (2), dvd premiere (6), blu-ray release (1), rio de janeiro international film festival (1), internet (2), tokyo (1), tv release (1)</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</si>
  <si>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</si>
  <si>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</si>
  <si>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</si>
  <si>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</si>
  <si>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</si>
  <si>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</si>
  <si>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France, United Kingdom, United States of America</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</si>
  <si>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Sall‚àö¬©s, Alex Esmail, Franz Drameh, Gina Antwi, Joey Ansah, Flaminia Cinque, Michael Ajao</t>
  </si>
  <si>
    <t>Joe Cornish</t>
  </si>
  <si>
    <t>Thomas Townend</t>
  </si>
  <si>
    <t>Jenny Borgars, Matthew Justice, James Wilson, Will Clarke, Olivier Courson, Edgar Wright, Nira Park, Tessa Ross</t>
  </si>
  <si>
    <t>Steven Price</t>
  </si>
  <si>
    <t>/wzCMnA6NDruLzgWeqMcLPDrGAdF.jpg</t>
  </si>
  <si>
    <t>attack the block</t>
  </si>
  <si>
    <t>south by southwest film festival (1), blank (23), karlovy vary international film festival (1), fantasia international film festival (1), toronto (1), limited (2), locarno film festival (1), berlin fantasy filmfest (1), hamburg fantasy filmfest (1), lund fantastisk film festival (1), jameson cinefest international film festival (1), athens film festival (1), rio de janeiro international film festival (1), fantastique semaine du cin√©ma (1), night visions film festival (1), dvd premiere (3), torino film festival (1), okinawa international movie festival (1), fanter film festival (1), l'√©trange festival (1), morbido film fest (1), koszalin debut films festival (1), neuchatel international fantastic film festival (1)</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</si>
  <si>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</si>
  <si>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</si>
  <si>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</si>
  <si>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</si>
  <si>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Comedy, Drama, Romance</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</si>
  <si>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</si>
  <si>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Pe‚àö¬±a, Scott Takeda, Todd Bryant, Glenn Howerton, Kyle Sharkey, Will Ferrell, Tyler Johnstone</t>
  </si>
  <si>
    <t>Dan Rush</t>
  </si>
  <si>
    <t>Michael Barrett</t>
  </si>
  <si>
    <t>Raymond Carver, Dan Rush</t>
  </si>
  <si>
    <t>Wyck Godfrey</t>
  </si>
  <si>
    <t>David Torn</t>
  </si>
  <si>
    <t>/n4wMD3LHyo3nYZNWEOGLzgdyWjX.jpg</t>
  </si>
  <si>
    <t>everything must go</t>
  </si>
  <si>
    <t>toronto international film festival (1), premiere (2), bfi london film festival (1), tribeca film festival (1), limited (2), dvd premiere (3), blu-ray release (1), blank (5), dvd and blu-ray premiere (1), rtp 1 (1), tv premiere (1)</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</si>
  <si>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</si>
  <si>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</si>
  <si>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she‚Äö√Ñ√¥ll show Lillian and her bridesmaids just how far you‚Äö√Ñ√¥ll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</si>
  <si>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</si>
  <si>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</si>
  <si>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Nu‚àö¬±ez, Greg Tuculescu, Suzanne LaChasse, Nancy Carell, Franklyn Ajaye, Brian Petsos, Niko El Santo Zavero, Tim Heidecker, Andy Buckley, Matt Bennett, Wendi McLendon-Covey, Tom Yi</t>
  </si>
  <si>
    <t>Paul Feig</t>
  </si>
  <si>
    <t>Robert D. Yeoman</t>
  </si>
  <si>
    <t>Kristen Wiig, Annie Mumolo</t>
  </si>
  <si>
    <t>Barry Mendel, Paul Feig, Judd Apatow, Clayton Townsend</t>
  </si>
  <si>
    <t>Michael Andrews</t>
  </si>
  <si>
    <t>/gJtA7hYsBMQ7EM3sPBMUdBfU7a0.jpg</t>
  </si>
  <si>
    <t>bridesmaids</t>
  </si>
  <si>
    <t>westwood, california (1), premiere (1), blank (78), limited (1), cabourg film festival (1), paris cin√©ma (1), okinawa international movie festival (1), internet (2), tv premiere (1)</t>
  </si>
  <si>
    <t>Pirates of the Caribbean: On Stranger Tides</t>
  </si>
  <si>
    <t>tt1298650</t>
  </si>
  <si>
    <t>Captain Jack Sparrow crosses paths with a woman from his past, and he's not sure if it's love ‚Äö√Ñ√Æ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</si>
  <si>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</si>
  <si>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Adventure, Action, Fantasy</t>
  </si>
  <si>
    <t>walt disney pictures, jerry bruckheimer films, moving picture company</t>
  </si>
  <si>
    <t>English, Espa‚àö¬±ol</t>
  </si>
  <si>
    <t>Damian O'Hare, Jeremy King, Jean Pierre Prats, Astrid Berg‚àö¬Æs-Frisbey,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Pen‚àö¬©lope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Mor‚àö¬∞n, Sean Talo, Christopher Fairbank, ‚àö√¨scar Jaenada, Kristen StephensonPino, Anton Lesser, Kitt Barrie, Derek Mears, Harley Jay, Luke Roberts, Paul Bazely, Toni Busker</t>
  </si>
  <si>
    <t>Rob Marshall</t>
  </si>
  <si>
    <t>Dariusz Wolski</t>
  </si>
  <si>
    <t>Ted Elliott, Tim Powers, Terry Rossio</t>
  </si>
  <si>
    <t>John DeLuca, Barry H. Waldman, Mike Stenson, Chad Oman, Jerry Bruckheimer, Terry Rossio</t>
  </si>
  <si>
    <t>Hans Zimmer</t>
  </si>
  <si>
    <t>/keGfSvCmYj7CvdRx36OdVrAEibE.jpg</t>
  </si>
  <si>
    <t>pirates of the caribbean: on stranger tides</t>
  </si>
  <si>
    <t>anaheim, california (1), premiere (3), moscow (1), cannes film festival (1), blank (66), tokyo (1), beijing international film festival (1), dvd premiere (1)</t>
  </si>
  <si>
    <t>Bad Teacher</t>
  </si>
  <si>
    <t>tt1284575</t>
  </si>
  <si>
    <t>A lazy, incompetent middle school teacher who hates her job and her students is forced to return to her job to make enough money for a boob job after her rich fianc‚àö¬©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</si>
  <si>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</si>
  <si>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</si>
  <si>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</si>
  <si>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</si>
  <si>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Alar Kivilo</t>
  </si>
  <si>
    <t>Lee Eisenberg, Gene Stupnitsky</t>
  </si>
  <si>
    <t>Lee Eisenberg, Gene Stupnitsky, Jimmy Miller, Georgia Kacandes, David B. Householter, Jake Kasdan</t>
  </si>
  <si>
    <t>/zpIY4qUSX91J9XpPgr0hFrk1eKr.jpg</t>
  </si>
  <si>
    <t>bad teacher</t>
  </si>
  <si>
    <t>blank (45), new york city, new york (1), premiere (1), internet (4), yubari international fantastic film festival (1), shanghai international film festival (1), tv premiere (1)</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</si>
  <si>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</si>
  <si>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</si>
  <si>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</si>
  <si>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</si>
  <si>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Drama, Fantasy</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</si>
  <si>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</si>
  <si>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</si>
  <si>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Terrence Malick</t>
  </si>
  <si>
    <t>Emmanuel Lubezki</t>
  </si>
  <si>
    <t>Bill Pohlad, Sarah Green, Dede Gardner, Donald Rosenfeld, Brad Pitt, Grant Hill</t>
  </si>
  <si>
    <t>Alexandre Desplat</t>
  </si>
  <si>
    <t>/l8cwuB5WJSoj4uMAsnzuHBOMaSJ.jpg</t>
  </si>
  <si>
    <t>the tree of life</t>
  </si>
  <si>
    <t>cannes film festival (1), blank (48), french speaking region (1), german speaking region (1), limited (2), greek film archive (1), french film festival (1), karlovy vary international film festival (1), yerevan international film festival (1), durban international film festival (1), donostia-san sebastian international film festival (1), beirut international film festival (1), pusan international film festival (1), morelia international film festival (1), tallinn black nights film festival (1), amsterdam film week (1), re-release (1), belgrade film festival (1), beijing international film festival (1), internet (1), blu-ray release (1), dvd premiere (1)</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</si>
  <si>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</si>
  <si>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</si>
  <si>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</si>
  <si>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</si>
  <si>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Crime, Drama</t>
  </si>
  <si>
    <t>screen australia, warp films, carver films</t>
  </si>
  <si>
    <t>Australia</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</si>
  <si>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</si>
  <si>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t>
  </si>
  <si>
    <t>Adam Arkapaw</t>
  </si>
  <si>
    <t>Justin Kurzel, Andrew McGarry, Shaun Grant, Mac Gudgeon, Debi Marshall</t>
  </si>
  <si>
    <t>Sarah Shaw, Anna McLeish, Mark Herbert, Robin Gutch</t>
  </si>
  <si>
    <t>Jed Kurzel</t>
  </si>
  <si>
    <t>/5LW1vPLa8ueVwdOgR8w5xYkSQGv.jpg</t>
  </si>
  <si>
    <t>snowtown</t>
  </si>
  <si>
    <t>cannes film festival (1), blank (4), toronto international film festival (1), helsinki international film festival (1), rio de janeiro international film festival (1), pusan international film festival (1), valenciennes film festival (1), horrorthon festival dublin (1), thessaloniki international film festival (1), stockholm international film festival (1), new york city, new york (1), dvd premiere (5), hong kong international film festival (1), cph:pix (1), d'a film festival (1), tv release (1)</t>
  </si>
  <si>
    <t>Blitz</t>
  </si>
  <si>
    <t>tt1297919</t>
  </si>
  <si>
    <t>A tough cop is dispatched to take down a serial killer who has been targeting police officers.</t>
  </si>
  <si>
    <t>It's cop-killer vs. killer-cop</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</si>
  <si>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</si>
  <si>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</si>
  <si>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</si>
  <si>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Rob Hardy</t>
  </si>
  <si>
    <t>Ken Bruen, Nathan Parker</t>
  </si>
  <si>
    <t>Brad Wyman, Steven Chasman, Zygi Kamasa, Donald Kushner</t>
  </si>
  <si>
    <t>Ilan Eshkeri</t>
  </si>
  <si>
    <t>/qjqmhhc7uLub22mhu4V6DjOBwXM.jpg</t>
  </si>
  <si>
    <t>blitz</t>
  </si>
  <si>
    <t>blank (31), dvd premiere (8), dvd and blu-ray premiere (1), internet (1), blu-ray release (1), rtp 1 (1), tv premiere (1)</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</si>
  <si>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</si>
  <si>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</si>
  <si>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</si>
  <si>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</si>
  <si>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legendary pictures, green hat films, warner bros. pictures</t>
  </si>
  <si>
    <t>English, ‚Ä°‚àè‚Ä†‚Ä°‚àè‚â§‚Ä°‚àè¬©‚Ä°‚àè‚â§‚Ä°œÄ√ë‚Ä°‚àè√≥‚Ä°‚àè¬¢</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</si>
  <si>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Fr‚àö¬©d‚àö¬©ric North, Jeffrey Tambor, Zach Galifianakis, Paul Giamatti, Bryan Callen</t>
  </si>
  <si>
    <t>Todd Phillips</t>
  </si>
  <si>
    <t>Lawrence Sher</t>
  </si>
  <si>
    <t>Scot Armstrong, Todd Phillips, Scott Moore, Jon Lucas, Craig Mazin</t>
  </si>
  <si>
    <t>J.C. Spink, Todd Phillips, Scott Budnick, Chris Bender, Thomas Tull, Daniel Goldberg</t>
  </si>
  <si>
    <t>Christophe Beck</t>
  </si>
  <si>
    <t>/7sGkjqorTHkaHTz8Q4WWHj8JL9t.jpg</t>
  </si>
  <si>
    <t>the hangover part ii</t>
  </si>
  <si>
    <t>hollywood, california (1), premiere (1), blank (58), blu ray release (1), dvd premiere (1), internet (2)</t>
  </si>
  <si>
    <t>Kung Fu Panda 2</t>
  </si>
  <si>
    <t>tt1302011</t>
  </si>
  <si>
    <t>Po and his friends fight to stop a peacock villain from conquering China with a deadly new weapon, but first the Dragon Warrior must come to terms with his past.</t>
  </si>
  <si>
    <t>Twice the awesomeness.</t>
  </si>
  <si>
    <t>Animation, Family, Comedy</t>
  </si>
  <si>
    <t>dreamworks animation</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</si>
  <si>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</si>
  <si>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</si>
  <si>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</si>
  <si>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</si>
  <si>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Melissa Cobb</t>
  </si>
  <si>
    <t>John Powell, Hans Zimmer</t>
  </si>
  <si>
    <t>/mtqqD00vB4PGRt20gWtGqFhrkd0.jpg</t>
  </si>
  <si>
    <t>kung fu panda 2</t>
  </si>
  <si>
    <t>los angeles, california (1), premiere (5), blank (69), limited (5), dublin (1), opening night (1), taormina film festival (1), french speaking region (1), german speaking region (1), italian speaking region (1), anifest film festival (1), outfest film festival (1)</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</si>
  <si>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</si>
  <si>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</si>
  <si>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</si>
  <si>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</si>
  <si>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Action, Science Fiction, Adventure</t>
  </si>
  <si>
    <t>the donners' company, bad hat harry productions, 20th century fox, marvel entertainment</t>
  </si>
  <si>
    <t>Deutsch, English, Espa‚àö¬±ol, Fran‚àö√üais, P‚Äî√â‚Äî√Ö‚Äî√Ö‚Äì‚à´‚Äì‚àè‚ÄìœÄ</t>
  </si>
  <si>
    <t>David Agranov, Edi Gathegi, Greg Kolpakchi, Juan Herrera, Oliver Platt, Kevin Bacon, Demetri Goritsas, Michael Ironside, Brendan Fehr, Andrei Zayats, Leonard Redlich, Tony Curran, Annabelle Wallis, Yuri Naumkin, Neil Fingleton, Kieran Patrick Campbell, ‚àö√Ölex Gonz‚àö¬∞lez, Wilfried Hochholdinger, Katrine De Candole, Arthur Darbinyan, Ray Wise, Jarid Faubel, Carlos Peres, Venya Manzyuk, Sean Brown, James Remar, Gregory Cox, Peter Stark, Rebecca Romijn, Jennifer Lawrence, Beth Goddard, Greg Savage, Josh Ramsay, David Crow, James McAvoy, Rade ‚âà‚Ä†erbed‚âà√¶ija, Sasha Pieterse, Georg Nikoloff, Jason Beghe, David Joseph Martinez, Leonardo Castro Sitiriche, Olek Krupa, Bill Milner, January Jones, Zo‚àö¬¥ Kravitz, Josh Cohen, Lucas Till, ‚àö√¢va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</si>
  <si>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Matthew Vaughn</t>
  </si>
  <si>
    <t>John Mathieson</t>
  </si>
  <si>
    <t>Bryan Singer, Ashley Miller, Zack Stentz, Matthew Vaughn, Sheldon Turner, Jane Goldman</t>
  </si>
  <si>
    <t>Simon Kinberg, Tarquin Pack, Bryan Singer, Lauren Shuler Donner, Josh McLaglen, Gregory Goodman, Stan Lee</t>
  </si>
  <si>
    <t>/hNEokmUke0dazoBhttFN0o3L7Xv.jpg</t>
  </si>
  <si>
    <t>x-men: first class</t>
  </si>
  <si>
    <t>new york city, new york (1), premiere (2), buenos aires (1), blank (60), dvd premiere (2), beijing international film festival (1)</t>
  </si>
  <si>
    <t>Shaitan</t>
  </si>
  <si>
    <t>tt1836912</t>
  </si>
  <si>
    <t>‚Ä°¬ß‚àÇ‚Ä°‚Ä¢√†‚Ä°¬ß¬ß‚Ä°¬ß√¶‚Ä°¬ß¬Æ</t>
  </si>
  <si>
    <t>Five substance-abusing friends decide to fake a kidnapping in order to bribe a police constable for covering-up a hit-and-run accident.</t>
  </si>
  <si>
    <t>Free Your Inner Shaitan</t>
  </si>
  <si>
    <t>Action, Crime, Drama, Thriller</t>
  </si>
  <si>
    <t>anurag kashyap films, bohra bros productions, getaway films private limited, viacom18 studios</t>
  </si>
  <si>
    <t>India</t>
  </si>
  <si>
    <t>‚Ä°¬ßœÄ‚Ä°¬ß√∏‚Ä°¬ß¬Æ‚Ä°‚Ä¢√ß‚Ä°¬ß¬∂‚Ä°‚Ä¢√Ñ</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</si>
  <si>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</si>
  <si>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</si>
  <si>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</si>
  <si>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</si>
  <si>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</si>
  <si>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</si>
  <si>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</si>
  <si>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shaitan</t>
  </si>
  <si>
    <t>blank (1), internet (2)</t>
  </si>
  <si>
    <t>yes</t>
  </si>
  <si>
    <t>Sidewalls</t>
  </si>
  <si>
    <t>tt1235841</t>
  </si>
  <si>
    <t>es</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</si>
  <si>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</si>
  <si>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</si>
  <si>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don‚Äö√Ñ√¥t know where it is?</t>
  </si>
  <si>
    <t>eddie saeta, rizoma films, zarlek producciones, pandora film, incaa, programa ibermedia, filmstiftung nordrhein-westfalen, world cinema fund, instituto de la cinematograf‚àö‚â†a y de las artes audiovisuales, tv3</t>
  </si>
  <si>
    <t>Argentina, Germany, Spain</t>
  </si>
  <si>
    <t>Fran‚àö√üais, Espa‚àö¬±ol</t>
  </si>
  <si>
    <t>Lucas Issi, Miguel Dedovich, Adri‚àö¬∞n Navarro, Alan Pauls, Alicia Mezza, In‚àö¬©s Efr‚àö‚â•n, Mart‚àö‚â†n Feldman, Jorge Ernesto Lanata, Javier Drolas, Carla Peterson, Octavio Musaluppi, Pilar L‚àö‚â•pez de Ayala, Romina Paula, Rafael Ferro, Miguel ‚àö√Öngel ‚àö√Ölvarez</t>
  </si>
  <si>
    <t>Gustavo Taretto</t>
  </si>
  <si>
    <t>Leandro Mart‚àö‚â†nez</t>
  </si>
  <si>
    <t>Natacha Cervi, Christoph Friedel, Luis Mi‚àö¬±arro, Luis A. Sartor, Hern‚àö¬∞n Musaluppi, B‚àö¬∞rbara Francisco</t>
  </si>
  <si>
    <t>Gabriel Chwojnik</t>
  </si>
  <si>
    <t>/rpGopOQg2QGZI85QgFwOpKZnND1.jpg</t>
  </si>
  <si>
    <t>sidewalls</t>
  </si>
  <si>
    <t>berlin international film festival (1), blank (15), karlovy vary international film festival (1), athens film festival (1), gent international film festival (1), valladolid film festival (1), filmy swiata ale kino festival (1), greek film archive (1), tv premiere (1), internet (1)</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</si>
  <si>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</si>
  <si>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</si>
  <si>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‚Äö√Ñ√¨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</si>
  <si>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</si>
  <si>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</si>
  <si>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</si>
  <si>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Vi‚âà¬∞nji∆í√°, M‚àö¬©lanie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</si>
  <si>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</si>
  <si>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</si>
  <si>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</si>
  <si>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</si>
  <si>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</si>
  <si>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</si>
  <si>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beginners</t>
  </si>
  <si>
    <t>toronto international film festival (1), premiere (1), san francisco international film festival (1), seattle international film festival (1), los angeles, california (1), new york city, new york (1), blank (24), jerusalem film festival (1), galway film fleadh (1), limited (1), french speaking region (1), italian speaking region (1), german speaking region (1), amfest 11 american film festival (1), dvd premiere (5)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</si>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</sst>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4265BA-E1B4-504F-8628-5F0C15A7D471}" name="Table1" displayName="Table1" ref="A1:AQ56" totalsRowCount="1">
  <autoFilter ref="A1:AQ55" xr:uid="{914265BA-E1B4-504F-8628-5F0C15A7D471}">
    <filterColumn colId="41">
      <filters>
        <filter val="no"/>
      </filters>
    </filterColumn>
  </autoFilter>
  <tableColumns count="43">
    <tableColumn id="1" xr3:uid="{F4D0D178-3112-D04F-93C3-265BE9F0F2C6}" name="id" totalsRowLabel="Total"/>
    <tableColumn id="2" xr3:uid="{F2B19070-5E2B-F845-A918-6341EADAEA66}" name="title"/>
    <tableColumn id="3" xr3:uid="{6422A8B3-FC32-454A-B150-1F4F7045A3FB}" name="vote_average"/>
    <tableColumn id="4" xr3:uid="{5ED2A7F1-6E24-6442-A869-16F4FC0899BE}" name="vote_count"/>
    <tableColumn id="5" xr3:uid="{D491F59C-7B85-5245-931D-4291A57BBA7C}" name="status"/>
    <tableColumn id="6" xr3:uid="{E97DA176-BD47-F047-B1B3-3BE94898022B}" name="release_date" dataDxfId="0"/>
    <tableColumn id="7" xr3:uid="{00BA2E3D-E098-5145-890F-0E2F6ADEAB26}" name="revenue"/>
    <tableColumn id="8" xr3:uid="{D843FAA5-5B7E-014B-94B3-A8AA28DF6918}" name="runtime"/>
    <tableColumn id="9" xr3:uid="{35DEF439-D481-F342-91DE-0C24939CE368}" name="budget"/>
    <tableColumn id="10" xr3:uid="{52E81887-BCCE-B047-BC90-B187B8BE3879}" name="imdb_id"/>
    <tableColumn id="11" xr3:uid="{535306D2-964F-B449-8803-755CC088FB32}" name="original_language"/>
    <tableColumn id="12" xr3:uid="{94909476-69A3-B049-B68E-D29BC301DB80}" name="original_title"/>
    <tableColumn id="13" xr3:uid="{BCC79942-4CBF-F640-99AB-4889B4772EFE}" name="overview"/>
    <tableColumn id="14" xr3:uid="{43E584B7-D78B-4B40-9051-3208D5F37F37}" name="popularity"/>
    <tableColumn id="15" xr3:uid="{143B884B-762C-4F40-AF56-7A8A2531BB49}" name="tagline"/>
    <tableColumn id="16" xr3:uid="{AA4A0937-2E8F-8941-AF10-F936A09453F5}" name="genres"/>
    <tableColumn id="17" xr3:uid="{F806D9CA-83DD-8A40-929B-FD87955CFA6D}" name="production_companies"/>
    <tableColumn id="18" xr3:uid="{79259D8F-210D-5D49-9162-0C2B5707B072}" name="production_countries"/>
    <tableColumn id="19" xr3:uid="{8B6CB666-FAE1-244A-B58E-44734F979A43}" name="spoken_languages"/>
    <tableColumn id="20" xr3:uid="{3A6AB380-98A8-9B46-A4D5-09B245DDAB32}" name="cast"/>
    <tableColumn id="21" xr3:uid="{01306FBA-3D36-E446-AF6C-995F05742654}" name="director"/>
    <tableColumn id="22" xr3:uid="{63B320CB-65D9-5F4D-8961-EFB0A300F4A3}" name="director_of_photography"/>
    <tableColumn id="23" xr3:uid="{87A220E8-D168-2B47-97DB-16FC952824D9}" name="writers"/>
    <tableColumn id="24" xr3:uid="{4571C841-6954-8042-B1B9-CE5ED26465DE}" name="producers"/>
    <tableColumn id="25" xr3:uid="{52958C66-62C5-3542-95DF-27C08E2A2623}" name="music_composer"/>
    <tableColumn id="26" xr3:uid="{D0B18027-82AC-214D-A4A7-FB2A5BE74CA4}" name="imdb_rating"/>
    <tableColumn id="27" xr3:uid="{863CAE0D-E62D-1747-80FE-3A56C817F54D}" name="imdb_votes"/>
    <tableColumn id="28" xr3:uid="{002CD852-507B-7648-BDB7-D56C8813EEEB}" name="poster_path"/>
    <tableColumn id="29" xr3:uid="{1C7A5D82-AC36-9344-83FF-84E33D2BF324}" name="release_month"/>
    <tableColumn id="30" xr3:uid="{2483D30F-44D1-EE42-986E-1B635521472C}" name="release_year"/>
    <tableColumn id="31" xr3:uid="{2B83C1B8-F4E5-5746-AFA0-B8203DA1BB88}" name="iso_week"/>
    <tableColumn id="32" xr3:uid="{114BDEF8-CFF0-8741-A78D-16ED873207D5}" name="title_clean"/>
    <tableColumn id="33" xr3:uid="{14454946-AD63-A748-811E-5598F07AA5AF}" name="distance"/>
    <tableColumn id="34" xr3:uid="{1938C9E2-0C50-3F42-A122-F766744E2E56}" name="strength"/>
    <tableColumn id="35" xr3:uid="{9DC555CE-7E09-574B-B6FD-719AEAAD9509}" name="score" totalsRowFunction="sum"/>
    <tableColumn id="36" xr3:uid="{53A1C4FD-7F1D-F345-8951-3341B294AC3E}" name="marvel_movie"/>
    <tableColumn id="37" xr3:uid="{B5EC42D0-588F-B947-8A75-242ED3C4C232}" name="attributes"/>
    <tableColumn id="38" xr3:uid="{3CC1F9CE-BDE4-DE42-B154-5F961B7F12EA}" name="blank"/>
    <tableColumn id="39" xr3:uid="{83123547-FE23-8242-A7ED-A736D8532306}" name="internet"/>
    <tableColumn id="40" xr3:uid="{CD0EFCE1-C81B-A64F-849F-5F7AF059B824}" name="total"/>
    <tableColumn id="41" xr3:uid="{6EC416FE-F0A2-EC44-9F6B-FA4E6E01C99E}" name="internet_ratio"/>
    <tableColumn id="42" xr3:uid="{AC210CC1-381E-8940-B0A3-B6C3037449C1}" name="internet_dominance"/>
    <tableColumn id="43" xr3:uid="{0BD06A0E-467B-594B-B4F6-1852DB34F1E3}"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6979-45CD-394E-9400-C1975CF2154D}">
  <dimension ref="A1:AQ56"/>
  <sheetViews>
    <sheetView tabSelected="1" topLeftCell="AD24" workbookViewId="0">
      <selection activeCell="AI56" sqref="AI56"/>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44943</v>
      </c>
      <c r="B2" t="s">
        <v>43</v>
      </c>
      <c r="C2">
        <v>5.8</v>
      </c>
      <c r="D2">
        <v>3604</v>
      </c>
      <c r="E2" t="s">
        <v>44</v>
      </c>
      <c r="F2" s="1">
        <v>40610</v>
      </c>
      <c r="G2">
        <v>211800000</v>
      </c>
      <c r="H2">
        <v>116</v>
      </c>
      <c r="I2">
        <v>70000000</v>
      </c>
      <c r="J2" t="s">
        <v>45</v>
      </c>
      <c r="K2" t="s">
        <v>46</v>
      </c>
      <c r="L2" t="s">
        <v>43</v>
      </c>
      <c r="M2" t="s">
        <v>47</v>
      </c>
      <c r="N2">
        <v>2.7978999999999998</v>
      </c>
      <c r="O2" t="s">
        <v>48</v>
      </c>
      <c r="P2" t="s">
        <v>49</v>
      </c>
      <c r="Q2" t="s">
        <v>50</v>
      </c>
      <c r="R2" t="s">
        <v>51</v>
      </c>
      <c r="S2" t="s">
        <v>52</v>
      </c>
      <c r="T2" t="s">
        <v>53</v>
      </c>
      <c r="U2" t="s">
        <v>54</v>
      </c>
      <c r="V2" t="s">
        <v>55</v>
      </c>
      <c r="W2" t="s">
        <v>56</v>
      </c>
      <c r="X2" t="s">
        <v>57</v>
      </c>
      <c r="Y2" t="s">
        <v>58</v>
      </c>
      <c r="Z2">
        <v>5.7</v>
      </c>
      <c r="AA2">
        <v>189106</v>
      </c>
      <c r="AB2" t="s">
        <v>59</v>
      </c>
      <c r="AC2">
        <v>3</v>
      </c>
      <c r="AD2">
        <v>2011</v>
      </c>
      <c r="AE2">
        <v>10</v>
      </c>
      <c r="AF2" t="s">
        <v>60</v>
      </c>
      <c r="AG2">
        <v>-44</v>
      </c>
      <c r="AH2">
        <v>19.171152995852999</v>
      </c>
      <c r="AI2">
        <v>0.42602562213006701</v>
      </c>
      <c r="AJ2" t="s">
        <v>61</v>
      </c>
      <c r="AK2" t="s">
        <v>62</v>
      </c>
      <c r="AL2">
        <v>53</v>
      </c>
      <c r="AM2">
        <v>0</v>
      </c>
      <c r="AN2">
        <v>58</v>
      </c>
      <c r="AO2">
        <v>0</v>
      </c>
      <c r="AP2" t="s">
        <v>63</v>
      </c>
      <c r="AQ2" t="s">
        <v>63</v>
      </c>
    </row>
    <row r="3" spans="1:43" x14ac:dyDescent="0.2">
      <c r="A3">
        <v>50321</v>
      </c>
      <c r="B3" t="s">
        <v>64</v>
      </c>
      <c r="C3">
        <v>5.9</v>
      </c>
      <c r="D3">
        <v>744</v>
      </c>
      <c r="E3" t="s">
        <v>44</v>
      </c>
      <c r="F3" s="1">
        <v>40611</v>
      </c>
      <c r="G3">
        <v>39000000</v>
      </c>
      <c r="H3">
        <v>88</v>
      </c>
      <c r="I3">
        <v>150000000</v>
      </c>
      <c r="J3" t="s">
        <v>65</v>
      </c>
      <c r="K3" t="s">
        <v>46</v>
      </c>
      <c r="L3" t="s">
        <v>64</v>
      </c>
      <c r="M3" t="s">
        <v>66</v>
      </c>
      <c r="N3">
        <v>6.3319999999999999</v>
      </c>
      <c r="O3" t="s">
        <v>67</v>
      </c>
      <c r="P3" t="s">
        <v>68</v>
      </c>
      <c r="Q3" t="s">
        <v>69</v>
      </c>
      <c r="R3" t="s">
        <v>51</v>
      </c>
      <c r="S3" t="s">
        <v>70</v>
      </c>
      <c r="T3" t="s">
        <v>71</v>
      </c>
      <c r="U3" t="s">
        <v>72</v>
      </c>
      <c r="V3" t="s">
        <v>73</v>
      </c>
      <c r="W3" t="s">
        <v>74</v>
      </c>
      <c r="X3" t="s">
        <v>75</v>
      </c>
      <c r="Y3" t="s">
        <v>76</v>
      </c>
      <c r="Z3">
        <v>5.4</v>
      </c>
      <c r="AA3">
        <v>25041</v>
      </c>
      <c r="AB3" t="s">
        <v>77</v>
      </c>
      <c r="AC3">
        <v>3</v>
      </c>
      <c r="AD3">
        <v>2011</v>
      </c>
      <c r="AE3">
        <v>10</v>
      </c>
      <c r="AF3" t="s">
        <v>78</v>
      </c>
      <c r="AG3">
        <v>-43</v>
      </c>
      <c r="AH3">
        <v>17.4790722297349</v>
      </c>
      <c r="AI3">
        <v>0.39725164158488502</v>
      </c>
      <c r="AJ3" t="s">
        <v>61</v>
      </c>
      <c r="AK3" t="s">
        <v>79</v>
      </c>
      <c r="AL3">
        <v>35</v>
      </c>
      <c r="AM3">
        <v>0</v>
      </c>
      <c r="AN3">
        <v>42</v>
      </c>
      <c r="AO3">
        <v>0</v>
      </c>
      <c r="AP3" t="s">
        <v>63</v>
      </c>
      <c r="AQ3" t="s">
        <v>63</v>
      </c>
    </row>
    <row r="4" spans="1:43" x14ac:dyDescent="0.2">
      <c r="A4">
        <v>49730</v>
      </c>
      <c r="B4" t="s">
        <v>80</v>
      </c>
      <c r="C4">
        <v>6</v>
      </c>
      <c r="D4">
        <v>3243</v>
      </c>
      <c r="E4" t="s">
        <v>44</v>
      </c>
      <c r="F4" s="1">
        <v>40612</v>
      </c>
      <c r="G4">
        <v>89162162</v>
      </c>
      <c r="H4">
        <v>100</v>
      </c>
      <c r="I4">
        <v>42000000</v>
      </c>
      <c r="J4" t="s">
        <v>81</v>
      </c>
      <c r="K4" t="s">
        <v>46</v>
      </c>
      <c r="L4" t="s">
        <v>80</v>
      </c>
      <c r="M4" t="s">
        <v>82</v>
      </c>
      <c r="N4">
        <v>4.899</v>
      </c>
      <c r="O4" t="s">
        <v>83</v>
      </c>
      <c r="P4" t="s">
        <v>84</v>
      </c>
      <c r="Q4" t="s">
        <v>85</v>
      </c>
      <c r="R4" t="s">
        <v>86</v>
      </c>
      <c r="S4" t="s">
        <v>70</v>
      </c>
      <c r="T4" t="s">
        <v>87</v>
      </c>
      <c r="U4" t="s">
        <v>88</v>
      </c>
      <c r="V4" t="s">
        <v>89</v>
      </c>
      <c r="W4" t="s">
        <v>90</v>
      </c>
      <c r="X4" t="s">
        <v>91</v>
      </c>
      <c r="Y4" t="s">
        <v>92</v>
      </c>
      <c r="Z4">
        <v>5.4</v>
      </c>
      <c r="AA4">
        <v>118590</v>
      </c>
      <c r="AB4" t="s">
        <v>93</v>
      </c>
      <c r="AC4">
        <v>3</v>
      </c>
      <c r="AD4">
        <v>2011</v>
      </c>
      <c r="AE4">
        <v>10</v>
      </c>
      <c r="AF4" t="s">
        <v>94</v>
      </c>
      <c r="AG4">
        <v>-42</v>
      </c>
      <c r="AH4">
        <v>18.305967325945399</v>
      </c>
      <c r="AI4">
        <v>0.42572017037082299</v>
      </c>
      <c r="AJ4" t="s">
        <v>61</v>
      </c>
      <c r="AK4" t="s">
        <v>95</v>
      </c>
      <c r="AL4">
        <v>40</v>
      </c>
      <c r="AM4">
        <v>2</v>
      </c>
      <c r="AN4">
        <v>56</v>
      </c>
      <c r="AO4">
        <v>0.04</v>
      </c>
      <c r="AP4" t="s">
        <v>63</v>
      </c>
      <c r="AQ4" t="s">
        <v>63</v>
      </c>
    </row>
    <row r="5" spans="1:43" x14ac:dyDescent="0.2">
      <c r="A5">
        <v>38684</v>
      </c>
      <c r="B5" t="s">
        <v>96</v>
      </c>
      <c r="C5">
        <v>7.2</v>
      </c>
      <c r="D5">
        <v>1519</v>
      </c>
      <c r="E5" t="s">
        <v>44</v>
      </c>
      <c r="F5" s="1">
        <v>40613</v>
      </c>
      <c r="G5">
        <v>34710627</v>
      </c>
      <c r="H5">
        <v>120</v>
      </c>
      <c r="I5">
        <v>13000000</v>
      </c>
      <c r="J5" t="s">
        <v>97</v>
      </c>
      <c r="K5" t="s">
        <v>46</v>
      </c>
      <c r="L5" t="s">
        <v>96</v>
      </c>
      <c r="M5" t="s">
        <v>98</v>
      </c>
      <c r="N5">
        <v>6.4368999999999996</v>
      </c>
      <c r="O5" t="s">
        <v>99</v>
      </c>
      <c r="P5" t="s">
        <v>100</v>
      </c>
      <c r="Q5" t="s">
        <v>101</v>
      </c>
      <c r="R5" t="s">
        <v>102</v>
      </c>
      <c r="S5" t="s">
        <v>103</v>
      </c>
      <c r="T5" t="s">
        <v>104</v>
      </c>
      <c r="U5" t="s">
        <v>105</v>
      </c>
      <c r="V5" t="s">
        <v>106</v>
      </c>
      <c r="W5" t="s">
        <v>107</v>
      </c>
      <c r="X5" t="s">
        <v>108</v>
      </c>
      <c r="Y5" t="s">
        <v>109</v>
      </c>
      <c r="Z5">
        <v>7.3</v>
      </c>
      <c r="AA5">
        <v>96692</v>
      </c>
      <c r="AB5" t="s">
        <v>110</v>
      </c>
      <c r="AC5">
        <v>3</v>
      </c>
      <c r="AD5">
        <v>2011</v>
      </c>
      <c r="AE5">
        <v>10</v>
      </c>
      <c r="AF5" t="s">
        <v>111</v>
      </c>
      <c r="AG5">
        <v>-41</v>
      </c>
      <c r="AH5">
        <v>17.362556480442901</v>
      </c>
      <c r="AI5">
        <v>0.41339420191530801</v>
      </c>
      <c r="AJ5" t="s">
        <v>61</v>
      </c>
      <c r="AK5" t="s">
        <v>112</v>
      </c>
      <c r="AL5">
        <v>37</v>
      </c>
      <c r="AM5">
        <v>0</v>
      </c>
      <c r="AN5">
        <v>59</v>
      </c>
      <c r="AO5">
        <v>0</v>
      </c>
      <c r="AP5" t="s">
        <v>63</v>
      </c>
      <c r="AQ5" t="s">
        <v>63</v>
      </c>
    </row>
    <row r="6" spans="1:43" x14ac:dyDescent="0.2">
      <c r="A6">
        <v>43935</v>
      </c>
      <c r="B6" t="s">
        <v>113</v>
      </c>
      <c r="C6">
        <v>4.7300000000000004</v>
      </c>
      <c r="D6">
        <v>511</v>
      </c>
      <c r="E6" t="s">
        <v>44</v>
      </c>
      <c r="F6" s="1">
        <v>40618</v>
      </c>
      <c r="G6">
        <v>4634062</v>
      </c>
      <c r="H6">
        <v>107</v>
      </c>
      <c r="I6">
        <v>20000000</v>
      </c>
      <c r="J6" t="s">
        <v>114</v>
      </c>
      <c r="K6" t="s">
        <v>46</v>
      </c>
      <c r="L6" t="s">
        <v>113</v>
      </c>
      <c r="M6" t="s">
        <v>115</v>
      </c>
      <c r="N6">
        <v>0.84289999999999998</v>
      </c>
      <c r="O6" t="s">
        <v>116</v>
      </c>
      <c r="P6" t="s">
        <v>117</v>
      </c>
      <c r="Q6" t="s">
        <v>118</v>
      </c>
      <c r="R6" t="s">
        <v>51</v>
      </c>
      <c r="S6" t="s">
        <v>119</v>
      </c>
      <c r="T6" t="s">
        <v>120</v>
      </c>
      <c r="U6" t="s">
        <v>121</v>
      </c>
      <c r="V6" t="s">
        <v>122</v>
      </c>
      <c r="W6" t="s">
        <v>123</v>
      </c>
      <c r="X6" t="s">
        <v>124</v>
      </c>
      <c r="Y6" t="s">
        <v>125</v>
      </c>
      <c r="Z6">
        <v>5.0999999999999996</v>
      </c>
      <c r="AA6">
        <v>16029</v>
      </c>
      <c r="AB6" t="s">
        <v>126</v>
      </c>
      <c r="AC6">
        <v>3</v>
      </c>
      <c r="AD6">
        <v>2011</v>
      </c>
      <c r="AE6">
        <v>11</v>
      </c>
      <c r="AF6" t="s">
        <v>127</v>
      </c>
      <c r="AG6">
        <v>-36</v>
      </c>
      <c r="AH6">
        <v>15.348944579048201</v>
      </c>
      <c r="AI6">
        <v>0.41483633997427499</v>
      </c>
      <c r="AJ6" t="s">
        <v>61</v>
      </c>
      <c r="AK6" t="s">
        <v>128</v>
      </c>
      <c r="AL6">
        <v>13</v>
      </c>
      <c r="AM6">
        <v>0</v>
      </c>
      <c r="AN6">
        <v>18</v>
      </c>
      <c r="AO6">
        <v>0</v>
      </c>
      <c r="AP6" t="s">
        <v>63</v>
      </c>
      <c r="AQ6" t="s">
        <v>63</v>
      </c>
    </row>
    <row r="7" spans="1:43" x14ac:dyDescent="0.2">
      <c r="A7">
        <v>59415</v>
      </c>
      <c r="B7" t="s">
        <v>129</v>
      </c>
      <c r="C7">
        <v>4.0999999999999996</v>
      </c>
      <c r="D7">
        <v>95</v>
      </c>
      <c r="E7" t="s">
        <v>44</v>
      </c>
      <c r="F7" s="1">
        <v>40618</v>
      </c>
      <c r="G7">
        <v>3333050</v>
      </c>
      <c r="H7">
        <v>109</v>
      </c>
      <c r="I7">
        <v>15000000</v>
      </c>
      <c r="J7" t="s">
        <v>130</v>
      </c>
      <c r="K7" t="s">
        <v>131</v>
      </c>
      <c r="L7" t="s">
        <v>132</v>
      </c>
      <c r="M7" t="s">
        <v>133</v>
      </c>
      <c r="N7">
        <v>0.61460000000000004</v>
      </c>
      <c r="O7" t="s">
        <v>134</v>
      </c>
      <c r="P7" t="s">
        <v>135</v>
      </c>
      <c r="Q7" t="s">
        <v>136</v>
      </c>
      <c r="R7" t="s">
        <v>137</v>
      </c>
      <c r="S7" t="s">
        <v>138</v>
      </c>
      <c r="T7" t="s">
        <v>139</v>
      </c>
      <c r="U7" t="s">
        <v>140</v>
      </c>
      <c r="V7" t="s">
        <v>141</v>
      </c>
      <c r="W7" t="s">
        <v>142</v>
      </c>
      <c r="X7" t="s">
        <v>143</v>
      </c>
      <c r="Y7" t="s">
        <v>144</v>
      </c>
      <c r="Z7">
        <v>3.2</v>
      </c>
      <c r="AA7">
        <v>554</v>
      </c>
      <c r="AB7" t="s">
        <v>145</v>
      </c>
      <c r="AC7">
        <v>3</v>
      </c>
      <c r="AD7">
        <v>2011</v>
      </c>
      <c r="AE7">
        <v>11</v>
      </c>
      <c r="AF7" t="s">
        <v>146</v>
      </c>
      <c r="AG7">
        <v>-36</v>
      </c>
      <c r="AH7">
        <v>15.019398658702899</v>
      </c>
      <c r="AI7">
        <v>0.40592969347845798</v>
      </c>
      <c r="AJ7" t="s">
        <v>61</v>
      </c>
      <c r="AK7" t="s">
        <v>147</v>
      </c>
      <c r="AL7">
        <v>1</v>
      </c>
      <c r="AM7">
        <v>0</v>
      </c>
      <c r="AN7">
        <v>1</v>
      </c>
      <c r="AO7">
        <v>0</v>
      </c>
      <c r="AP7" t="s">
        <v>63</v>
      </c>
      <c r="AQ7" t="s">
        <v>63</v>
      </c>
    </row>
    <row r="8" spans="1:43" x14ac:dyDescent="0.2">
      <c r="A8">
        <v>50348</v>
      </c>
      <c r="B8" t="s">
        <v>148</v>
      </c>
      <c r="C8">
        <v>7.2</v>
      </c>
      <c r="D8">
        <v>3465</v>
      </c>
      <c r="E8" t="s">
        <v>44</v>
      </c>
      <c r="F8" s="1">
        <v>40619</v>
      </c>
      <c r="G8">
        <v>85412898</v>
      </c>
      <c r="H8">
        <v>119</v>
      </c>
      <c r="I8">
        <v>40000000</v>
      </c>
      <c r="J8" t="s">
        <v>149</v>
      </c>
      <c r="K8" t="s">
        <v>46</v>
      </c>
      <c r="L8" t="s">
        <v>148</v>
      </c>
      <c r="M8" t="s">
        <v>150</v>
      </c>
      <c r="N8">
        <v>25.734000000000002</v>
      </c>
      <c r="O8" t="s">
        <v>151</v>
      </c>
      <c r="P8" t="s">
        <v>152</v>
      </c>
      <c r="Q8" t="s">
        <v>153</v>
      </c>
      <c r="R8" t="s">
        <v>51</v>
      </c>
      <c r="S8" t="s">
        <v>70</v>
      </c>
      <c r="T8" t="s">
        <v>154</v>
      </c>
      <c r="U8" t="s">
        <v>155</v>
      </c>
      <c r="V8" t="s">
        <v>55</v>
      </c>
      <c r="W8" t="s">
        <v>156</v>
      </c>
      <c r="X8" t="s">
        <v>157</v>
      </c>
      <c r="Y8" t="s">
        <v>158</v>
      </c>
      <c r="Z8">
        <v>7.3</v>
      </c>
      <c r="AA8">
        <v>266124</v>
      </c>
      <c r="AB8" t="s">
        <v>159</v>
      </c>
      <c r="AC8">
        <v>3</v>
      </c>
      <c r="AD8">
        <v>2011</v>
      </c>
      <c r="AE8">
        <v>11</v>
      </c>
      <c r="AF8" t="s">
        <v>160</v>
      </c>
      <c r="AG8">
        <v>-35</v>
      </c>
      <c r="AH8">
        <v>18.263007689507599</v>
      </c>
      <c r="AI8">
        <v>0.50730576915298997</v>
      </c>
      <c r="AJ8" t="s">
        <v>61</v>
      </c>
      <c r="AK8" t="s">
        <v>161</v>
      </c>
      <c r="AL8">
        <v>45</v>
      </c>
      <c r="AM8">
        <v>3</v>
      </c>
      <c r="AN8">
        <v>53</v>
      </c>
      <c r="AO8">
        <v>0.06</v>
      </c>
      <c r="AP8" t="s">
        <v>63</v>
      </c>
      <c r="AQ8" t="s">
        <v>63</v>
      </c>
    </row>
    <row r="9" spans="1:43" x14ac:dyDescent="0.2">
      <c r="A9">
        <v>51876</v>
      </c>
      <c r="B9" t="s">
        <v>162</v>
      </c>
      <c r="C9">
        <v>7.1909999999999998</v>
      </c>
      <c r="D9">
        <v>11043</v>
      </c>
      <c r="E9" t="s">
        <v>44</v>
      </c>
      <c r="F9" s="1">
        <v>40619</v>
      </c>
      <c r="G9">
        <v>161900000</v>
      </c>
      <c r="H9">
        <v>105</v>
      </c>
      <c r="I9">
        <v>27000000</v>
      </c>
      <c r="J9" t="s">
        <v>163</v>
      </c>
      <c r="K9" t="s">
        <v>46</v>
      </c>
      <c r="L9" t="s">
        <v>162</v>
      </c>
      <c r="M9" t="s">
        <v>164</v>
      </c>
      <c r="N9">
        <v>5.7535999999999996</v>
      </c>
      <c r="O9" t="s">
        <v>165</v>
      </c>
      <c r="P9" t="s">
        <v>166</v>
      </c>
      <c r="Q9" t="s">
        <v>167</v>
      </c>
      <c r="R9" t="s">
        <v>51</v>
      </c>
      <c r="S9" t="s">
        <v>168</v>
      </c>
      <c r="T9" t="s">
        <v>169</v>
      </c>
      <c r="U9" t="s">
        <v>170</v>
      </c>
      <c r="V9" t="s">
        <v>171</v>
      </c>
      <c r="W9" t="s">
        <v>172</v>
      </c>
      <c r="X9" t="s">
        <v>173</v>
      </c>
      <c r="Y9" t="s">
        <v>174</v>
      </c>
      <c r="Z9">
        <v>7.4</v>
      </c>
      <c r="AA9">
        <v>638252</v>
      </c>
      <c r="AB9" t="s">
        <v>175</v>
      </c>
      <c r="AC9">
        <v>3</v>
      </c>
      <c r="AD9">
        <v>2011</v>
      </c>
      <c r="AE9">
        <v>11</v>
      </c>
      <c r="AF9" t="s">
        <v>176</v>
      </c>
      <c r="AG9">
        <v>-35</v>
      </c>
      <c r="AH9">
        <v>18.902489424824498</v>
      </c>
      <c r="AI9">
        <v>0.52506915068956905</v>
      </c>
      <c r="AJ9" t="s">
        <v>61</v>
      </c>
      <c r="AK9" t="s">
        <v>177</v>
      </c>
      <c r="AL9">
        <v>51</v>
      </c>
      <c r="AM9">
        <v>0</v>
      </c>
      <c r="AN9">
        <v>58</v>
      </c>
      <c r="AO9">
        <v>0</v>
      </c>
      <c r="AP9" t="s">
        <v>63</v>
      </c>
      <c r="AQ9" t="s">
        <v>63</v>
      </c>
    </row>
    <row r="10" spans="1:43" x14ac:dyDescent="0.2">
      <c r="A10">
        <v>55725</v>
      </c>
      <c r="B10" t="s">
        <v>178</v>
      </c>
      <c r="C10">
        <v>6.8</v>
      </c>
      <c r="D10">
        <v>521</v>
      </c>
      <c r="E10" t="s">
        <v>44</v>
      </c>
      <c r="F10" s="1">
        <v>40620</v>
      </c>
      <c r="G10">
        <v>10654385</v>
      </c>
      <c r="H10">
        <v>106</v>
      </c>
      <c r="I10">
        <v>10831173</v>
      </c>
      <c r="J10" t="s">
        <v>179</v>
      </c>
      <c r="K10" t="s">
        <v>46</v>
      </c>
      <c r="L10" t="s">
        <v>178</v>
      </c>
      <c r="M10" t="s">
        <v>180</v>
      </c>
      <c r="N10">
        <v>0.92030000000000001</v>
      </c>
      <c r="O10" t="s">
        <v>181</v>
      </c>
      <c r="P10" t="s">
        <v>182</v>
      </c>
      <c r="Q10" t="s">
        <v>183</v>
      </c>
      <c r="R10" t="s">
        <v>51</v>
      </c>
      <c r="S10" t="s">
        <v>70</v>
      </c>
      <c r="T10" t="s">
        <v>184</v>
      </c>
      <c r="U10" t="s">
        <v>185</v>
      </c>
      <c r="V10" t="s">
        <v>186</v>
      </c>
      <c r="W10" t="s">
        <v>187</v>
      </c>
      <c r="X10" t="s">
        <v>188</v>
      </c>
      <c r="Y10" t="s">
        <v>189</v>
      </c>
      <c r="Z10">
        <v>7.1</v>
      </c>
      <c r="AA10">
        <v>56108</v>
      </c>
      <c r="AB10" t="s">
        <v>190</v>
      </c>
      <c r="AC10">
        <v>3</v>
      </c>
      <c r="AD10">
        <v>2011</v>
      </c>
      <c r="AE10">
        <v>11</v>
      </c>
      <c r="AF10" t="s">
        <v>191</v>
      </c>
      <c r="AG10">
        <v>-34</v>
      </c>
      <c r="AH10">
        <v>16.181482196326499</v>
      </c>
      <c r="AI10">
        <v>0.46232806275218602</v>
      </c>
      <c r="AJ10" t="s">
        <v>61</v>
      </c>
      <c r="AK10" t="s">
        <v>192</v>
      </c>
      <c r="AL10">
        <v>15</v>
      </c>
      <c r="AM10">
        <v>0</v>
      </c>
      <c r="AN10">
        <v>29</v>
      </c>
      <c r="AO10">
        <v>0</v>
      </c>
      <c r="AP10" t="s">
        <v>63</v>
      </c>
      <c r="AQ10" t="s">
        <v>63</v>
      </c>
    </row>
    <row r="11" spans="1:43" x14ac:dyDescent="0.2">
      <c r="A11">
        <v>56401</v>
      </c>
      <c r="B11" t="s">
        <v>193</v>
      </c>
      <c r="C11">
        <v>7.202</v>
      </c>
      <c r="D11">
        <v>166</v>
      </c>
      <c r="E11" t="s">
        <v>44</v>
      </c>
      <c r="F11" s="1">
        <v>40620</v>
      </c>
      <c r="G11">
        <v>253899</v>
      </c>
      <c r="H11">
        <v>105</v>
      </c>
      <c r="I11">
        <v>4000000</v>
      </c>
      <c r="J11" t="s">
        <v>194</v>
      </c>
      <c r="K11" t="s">
        <v>46</v>
      </c>
      <c r="L11" t="s">
        <v>193</v>
      </c>
      <c r="M11" t="s">
        <v>195</v>
      </c>
      <c r="N11">
        <v>1.0726</v>
      </c>
      <c r="O11" t="s">
        <v>196</v>
      </c>
      <c r="P11" t="s">
        <v>197</v>
      </c>
      <c r="Q11" t="s">
        <v>198</v>
      </c>
      <c r="R11" t="s">
        <v>51</v>
      </c>
      <c r="S11" t="s">
        <v>70</v>
      </c>
      <c r="T11" t="s">
        <v>199</v>
      </c>
      <c r="U11" t="s">
        <v>200</v>
      </c>
      <c r="V11" t="s">
        <v>201</v>
      </c>
      <c r="W11" t="s">
        <v>202</v>
      </c>
      <c r="X11" t="s">
        <v>203</v>
      </c>
      <c r="Y11" t="s">
        <v>204</v>
      </c>
      <c r="Z11">
        <v>7.5</v>
      </c>
      <c r="AA11">
        <v>8945</v>
      </c>
      <c r="AB11" t="s">
        <v>205</v>
      </c>
      <c r="AC11">
        <v>3</v>
      </c>
      <c r="AD11">
        <v>2011</v>
      </c>
      <c r="AE11">
        <v>11</v>
      </c>
      <c r="AF11" t="s">
        <v>206</v>
      </c>
      <c r="AG11">
        <v>-34</v>
      </c>
      <c r="AH11">
        <v>12.4446957676927</v>
      </c>
      <c r="AI11">
        <v>0.35556273621979301</v>
      </c>
      <c r="AJ11" t="s">
        <v>61</v>
      </c>
      <c r="AK11" t="s">
        <v>207</v>
      </c>
      <c r="AL11">
        <v>5</v>
      </c>
      <c r="AM11">
        <v>0</v>
      </c>
      <c r="AN11">
        <v>11</v>
      </c>
      <c r="AO11">
        <v>0</v>
      </c>
      <c r="AP11" t="s">
        <v>63</v>
      </c>
      <c r="AQ11" t="s">
        <v>63</v>
      </c>
    </row>
    <row r="12" spans="1:43" x14ac:dyDescent="0.2">
      <c r="A12">
        <v>23629</v>
      </c>
      <c r="B12" t="s">
        <v>208</v>
      </c>
      <c r="C12">
        <v>6.2</v>
      </c>
      <c r="D12">
        <v>4908</v>
      </c>
      <c r="E12" t="s">
        <v>44</v>
      </c>
      <c r="F12" s="1">
        <v>40626</v>
      </c>
      <c r="G12">
        <v>89792502</v>
      </c>
      <c r="H12">
        <v>110</v>
      </c>
      <c r="I12">
        <v>82000000</v>
      </c>
      <c r="J12" t="s">
        <v>209</v>
      </c>
      <c r="K12" t="s">
        <v>46</v>
      </c>
      <c r="L12" t="s">
        <v>208</v>
      </c>
      <c r="M12" t="s">
        <v>210</v>
      </c>
      <c r="N12">
        <v>6.9987000000000004</v>
      </c>
      <c r="O12" t="s">
        <v>211</v>
      </c>
      <c r="P12" t="s">
        <v>212</v>
      </c>
      <c r="Q12" t="s">
        <v>213</v>
      </c>
      <c r="R12" t="s">
        <v>86</v>
      </c>
      <c r="S12" t="s">
        <v>214</v>
      </c>
      <c r="T12" t="s">
        <v>215</v>
      </c>
      <c r="U12" t="s">
        <v>216</v>
      </c>
      <c r="V12" t="s">
        <v>217</v>
      </c>
      <c r="W12" t="s">
        <v>218</v>
      </c>
      <c r="X12" t="s">
        <v>219</v>
      </c>
      <c r="Y12" t="s">
        <v>220</v>
      </c>
      <c r="Z12">
        <v>6.1</v>
      </c>
      <c r="AA12">
        <v>259099</v>
      </c>
      <c r="AB12" t="s">
        <v>221</v>
      </c>
      <c r="AC12">
        <v>3</v>
      </c>
      <c r="AD12">
        <v>2011</v>
      </c>
      <c r="AE12">
        <v>12</v>
      </c>
      <c r="AF12" t="s">
        <v>222</v>
      </c>
      <c r="AG12">
        <v>-28</v>
      </c>
      <c r="AH12">
        <v>18.3130120442639</v>
      </c>
      <c r="AI12">
        <v>0.63148317394013498</v>
      </c>
      <c r="AJ12" t="s">
        <v>61</v>
      </c>
      <c r="AK12" t="s">
        <v>223</v>
      </c>
      <c r="AL12">
        <v>56</v>
      </c>
      <c r="AM12">
        <v>0</v>
      </c>
      <c r="AN12">
        <v>61</v>
      </c>
      <c r="AO12">
        <v>0</v>
      </c>
      <c r="AP12" t="s">
        <v>63</v>
      </c>
      <c r="AQ12" t="s">
        <v>63</v>
      </c>
    </row>
    <row r="13" spans="1:43" x14ac:dyDescent="0.2">
      <c r="A13">
        <v>60307</v>
      </c>
      <c r="B13" t="s">
        <v>224</v>
      </c>
      <c r="C13">
        <v>6.7</v>
      </c>
      <c r="D13">
        <v>1198</v>
      </c>
      <c r="E13" t="s">
        <v>44</v>
      </c>
      <c r="F13" s="1">
        <v>40627</v>
      </c>
      <c r="G13">
        <v>72526996</v>
      </c>
      <c r="H13">
        <v>99</v>
      </c>
      <c r="I13">
        <v>21000000</v>
      </c>
      <c r="J13" t="s">
        <v>225</v>
      </c>
      <c r="K13" t="s">
        <v>46</v>
      </c>
      <c r="L13" t="s">
        <v>224</v>
      </c>
      <c r="M13" t="s">
        <v>226</v>
      </c>
      <c r="N13">
        <v>5.1383000000000001</v>
      </c>
      <c r="O13" t="s">
        <v>227</v>
      </c>
      <c r="P13" t="s">
        <v>228</v>
      </c>
      <c r="Q13" t="s">
        <v>229</v>
      </c>
      <c r="R13" t="s">
        <v>230</v>
      </c>
      <c r="S13" t="s">
        <v>70</v>
      </c>
      <c r="T13" t="s">
        <v>231</v>
      </c>
      <c r="U13" t="s">
        <v>232</v>
      </c>
      <c r="V13" t="s">
        <v>233</v>
      </c>
      <c r="W13" t="s">
        <v>234</v>
      </c>
      <c r="X13" t="s">
        <v>235</v>
      </c>
      <c r="Y13" t="s">
        <v>236</v>
      </c>
      <c r="Z13">
        <v>6.6</v>
      </c>
      <c r="AA13">
        <v>40934</v>
      </c>
      <c r="AB13" t="s">
        <v>237</v>
      </c>
      <c r="AC13">
        <v>3</v>
      </c>
      <c r="AD13">
        <v>2011</v>
      </c>
      <c r="AE13">
        <v>12</v>
      </c>
      <c r="AF13" t="s">
        <v>238</v>
      </c>
      <c r="AG13">
        <v>-27</v>
      </c>
      <c r="AH13">
        <v>18.0994694229252</v>
      </c>
      <c r="AI13">
        <v>0.64640962224733201</v>
      </c>
      <c r="AJ13" t="s">
        <v>61</v>
      </c>
      <c r="AK13" t="s">
        <v>239</v>
      </c>
      <c r="AL13">
        <v>15</v>
      </c>
      <c r="AM13">
        <v>1</v>
      </c>
      <c r="AN13">
        <v>29</v>
      </c>
      <c r="AO13">
        <v>0.03</v>
      </c>
      <c r="AP13" t="s">
        <v>63</v>
      </c>
      <c r="AQ13" t="s">
        <v>63</v>
      </c>
    </row>
    <row r="14" spans="1:43" x14ac:dyDescent="0.2">
      <c r="A14">
        <v>45612</v>
      </c>
      <c r="B14" t="s">
        <v>240</v>
      </c>
      <c r="C14">
        <v>7.3029999999999999</v>
      </c>
      <c r="D14">
        <v>8750</v>
      </c>
      <c r="E14" t="s">
        <v>44</v>
      </c>
      <c r="F14" s="1">
        <v>40632</v>
      </c>
      <c r="G14">
        <v>147332697</v>
      </c>
      <c r="H14">
        <v>93</v>
      </c>
      <c r="I14">
        <v>32000000</v>
      </c>
      <c r="J14" t="s">
        <v>241</v>
      </c>
      <c r="K14" t="s">
        <v>46</v>
      </c>
      <c r="L14" t="s">
        <v>240</v>
      </c>
      <c r="M14" t="s">
        <v>242</v>
      </c>
      <c r="N14">
        <v>3.0072000000000001</v>
      </c>
      <c r="O14" t="s">
        <v>243</v>
      </c>
      <c r="P14" t="s">
        <v>244</v>
      </c>
      <c r="Q14" t="s">
        <v>245</v>
      </c>
      <c r="R14" t="s">
        <v>246</v>
      </c>
      <c r="S14" t="s">
        <v>70</v>
      </c>
      <c r="T14" t="s">
        <v>247</v>
      </c>
      <c r="U14" t="s">
        <v>248</v>
      </c>
      <c r="V14" t="s">
        <v>249</v>
      </c>
      <c r="W14" t="s">
        <v>250</v>
      </c>
      <c r="X14" t="s">
        <v>251</v>
      </c>
      <c r="Y14" t="s">
        <v>252</v>
      </c>
      <c r="Z14">
        <v>7.5</v>
      </c>
      <c r="AA14">
        <v>574935</v>
      </c>
      <c r="AB14" t="s">
        <v>253</v>
      </c>
      <c r="AC14">
        <v>3</v>
      </c>
      <c r="AD14">
        <v>2011</v>
      </c>
      <c r="AE14">
        <v>13</v>
      </c>
      <c r="AF14" t="s">
        <v>254</v>
      </c>
      <c r="AG14">
        <v>-22</v>
      </c>
      <c r="AH14">
        <v>18.8082038391473</v>
      </c>
      <c r="AI14">
        <v>0.81774799300640699</v>
      </c>
      <c r="AJ14" t="s">
        <v>61</v>
      </c>
      <c r="AK14" t="s">
        <v>255</v>
      </c>
      <c r="AL14">
        <v>67</v>
      </c>
      <c r="AM14">
        <v>1</v>
      </c>
      <c r="AN14">
        <v>79</v>
      </c>
      <c r="AO14">
        <v>0.01</v>
      </c>
      <c r="AP14" t="s">
        <v>63</v>
      </c>
      <c r="AQ14" t="s">
        <v>63</v>
      </c>
    </row>
    <row r="15" spans="1:43" x14ac:dyDescent="0.2">
      <c r="A15">
        <v>50359</v>
      </c>
      <c r="B15" t="s">
        <v>256</v>
      </c>
      <c r="C15">
        <v>5.8</v>
      </c>
      <c r="D15">
        <v>1346</v>
      </c>
      <c r="E15" t="s">
        <v>44</v>
      </c>
      <c r="F15" s="1">
        <v>40632</v>
      </c>
      <c r="G15">
        <v>183953723</v>
      </c>
      <c r="H15">
        <v>95</v>
      </c>
      <c r="I15">
        <v>63000000</v>
      </c>
      <c r="J15" t="s">
        <v>257</v>
      </c>
      <c r="K15" t="s">
        <v>46</v>
      </c>
      <c r="L15" t="s">
        <v>256</v>
      </c>
      <c r="M15" t="s">
        <v>258</v>
      </c>
      <c r="N15">
        <v>4.9977</v>
      </c>
      <c r="O15" t="s">
        <v>259</v>
      </c>
      <c r="P15" t="s">
        <v>260</v>
      </c>
      <c r="Q15" t="s">
        <v>261</v>
      </c>
      <c r="R15" t="s">
        <v>51</v>
      </c>
      <c r="S15" t="s">
        <v>70</v>
      </c>
      <c r="T15" t="s">
        <v>262</v>
      </c>
      <c r="U15" t="s">
        <v>263</v>
      </c>
      <c r="V15" t="s">
        <v>264</v>
      </c>
      <c r="W15" t="s">
        <v>265</v>
      </c>
      <c r="X15" t="s">
        <v>266</v>
      </c>
      <c r="Y15" t="s">
        <v>267</v>
      </c>
      <c r="Z15">
        <v>5.4</v>
      </c>
      <c r="AA15">
        <v>39786</v>
      </c>
      <c r="AB15" t="s">
        <v>268</v>
      </c>
      <c r="AC15">
        <v>3</v>
      </c>
      <c r="AD15">
        <v>2011</v>
      </c>
      <c r="AE15">
        <v>13</v>
      </c>
      <c r="AF15" t="s">
        <v>269</v>
      </c>
      <c r="AG15">
        <v>-22</v>
      </c>
      <c r="AH15">
        <v>19.030194783941798</v>
      </c>
      <c r="AI15">
        <v>0.82739977321486202</v>
      </c>
      <c r="AJ15" t="s">
        <v>61</v>
      </c>
      <c r="AK15" t="s">
        <v>270</v>
      </c>
      <c r="AL15">
        <v>45</v>
      </c>
      <c r="AM15">
        <v>0</v>
      </c>
      <c r="AN15">
        <v>48</v>
      </c>
      <c r="AO15">
        <v>0</v>
      </c>
      <c r="AP15" t="s">
        <v>63</v>
      </c>
      <c r="AQ15" t="s">
        <v>63</v>
      </c>
    </row>
    <row r="16" spans="1:43" x14ac:dyDescent="0.2">
      <c r="A16">
        <v>49018</v>
      </c>
      <c r="B16" t="s">
        <v>271</v>
      </c>
      <c r="C16">
        <v>6.9</v>
      </c>
      <c r="D16">
        <v>7103</v>
      </c>
      <c r="E16" t="s">
        <v>44</v>
      </c>
      <c r="F16" s="1">
        <v>40633</v>
      </c>
      <c r="G16">
        <v>100106454</v>
      </c>
      <c r="H16">
        <v>102</v>
      </c>
      <c r="I16">
        <v>1500000</v>
      </c>
      <c r="J16" t="s">
        <v>272</v>
      </c>
      <c r="K16" t="s">
        <v>46</v>
      </c>
      <c r="L16" t="s">
        <v>271</v>
      </c>
      <c r="M16" t="s">
        <v>273</v>
      </c>
      <c r="N16">
        <v>8.2248000000000001</v>
      </c>
      <c r="O16" t="s">
        <v>274</v>
      </c>
      <c r="P16" t="s">
        <v>275</v>
      </c>
      <c r="Q16" t="s">
        <v>276</v>
      </c>
      <c r="R16" t="s">
        <v>86</v>
      </c>
      <c r="S16" t="s">
        <v>70</v>
      </c>
      <c r="T16" t="s">
        <v>277</v>
      </c>
      <c r="U16" t="s">
        <v>278</v>
      </c>
      <c r="V16" t="s">
        <v>279</v>
      </c>
      <c r="W16" t="s">
        <v>280</v>
      </c>
      <c r="X16" t="s">
        <v>281</v>
      </c>
      <c r="Y16" t="s">
        <v>282</v>
      </c>
      <c r="Z16">
        <v>6.8</v>
      </c>
      <c r="AA16">
        <v>360806</v>
      </c>
      <c r="AB16" t="s">
        <v>283</v>
      </c>
      <c r="AC16">
        <v>3</v>
      </c>
      <c r="AD16">
        <v>2011</v>
      </c>
      <c r="AE16">
        <v>13</v>
      </c>
      <c r="AF16" t="s">
        <v>284</v>
      </c>
      <c r="AG16">
        <v>-21</v>
      </c>
      <c r="AH16">
        <v>18.4217447277208</v>
      </c>
      <c r="AI16">
        <v>0.83735203307821904</v>
      </c>
      <c r="AJ16" t="s">
        <v>61</v>
      </c>
      <c r="AK16" t="s">
        <v>285</v>
      </c>
      <c r="AL16">
        <v>45</v>
      </c>
      <c r="AM16">
        <v>0</v>
      </c>
      <c r="AN16">
        <v>55</v>
      </c>
      <c r="AO16">
        <v>0</v>
      </c>
      <c r="AP16" t="s">
        <v>63</v>
      </c>
      <c r="AQ16" t="s">
        <v>63</v>
      </c>
    </row>
    <row r="17" spans="1:43" x14ac:dyDescent="0.2">
      <c r="A17">
        <v>57353</v>
      </c>
      <c r="B17" t="s">
        <v>286</v>
      </c>
      <c r="C17">
        <v>5.3029999999999999</v>
      </c>
      <c r="D17">
        <v>150</v>
      </c>
      <c r="E17" t="s">
        <v>44</v>
      </c>
      <c r="F17" s="1">
        <v>40634</v>
      </c>
      <c r="G17">
        <v>65708</v>
      </c>
      <c r="H17">
        <v>106</v>
      </c>
      <c r="I17">
        <v>25000000</v>
      </c>
      <c r="J17" t="s">
        <v>287</v>
      </c>
      <c r="K17" t="s">
        <v>46</v>
      </c>
      <c r="L17" t="s">
        <v>286</v>
      </c>
      <c r="M17" t="s">
        <v>288</v>
      </c>
      <c r="N17">
        <v>0.91820000000000002</v>
      </c>
      <c r="O17" t="s">
        <v>289</v>
      </c>
      <c r="P17" t="s">
        <v>290</v>
      </c>
      <c r="Q17" t="s">
        <v>291</v>
      </c>
      <c r="R17" t="s">
        <v>51</v>
      </c>
      <c r="S17" t="s">
        <v>292</v>
      </c>
      <c r="T17" t="s">
        <v>293</v>
      </c>
      <c r="U17" t="s">
        <v>294</v>
      </c>
      <c r="V17" t="s">
        <v>295</v>
      </c>
      <c r="W17" t="s">
        <v>296</v>
      </c>
      <c r="X17" t="s">
        <v>297</v>
      </c>
      <c r="Y17" t="s">
        <v>298</v>
      </c>
      <c r="Z17">
        <v>5.5</v>
      </c>
      <c r="AA17">
        <v>5878</v>
      </c>
      <c r="AB17" t="s">
        <v>299</v>
      </c>
      <c r="AC17">
        <v>4</v>
      </c>
      <c r="AD17">
        <v>2011</v>
      </c>
      <c r="AE17">
        <v>13</v>
      </c>
      <c r="AF17" t="s">
        <v>300</v>
      </c>
      <c r="AG17">
        <v>-20</v>
      </c>
      <c r="AH17">
        <v>11.0929911813923</v>
      </c>
      <c r="AI17">
        <v>0.52823767530439503</v>
      </c>
      <c r="AJ17" t="s">
        <v>61</v>
      </c>
      <c r="AK17" t="s">
        <v>301</v>
      </c>
      <c r="AL17">
        <v>3</v>
      </c>
      <c r="AM17">
        <v>0</v>
      </c>
      <c r="AN17">
        <v>9</v>
      </c>
      <c r="AO17">
        <v>0</v>
      </c>
      <c r="AP17" t="s">
        <v>63</v>
      </c>
      <c r="AQ17" t="s">
        <v>63</v>
      </c>
    </row>
    <row r="18" spans="1:43" x14ac:dyDescent="0.2">
      <c r="A18">
        <v>58522</v>
      </c>
      <c r="B18" t="s">
        <v>302</v>
      </c>
      <c r="C18">
        <v>6.9</v>
      </c>
      <c r="D18">
        <v>609</v>
      </c>
      <c r="E18" t="s">
        <v>44</v>
      </c>
      <c r="F18" s="1">
        <v>40634</v>
      </c>
      <c r="G18">
        <v>1248748</v>
      </c>
      <c r="H18">
        <v>108</v>
      </c>
      <c r="I18">
        <v>3347850</v>
      </c>
      <c r="J18" t="s">
        <v>303</v>
      </c>
      <c r="K18" t="s">
        <v>131</v>
      </c>
      <c r="L18" t="s">
        <v>304</v>
      </c>
      <c r="M18" t="s">
        <v>305</v>
      </c>
      <c r="N18">
        <v>1.9851000000000001</v>
      </c>
      <c r="O18" t="s">
        <v>306</v>
      </c>
      <c r="P18" t="s">
        <v>135</v>
      </c>
      <c r="Q18" t="s">
        <v>307</v>
      </c>
      <c r="R18" t="s">
        <v>137</v>
      </c>
      <c r="S18" t="s">
        <v>138</v>
      </c>
      <c r="T18" t="s">
        <v>308</v>
      </c>
      <c r="U18" t="s">
        <v>309</v>
      </c>
      <c r="V18" t="s">
        <v>310</v>
      </c>
      <c r="W18" t="s">
        <v>309</v>
      </c>
      <c r="X18" t="s">
        <v>311</v>
      </c>
      <c r="Y18" t="s">
        <v>312</v>
      </c>
      <c r="Z18">
        <v>6.9</v>
      </c>
      <c r="AA18">
        <v>3299</v>
      </c>
      <c r="AB18" t="s">
        <v>313</v>
      </c>
      <c r="AC18">
        <v>4</v>
      </c>
      <c r="AD18">
        <v>2011</v>
      </c>
      <c r="AE18">
        <v>13</v>
      </c>
      <c r="AF18" t="s">
        <v>314</v>
      </c>
      <c r="AG18">
        <v>-20</v>
      </c>
      <c r="AH18">
        <v>14.037652808143701</v>
      </c>
      <c r="AI18">
        <v>0.66845965753065595</v>
      </c>
      <c r="AJ18" t="s">
        <v>61</v>
      </c>
      <c r="AK18" t="s">
        <v>147</v>
      </c>
      <c r="AL18">
        <v>1</v>
      </c>
      <c r="AM18">
        <v>0</v>
      </c>
      <c r="AN18">
        <v>1</v>
      </c>
      <c r="AO18">
        <v>0</v>
      </c>
      <c r="AP18" t="s">
        <v>63</v>
      </c>
      <c r="AQ18" t="s">
        <v>63</v>
      </c>
    </row>
    <row r="19" spans="1:43" x14ac:dyDescent="0.2">
      <c r="A19">
        <v>51162</v>
      </c>
      <c r="B19" t="s">
        <v>315</v>
      </c>
      <c r="C19">
        <v>6.9</v>
      </c>
      <c r="D19">
        <v>916</v>
      </c>
      <c r="E19" t="s">
        <v>44</v>
      </c>
      <c r="F19" s="1">
        <v>40639</v>
      </c>
      <c r="G19">
        <v>49871429</v>
      </c>
      <c r="H19">
        <v>63</v>
      </c>
      <c r="I19">
        <v>30000000</v>
      </c>
      <c r="J19" t="s">
        <v>316</v>
      </c>
      <c r="K19" t="s">
        <v>46</v>
      </c>
      <c r="L19" t="s">
        <v>315</v>
      </c>
      <c r="M19" t="s">
        <v>317</v>
      </c>
      <c r="N19">
        <v>4.3464999999999998</v>
      </c>
      <c r="O19" t="s">
        <v>318</v>
      </c>
      <c r="P19" t="s">
        <v>319</v>
      </c>
      <c r="Q19" t="s">
        <v>320</v>
      </c>
      <c r="R19" t="s">
        <v>51</v>
      </c>
      <c r="S19" t="s">
        <v>70</v>
      </c>
      <c r="T19" t="s">
        <v>321</v>
      </c>
      <c r="U19" t="s">
        <v>322</v>
      </c>
      <c r="V19" t="s">
        <v>323</v>
      </c>
      <c r="W19" t="s">
        <v>324</v>
      </c>
      <c r="X19" t="s">
        <v>325</v>
      </c>
      <c r="Y19" t="s">
        <v>326</v>
      </c>
      <c r="Z19">
        <v>7.1</v>
      </c>
      <c r="AA19">
        <v>30192</v>
      </c>
      <c r="AB19" t="s">
        <v>327</v>
      </c>
      <c r="AC19">
        <v>4</v>
      </c>
      <c r="AD19">
        <v>2011</v>
      </c>
      <c r="AE19">
        <v>14</v>
      </c>
      <c r="AF19" t="s">
        <v>328</v>
      </c>
      <c r="AG19">
        <v>-15</v>
      </c>
      <c r="AH19">
        <v>17.724958851665001</v>
      </c>
      <c r="AI19">
        <v>1.1078099282290601</v>
      </c>
      <c r="AJ19" t="s">
        <v>61</v>
      </c>
      <c r="AK19" t="s">
        <v>329</v>
      </c>
      <c r="AL19">
        <v>57</v>
      </c>
      <c r="AM19">
        <v>0</v>
      </c>
      <c r="AN19">
        <v>64</v>
      </c>
      <c r="AO19">
        <v>0</v>
      </c>
      <c r="AP19" t="s">
        <v>63</v>
      </c>
      <c r="AQ19" t="s">
        <v>63</v>
      </c>
    </row>
    <row r="20" spans="1:43" x14ac:dyDescent="0.2">
      <c r="A20">
        <v>50456</v>
      </c>
      <c r="B20" t="s">
        <v>330</v>
      </c>
      <c r="C20">
        <v>6.5880000000000001</v>
      </c>
      <c r="D20">
        <v>3519</v>
      </c>
      <c r="E20" t="s">
        <v>44</v>
      </c>
      <c r="F20" s="1">
        <v>40640</v>
      </c>
      <c r="G20">
        <v>63782078</v>
      </c>
      <c r="H20">
        <v>111</v>
      </c>
      <c r="I20">
        <v>30000000</v>
      </c>
      <c r="J20" t="s">
        <v>331</v>
      </c>
      <c r="K20" t="s">
        <v>46</v>
      </c>
      <c r="L20" t="s">
        <v>330</v>
      </c>
      <c r="M20" t="s">
        <v>332</v>
      </c>
      <c r="N20">
        <v>7.2927</v>
      </c>
      <c r="O20" t="s">
        <v>333</v>
      </c>
      <c r="P20" t="s">
        <v>334</v>
      </c>
      <c r="Q20" t="s">
        <v>335</v>
      </c>
      <c r="R20" t="s">
        <v>336</v>
      </c>
      <c r="S20" t="s">
        <v>337</v>
      </c>
      <c r="T20" t="s">
        <v>338</v>
      </c>
      <c r="U20" t="s">
        <v>339</v>
      </c>
      <c r="V20" t="s">
        <v>340</v>
      </c>
      <c r="W20" t="s">
        <v>341</v>
      </c>
      <c r="X20" t="s">
        <v>342</v>
      </c>
      <c r="Y20" t="s">
        <v>343</v>
      </c>
      <c r="Z20">
        <v>6.7</v>
      </c>
      <c r="AA20">
        <v>213033</v>
      </c>
      <c r="AB20" t="s">
        <v>344</v>
      </c>
      <c r="AC20">
        <v>4</v>
      </c>
      <c r="AD20">
        <v>2011</v>
      </c>
      <c r="AE20">
        <v>14</v>
      </c>
      <c r="AF20" t="s">
        <v>345</v>
      </c>
      <c r="AG20">
        <v>-14</v>
      </c>
      <c r="AH20">
        <v>17.970982815440099</v>
      </c>
      <c r="AI20">
        <v>1.1980655210293401</v>
      </c>
      <c r="AJ20" t="s">
        <v>61</v>
      </c>
      <c r="AK20" t="s">
        <v>346</v>
      </c>
      <c r="AL20">
        <v>47</v>
      </c>
      <c r="AM20">
        <v>1</v>
      </c>
      <c r="AN20">
        <v>61</v>
      </c>
      <c r="AO20">
        <v>0.02</v>
      </c>
      <c r="AP20" t="s">
        <v>63</v>
      </c>
      <c r="AQ20" t="s">
        <v>63</v>
      </c>
    </row>
    <row r="21" spans="1:43" x14ac:dyDescent="0.2">
      <c r="A21">
        <v>38319</v>
      </c>
      <c r="B21" t="s">
        <v>347</v>
      </c>
      <c r="C21">
        <v>5.3</v>
      </c>
      <c r="D21">
        <v>1381</v>
      </c>
      <c r="E21" t="s">
        <v>44</v>
      </c>
      <c r="F21" s="1">
        <v>40641</v>
      </c>
      <c r="G21">
        <v>28013733</v>
      </c>
      <c r="H21">
        <v>102</v>
      </c>
      <c r="I21">
        <v>49900000</v>
      </c>
      <c r="J21" t="s">
        <v>348</v>
      </c>
      <c r="K21" t="s">
        <v>46</v>
      </c>
      <c r="L21" t="s">
        <v>347</v>
      </c>
      <c r="M21" t="s">
        <v>349</v>
      </c>
      <c r="N21">
        <v>2.0691999999999999</v>
      </c>
      <c r="O21" t="s">
        <v>350</v>
      </c>
      <c r="P21" t="s">
        <v>351</v>
      </c>
      <c r="Q21" t="s">
        <v>352</v>
      </c>
      <c r="R21" t="s">
        <v>51</v>
      </c>
      <c r="S21" t="s">
        <v>70</v>
      </c>
      <c r="T21" t="s">
        <v>353</v>
      </c>
      <c r="U21" t="s">
        <v>354</v>
      </c>
      <c r="V21" t="s">
        <v>355</v>
      </c>
      <c r="W21" t="s">
        <v>356</v>
      </c>
      <c r="X21" t="s">
        <v>357</v>
      </c>
      <c r="Y21" t="s">
        <v>358</v>
      </c>
      <c r="Z21">
        <v>5.5</v>
      </c>
      <c r="AA21">
        <v>107021</v>
      </c>
      <c r="AB21" t="s">
        <v>359</v>
      </c>
      <c r="AC21">
        <v>4</v>
      </c>
      <c r="AD21">
        <v>2011</v>
      </c>
      <c r="AE21">
        <v>14</v>
      </c>
      <c r="AF21" t="s">
        <v>360</v>
      </c>
      <c r="AG21">
        <v>-13</v>
      </c>
      <c r="AH21">
        <v>17.148205447883601</v>
      </c>
      <c r="AI21">
        <v>1.2248718177059701</v>
      </c>
      <c r="AJ21" t="s">
        <v>61</v>
      </c>
      <c r="AK21" t="s">
        <v>361</v>
      </c>
      <c r="AL21">
        <v>23</v>
      </c>
      <c r="AM21">
        <v>2</v>
      </c>
      <c r="AN21">
        <v>35</v>
      </c>
      <c r="AO21">
        <v>0.06</v>
      </c>
      <c r="AP21" t="s">
        <v>63</v>
      </c>
      <c r="AQ21" t="s">
        <v>63</v>
      </c>
    </row>
    <row r="22" spans="1:43" x14ac:dyDescent="0.2">
      <c r="A22">
        <v>43959</v>
      </c>
      <c r="B22" t="s">
        <v>362</v>
      </c>
      <c r="C22">
        <v>7</v>
      </c>
      <c r="D22">
        <v>1206</v>
      </c>
      <c r="E22" t="s">
        <v>44</v>
      </c>
      <c r="F22" s="1">
        <v>40641</v>
      </c>
      <c r="G22">
        <v>47088990</v>
      </c>
      <c r="H22">
        <v>112</v>
      </c>
      <c r="I22">
        <v>18000000</v>
      </c>
      <c r="J22" t="s">
        <v>363</v>
      </c>
      <c r="K22" t="s">
        <v>46</v>
      </c>
      <c r="L22" t="s">
        <v>362</v>
      </c>
      <c r="M22" t="s">
        <v>364</v>
      </c>
      <c r="N22">
        <v>3.3818000000000001</v>
      </c>
      <c r="O22" t="s">
        <v>365</v>
      </c>
      <c r="P22" t="s">
        <v>366</v>
      </c>
      <c r="Q22" t="s">
        <v>367</v>
      </c>
      <c r="R22" t="s">
        <v>51</v>
      </c>
      <c r="S22" t="s">
        <v>70</v>
      </c>
      <c r="T22" t="s">
        <v>368</v>
      </c>
      <c r="U22" t="s">
        <v>369</v>
      </c>
      <c r="V22" t="s">
        <v>370</v>
      </c>
      <c r="W22" t="s">
        <v>371</v>
      </c>
      <c r="X22" t="s">
        <v>372</v>
      </c>
      <c r="Y22" t="s">
        <v>373</v>
      </c>
      <c r="Z22">
        <v>7</v>
      </c>
      <c r="AA22">
        <v>55157</v>
      </c>
      <c r="AB22" t="s">
        <v>374</v>
      </c>
      <c r="AC22">
        <v>4</v>
      </c>
      <c r="AD22">
        <v>2011</v>
      </c>
      <c r="AE22">
        <v>14</v>
      </c>
      <c r="AF22" t="s">
        <v>375</v>
      </c>
      <c r="AG22">
        <v>-13</v>
      </c>
      <c r="AH22">
        <v>17.667549794935599</v>
      </c>
      <c r="AI22">
        <v>1.2619678424953999</v>
      </c>
      <c r="AJ22" t="s">
        <v>61</v>
      </c>
      <c r="AK22" t="s">
        <v>376</v>
      </c>
      <c r="AL22">
        <v>13</v>
      </c>
      <c r="AM22">
        <v>1</v>
      </c>
      <c r="AN22">
        <v>23</v>
      </c>
      <c r="AO22">
        <v>0.04</v>
      </c>
      <c r="AP22" t="s">
        <v>63</v>
      </c>
      <c r="AQ22" t="s">
        <v>63</v>
      </c>
    </row>
    <row r="23" spans="1:43" x14ac:dyDescent="0.2">
      <c r="A23">
        <v>49012</v>
      </c>
      <c r="B23" t="s">
        <v>377</v>
      </c>
      <c r="C23">
        <v>5.5419999999999998</v>
      </c>
      <c r="D23">
        <v>757</v>
      </c>
      <c r="E23" t="s">
        <v>44</v>
      </c>
      <c r="F23" s="1">
        <v>40641</v>
      </c>
      <c r="G23">
        <v>48147945</v>
      </c>
      <c r="H23">
        <v>110</v>
      </c>
      <c r="I23">
        <v>40000000</v>
      </c>
      <c r="J23" t="s">
        <v>378</v>
      </c>
      <c r="K23" t="s">
        <v>46</v>
      </c>
      <c r="L23" t="s">
        <v>377</v>
      </c>
      <c r="M23" t="s">
        <v>379</v>
      </c>
      <c r="N23">
        <v>1.2170000000000001</v>
      </c>
      <c r="O23" t="s">
        <v>380</v>
      </c>
      <c r="P23" t="s">
        <v>381</v>
      </c>
      <c r="Q23" t="s">
        <v>382</v>
      </c>
      <c r="R23" t="s">
        <v>51</v>
      </c>
      <c r="S23" t="s">
        <v>70</v>
      </c>
      <c r="T23" t="s">
        <v>383</v>
      </c>
      <c r="U23" t="s">
        <v>384</v>
      </c>
      <c r="V23" t="s">
        <v>385</v>
      </c>
      <c r="W23" t="s">
        <v>386</v>
      </c>
      <c r="X23" t="s">
        <v>387</v>
      </c>
      <c r="Y23" t="s">
        <v>388</v>
      </c>
      <c r="Z23">
        <v>5.7</v>
      </c>
      <c r="AA23">
        <v>53690</v>
      </c>
      <c r="AB23" t="s">
        <v>389</v>
      </c>
      <c r="AC23">
        <v>4</v>
      </c>
      <c r="AD23">
        <v>2011</v>
      </c>
      <c r="AE23">
        <v>14</v>
      </c>
      <c r="AF23" t="s">
        <v>390</v>
      </c>
      <c r="AG23">
        <v>-13</v>
      </c>
      <c r="AH23">
        <v>17.689789036939199</v>
      </c>
      <c r="AI23">
        <v>1.2635563597813699</v>
      </c>
      <c r="AJ23" t="s">
        <v>61</v>
      </c>
      <c r="AK23" t="s">
        <v>391</v>
      </c>
      <c r="AL23">
        <v>20</v>
      </c>
      <c r="AM23">
        <v>0</v>
      </c>
      <c r="AN23">
        <v>24</v>
      </c>
      <c r="AO23">
        <v>0</v>
      </c>
      <c r="AP23" t="s">
        <v>63</v>
      </c>
      <c r="AQ23" t="s">
        <v>63</v>
      </c>
    </row>
    <row r="24" spans="1:43" x14ac:dyDescent="0.2">
      <c r="A24">
        <v>81390</v>
      </c>
      <c r="B24" t="s">
        <v>392</v>
      </c>
      <c r="C24">
        <v>6.2</v>
      </c>
      <c r="D24">
        <v>612</v>
      </c>
      <c r="E24" t="s">
        <v>44</v>
      </c>
      <c r="F24" s="1">
        <v>40642</v>
      </c>
      <c r="G24">
        <v>25345000</v>
      </c>
      <c r="H24">
        <v>99</v>
      </c>
      <c r="I24">
        <v>4000000</v>
      </c>
      <c r="J24" t="s">
        <v>393</v>
      </c>
      <c r="K24" t="s">
        <v>46</v>
      </c>
      <c r="L24" t="s">
        <v>392</v>
      </c>
      <c r="M24" t="s">
        <v>394</v>
      </c>
      <c r="N24">
        <v>4.3411999999999997</v>
      </c>
      <c r="O24" t="s">
        <v>395</v>
      </c>
      <c r="P24" t="s">
        <v>396</v>
      </c>
      <c r="Q24" t="s">
        <v>397</v>
      </c>
      <c r="R24" t="s">
        <v>398</v>
      </c>
      <c r="S24" t="s">
        <v>292</v>
      </c>
      <c r="T24" t="s">
        <v>399</v>
      </c>
      <c r="U24" t="s">
        <v>400</v>
      </c>
      <c r="V24" t="s">
        <v>401</v>
      </c>
      <c r="W24" t="s">
        <v>402</v>
      </c>
      <c r="X24" t="s">
        <v>403</v>
      </c>
      <c r="Y24" t="s">
        <v>404</v>
      </c>
      <c r="Z24">
        <v>6.2</v>
      </c>
      <c r="AA24">
        <v>31899</v>
      </c>
      <c r="AB24" t="s">
        <v>405</v>
      </c>
      <c r="AC24">
        <v>4</v>
      </c>
      <c r="AD24">
        <v>2011</v>
      </c>
      <c r="AE24">
        <v>14</v>
      </c>
      <c r="AF24" t="s">
        <v>406</v>
      </c>
      <c r="AG24">
        <v>-12</v>
      </c>
      <c r="AH24">
        <v>17.048092069344101</v>
      </c>
      <c r="AI24">
        <v>1.31139169764185</v>
      </c>
      <c r="AJ24" t="s">
        <v>61</v>
      </c>
      <c r="AK24" t="s">
        <v>407</v>
      </c>
      <c r="AL24">
        <v>5</v>
      </c>
      <c r="AM24">
        <v>1</v>
      </c>
      <c r="AN24">
        <v>32</v>
      </c>
      <c r="AO24">
        <v>0.03</v>
      </c>
      <c r="AP24" t="s">
        <v>63</v>
      </c>
      <c r="AQ24" t="s">
        <v>63</v>
      </c>
    </row>
    <row r="25" spans="1:43" x14ac:dyDescent="0.2">
      <c r="A25">
        <v>41446</v>
      </c>
      <c r="B25" t="s">
        <v>408</v>
      </c>
      <c r="C25">
        <v>6.47</v>
      </c>
      <c r="D25">
        <v>3967</v>
      </c>
      <c r="E25" t="s">
        <v>44</v>
      </c>
      <c r="F25" s="1">
        <v>40646</v>
      </c>
      <c r="G25">
        <v>97231420</v>
      </c>
      <c r="H25">
        <v>111</v>
      </c>
      <c r="I25">
        <v>40000000</v>
      </c>
      <c r="J25" t="s">
        <v>409</v>
      </c>
      <c r="K25" t="s">
        <v>46</v>
      </c>
      <c r="L25" t="s">
        <v>408</v>
      </c>
      <c r="M25" t="s">
        <v>410</v>
      </c>
      <c r="N25">
        <v>11.0922</v>
      </c>
      <c r="O25" t="s">
        <v>411</v>
      </c>
      <c r="P25" t="s">
        <v>412</v>
      </c>
      <c r="Q25" t="s">
        <v>413</v>
      </c>
      <c r="R25" t="s">
        <v>51</v>
      </c>
      <c r="S25" t="s">
        <v>70</v>
      </c>
      <c r="T25" t="s">
        <v>414</v>
      </c>
      <c r="U25" t="s">
        <v>415</v>
      </c>
      <c r="V25" t="s">
        <v>416</v>
      </c>
      <c r="W25" t="s">
        <v>417</v>
      </c>
      <c r="X25" t="s">
        <v>418</v>
      </c>
      <c r="Y25" t="s">
        <v>373</v>
      </c>
      <c r="Z25">
        <v>6.2</v>
      </c>
      <c r="AA25">
        <v>185135</v>
      </c>
      <c r="AB25" t="s">
        <v>419</v>
      </c>
      <c r="AC25">
        <v>4</v>
      </c>
      <c r="AD25">
        <v>2011</v>
      </c>
      <c r="AE25">
        <v>15</v>
      </c>
      <c r="AF25" t="s">
        <v>420</v>
      </c>
      <c r="AG25">
        <v>-8</v>
      </c>
      <c r="AH25">
        <v>18.392604478509799</v>
      </c>
      <c r="AI25">
        <v>2.0436227198344201</v>
      </c>
      <c r="AJ25" t="s">
        <v>61</v>
      </c>
      <c r="AK25" t="s">
        <v>421</v>
      </c>
      <c r="AL25">
        <v>55</v>
      </c>
      <c r="AM25">
        <v>0</v>
      </c>
      <c r="AN25">
        <v>62</v>
      </c>
      <c r="AO25">
        <v>0</v>
      </c>
      <c r="AP25" t="s">
        <v>63</v>
      </c>
      <c r="AQ25" t="s">
        <v>63</v>
      </c>
    </row>
    <row r="26" spans="1:43" x14ac:dyDescent="0.2">
      <c r="A26">
        <v>56780</v>
      </c>
      <c r="B26" t="s">
        <v>422</v>
      </c>
      <c r="C26">
        <v>5.5</v>
      </c>
      <c r="D26">
        <v>204</v>
      </c>
      <c r="E26" t="s">
        <v>44</v>
      </c>
      <c r="F26" s="1">
        <v>40647</v>
      </c>
      <c r="G26">
        <v>4627375</v>
      </c>
      <c r="H26">
        <v>97</v>
      </c>
      <c r="I26">
        <v>20000000</v>
      </c>
      <c r="J26" t="s">
        <v>423</v>
      </c>
      <c r="K26" t="s">
        <v>46</v>
      </c>
      <c r="L26" t="s">
        <v>422</v>
      </c>
      <c r="M26" t="s">
        <v>424</v>
      </c>
      <c r="N26">
        <v>0.58389999999999997</v>
      </c>
      <c r="O26" t="s">
        <v>425</v>
      </c>
      <c r="P26" t="s">
        <v>426</v>
      </c>
      <c r="Q26" t="s">
        <v>427</v>
      </c>
      <c r="R26" t="s">
        <v>51</v>
      </c>
      <c r="S26" t="s">
        <v>70</v>
      </c>
      <c r="T26" t="s">
        <v>428</v>
      </c>
      <c r="U26" t="s">
        <v>429</v>
      </c>
      <c r="V26" t="s">
        <v>430</v>
      </c>
      <c r="W26" t="s">
        <v>431</v>
      </c>
      <c r="X26" t="s">
        <v>432</v>
      </c>
      <c r="Y26" t="s">
        <v>433</v>
      </c>
      <c r="Z26">
        <v>5.6</v>
      </c>
      <c r="AA26">
        <v>14686</v>
      </c>
      <c r="AB26" t="s">
        <v>434</v>
      </c>
      <c r="AC26">
        <v>4</v>
      </c>
      <c r="AD26">
        <v>2011</v>
      </c>
      <c r="AE26">
        <v>15</v>
      </c>
      <c r="AF26" t="s">
        <v>435</v>
      </c>
      <c r="AG26">
        <v>-7</v>
      </c>
      <c r="AH26">
        <v>15.347500526744399</v>
      </c>
      <c r="AI26">
        <v>1.9184375658430499</v>
      </c>
      <c r="AJ26" t="s">
        <v>61</v>
      </c>
      <c r="AK26" t="s">
        <v>436</v>
      </c>
      <c r="AL26">
        <v>0</v>
      </c>
      <c r="AM26">
        <v>0</v>
      </c>
      <c r="AN26">
        <v>10</v>
      </c>
      <c r="AO26">
        <v>0</v>
      </c>
      <c r="AP26" t="s">
        <v>63</v>
      </c>
      <c r="AQ26" t="s">
        <v>63</v>
      </c>
    </row>
    <row r="27" spans="1:43" x14ac:dyDescent="0.2">
      <c r="A27">
        <v>55787</v>
      </c>
      <c r="B27" t="s">
        <v>437</v>
      </c>
      <c r="C27">
        <v>6.9</v>
      </c>
      <c r="D27">
        <v>2569</v>
      </c>
      <c r="E27" t="s">
        <v>44</v>
      </c>
      <c r="F27" s="1">
        <v>40648</v>
      </c>
      <c r="G27">
        <v>117094902</v>
      </c>
      <c r="H27">
        <v>122</v>
      </c>
      <c r="I27">
        <v>38000000</v>
      </c>
      <c r="J27" t="s">
        <v>438</v>
      </c>
      <c r="K27" t="s">
        <v>46</v>
      </c>
      <c r="L27" t="s">
        <v>437</v>
      </c>
      <c r="M27" t="s">
        <v>439</v>
      </c>
      <c r="N27">
        <v>53.173299999999998</v>
      </c>
      <c r="O27" t="s">
        <v>440</v>
      </c>
      <c r="P27" t="s">
        <v>100</v>
      </c>
      <c r="Q27" t="s">
        <v>441</v>
      </c>
      <c r="R27" t="s">
        <v>51</v>
      </c>
      <c r="S27" t="s">
        <v>442</v>
      </c>
      <c r="T27" t="s">
        <v>443</v>
      </c>
      <c r="U27" t="s">
        <v>444</v>
      </c>
      <c r="V27" t="s">
        <v>445</v>
      </c>
      <c r="W27" t="s">
        <v>446</v>
      </c>
      <c r="X27" t="s">
        <v>447</v>
      </c>
      <c r="Y27" t="s">
        <v>448</v>
      </c>
      <c r="Z27">
        <v>6.9</v>
      </c>
      <c r="AA27">
        <v>123263</v>
      </c>
      <c r="AB27" t="s">
        <v>449</v>
      </c>
      <c r="AC27">
        <v>4</v>
      </c>
      <c r="AD27">
        <v>2011</v>
      </c>
      <c r="AE27">
        <v>15</v>
      </c>
      <c r="AF27" t="s">
        <v>450</v>
      </c>
      <c r="AG27">
        <v>-6</v>
      </c>
      <c r="AH27">
        <v>18.578495300720501</v>
      </c>
      <c r="AI27">
        <v>2.65407075724579</v>
      </c>
      <c r="AJ27" t="s">
        <v>61</v>
      </c>
      <c r="AK27" t="s">
        <v>451</v>
      </c>
      <c r="AL27">
        <v>54</v>
      </c>
      <c r="AM27">
        <v>0</v>
      </c>
      <c r="AN27">
        <v>62</v>
      </c>
      <c r="AO27">
        <v>0</v>
      </c>
      <c r="AP27" t="s">
        <v>63</v>
      </c>
      <c r="AQ27" t="s">
        <v>63</v>
      </c>
    </row>
    <row r="28" spans="1:43" x14ac:dyDescent="0.2">
      <c r="A28">
        <v>60309</v>
      </c>
      <c r="B28" t="s">
        <v>452</v>
      </c>
      <c r="C28">
        <v>6.6</v>
      </c>
      <c r="D28">
        <v>468</v>
      </c>
      <c r="E28" t="s">
        <v>44</v>
      </c>
      <c r="F28" s="1">
        <v>40648</v>
      </c>
      <c r="G28">
        <v>15478800</v>
      </c>
      <c r="H28">
        <v>122</v>
      </c>
      <c r="I28">
        <v>25000000</v>
      </c>
      <c r="J28" t="s">
        <v>453</v>
      </c>
      <c r="K28" t="s">
        <v>46</v>
      </c>
      <c r="L28" t="s">
        <v>452</v>
      </c>
      <c r="M28" t="s">
        <v>454</v>
      </c>
      <c r="N28">
        <v>4.3596000000000004</v>
      </c>
      <c r="O28" t="s">
        <v>455</v>
      </c>
      <c r="P28" t="s">
        <v>456</v>
      </c>
      <c r="Q28" t="s">
        <v>457</v>
      </c>
      <c r="R28" t="s">
        <v>51</v>
      </c>
      <c r="S28" t="s">
        <v>70</v>
      </c>
      <c r="T28" t="s">
        <v>458</v>
      </c>
      <c r="U28" t="s">
        <v>459</v>
      </c>
      <c r="V28" t="s">
        <v>460</v>
      </c>
      <c r="W28" t="s">
        <v>461</v>
      </c>
      <c r="X28" t="s">
        <v>462</v>
      </c>
      <c r="Y28" t="s">
        <v>463</v>
      </c>
      <c r="Z28">
        <v>6.9</v>
      </c>
      <c r="AA28">
        <v>30858</v>
      </c>
      <c r="AB28" t="s">
        <v>464</v>
      </c>
      <c r="AC28">
        <v>4</v>
      </c>
      <c r="AD28">
        <v>2011</v>
      </c>
      <c r="AE28">
        <v>15</v>
      </c>
      <c r="AF28" t="s">
        <v>465</v>
      </c>
      <c r="AG28">
        <v>-6</v>
      </c>
      <c r="AH28">
        <v>16.5549819683457</v>
      </c>
      <c r="AI28">
        <v>2.3649974240493798</v>
      </c>
      <c r="AJ28" t="s">
        <v>61</v>
      </c>
      <c r="AK28" t="s">
        <v>466</v>
      </c>
      <c r="AL28">
        <v>32</v>
      </c>
      <c r="AM28">
        <v>0</v>
      </c>
      <c r="AN28">
        <v>47</v>
      </c>
      <c r="AO28">
        <v>0</v>
      </c>
      <c r="AP28" t="s">
        <v>63</v>
      </c>
      <c r="AQ28" t="s">
        <v>63</v>
      </c>
    </row>
    <row r="29" spans="1:43" x14ac:dyDescent="0.2">
      <c r="A29">
        <v>58699</v>
      </c>
      <c r="B29" t="s">
        <v>467</v>
      </c>
      <c r="C29">
        <v>5.9119999999999999</v>
      </c>
      <c r="D29">
        <v>154</v>
      </c>
      <c r="E29" t="s">
        <v>44</v>
      </c>
      <c r="F29" s="1">
        <v>40649</v>
      </c>
      <c r="G29">
        <v>101236</v>
      </c>
      <c r="H29">
        <v>106</v>
      </c>
      <c r="I29">
        <v>17000</v>
      </c>
      <c r="J29" t="s">
        <v>468</v>
      </c>
      <c r="K29" t="s">
        <v>46</v>
      </c>
      <c r="L29" t="s">
        <v>467</v>
      </c>
      <c r="M29" t="s">
        <v>469</v>
      </c>
      <c r="N29">
        <v>0.38969999999999999</v>
      </c>
      <c r="O29" t="s">
        <v>470</v>
      </c>
      <c r="P29" t="s">
        <v>471</v>
      </c>
      <c r="Q29" t="s">
        <v>472</v>
      </c>
      <c r="R29" t="s">
        <v>51</v>
      </c>
      <c r="S29" t="s">
        <v>70</v>
      </c>
      <c r="T29" t="s">
        <v>473</v>
      </c>
      <c r="U29" t="s">
        <v>474</v>
      </c>
      <c r="V29" t="s">
        <v>475</v>
      </c>
      <c r="W29" t="s">
        <v>474</v>
      </c>
      <c r="X29" t="s">
        <v>476</v>
      </c>
      <c r="Y29" t="s">
        <v>477</v>
      </c>
      <c r="Z29">
        <v>6.3</v>
      </c>
      <c r="AA29">
        <v>8227</v>
      </c>
      <c r="AB29" t="s">
        <v>478</v>
      </c>
      <c r="AC29">
        <v>4</v>
      </c>
      <c r="AD29">
        <v>2011</v>
      </c>
      <c r="AE29">
        <v>15</v>
      </c>
      <c r="AF29" t="s">
        <v>479</v>
      </c>
      <c r="AG29">
        <v>-5</v>
      </c>
      <c r="AH29">
        <v>11.5252195816637</v>
      </c>
      <c r="AI29">
        <v>1.92086993027728</v>
      </c>
      <c r="AJ29" t="s">
        <v>61</v>
      </c>
      <c r="AK29" t="s">
        <v>480</v>
      </c>
      <c r="AL29">
        <v>3</v>
      </c>
      <c r="AM29">
        <v>0</v>
      </c>
      <c r="AN29">
        <v>46</v>
      </c>
      <c r="AO29">
        <v>0</v>
      </c>
      <c r="AP29" t="s">
        <v>63</v>
      </c>
      <c r="AQ29" t="s">
        <v>63</v>
      </c>
    </row>
    <row r="30" spans="1:43" x14ac:dyDescent="0.2">
      <c r="A30">
        <v>51497</v>
      </c>
      <c r="B30" t="s">
        <v>481</v>
      </c>
      <c r="C30">
        <v>7.242</v>
      </c>
      <c r="D30">
        <v>8568</v>
      </c>
      <c r="E30" t="s">
        <v>44</v>
      </c>
      <c r="F30" s="1">
        <v>40653</v>
      </c>
      <c r="G30">
        <v>626100000</v>
      </c>
      <c r="H30">
        <v>131</v>
      </c>
      <c r="I30">
        <v>125000000</v>
      </c>
      <c r="J30" t="s">
        <v>482</v>
      </c>
      <c r="K30" t="s">
        <v>46</v>
      </c>
      <c r="L30" t="s">
        <v>481</v>
      </c>
      <c r="M30" t="s">
        <v>483</v>
      </c>
      <c r="N30">
        <v>1.3134999999999999</v>
      </c>
      <c r="O30" t="s">
        <v>484</v>
      </c>
      <c r="P30" t="s">
        <v>485</v>
      </c>
      <c r="Q30" t="s">
        <v>486</v>
      </c>
      <c r="R30" t="s">
        <v>51</v>
      </c>
      <c r="S30" t="s">
        <v>487</v>
      </c>
      <c r="T30" t="s">
        <v>488</v>
      </c>
      <c r="U30" t="s">
        <v>489</v>
      </c>
      <c r="V30" t="s">
        <v>490</v>
      </c>
      <c r="W30" t="s">
        <v>491</v>
      </c>
      <c r="X30" t="s">
        <v>492</v>
      </c>
      <c r="Y30" t="s">
        <v>58</v>
      </c>
      <c r="Z30">
        <v>7.3</v>
      </c>
      <c r="AA30">
        <v>427092</v>
      </c>
      <c r="AB30" t="s">
        <v>493</v>
      </c>
      <c r="AC30">
        <v>4</v>
      </c>
      <c r="AD30">
        <v>2011</v>
      </c>
      <c r="AE30">
        <v>16</v>
      </c>
      <c r="AF30" t="s">
        <v>494</v>
      </c>
      <c r="AG30">
        <v>-1</v>
      </c>
      <c r="AH30">
        <v>20.255020662312699</v>
      </c>
      <c r="AI30">
        <v>10.1275103311563</v>
      </c>
      <c r="AJ30" t="s">
        <v>61</v>
      </c>
      <c r="AK30" t="s">
        <v>495</v>
      </c>
      <c r="AL30">
        <v>61</v>
      </c>
      <c r="AM30">
        <v>1</v>
      </c>
      <c r="AN30">
        <v>71</v>
      </c>
      <c r="AO30">
        <v>0.01</v>
      </c>
      <c r="AP30" t="s">
        <v>63</v>
      </c>
      <c r="AQ30" t="s">
        <v>63</v>
      </c>
    </row>
    <row r="31" spans="1:43" x14ac:dyDescent="0.2">
      <c r="A31">
        <v>51017</v>
      </c>
      <c r="B31" t="s">
        <v>496</v>
      </c>
      <c r="C31">
        <v>6.7</v>
      </c>
      <c r="D31">
        <v>153</v>
      </c>
      <c r="E31" t="s">
        <v>44</v>
      </c>
      <c r="F31" s="1">
        <v>40655</v>
      </c>
      <c r="G31">
        <v>54161287</v>
      </c>
      <c r="H31">
        <v>106</v>
      </c>
      <c r="I31">
        <v>25000000</v>
      </c>
      <c r="J31" t="s">
        <v>497</v>
      </c>
      <c r="K31" t="s">
        <v>46</v>
      </c>
      <c r="L31" t="s">
        <v>496</v>
      </c>
      <c r="M31" t="s">
        <v>498</v>
      </c>
      <c r="N31">
        <v>1.2404999999999999</v>
      </c>
      <c r="O31" t="s">
        <v>499</v>
      </c>
      <c r="P31" t="s">
        <v>500</v>
      </c>
      <c r="Q31" t="s">
        <v>501</v>
      </c>
      <c r="R31" t="s">
        <v>51</v>
      </c>
      <c r="S31" t="s">
        <v>70</v>
      </c>
      <c r="T31" t="s">
        <v>502</v>
      </c>
      <c r="U31" t="s">
        <v>503</v>
      </c>
      <c r="V31" t="s">
        <v>504</v>
      </c>
      <c r="W31" t="s">
        <v>503</v>
      </c>
      <c r="X31" t="s">
        <v>505</v>
      </c>
      <c r="Y31" t="s">
        <v>506</v>
      </c>
      <c r="Z31">
        <v>4.9000000000000004</v>
      </c>
      <c r="AA31">
        <v>9012</v>
      </c>
      <c r="AB31" t="s">
        <v>507</v>
      </c>
      <c r="AC31">
        <v>4</v>
      </c>
      <c r="AD31">
        <v>2011</v>
      </c>
      <c r="AE31">
        <v>16</v>
      </c>
      <c r="AF31" t="s">
        <v>508</v>
      </c>
      <c r="AG31">
        <v>1</v>
      </c>
      <c r="AH31">
        <v>17.807476967673999</v>
      </c>
      <c r="AI31">
        <v>8.9037384838369995</v>
      </c>
      <c r="AJ31" t="s">
        <v>61</v>
      </c>
      <c r="AK31" t="s">
        <v>509</v>
      </c>
      <c r="AL31">
        <v>1</v>
      </c>
      <c r="AM31">
        <v>0</v>
      </c>
      <c r="AN31">
        <v>2</v>
      </c>
      <c r="AO31">
        <v>0</v>
      </c>
      <c r="AP31" t="s">
        <v>63</v>
      </c>
      <c r="AQ31" t="s">
        <v>63</v>
      </c>
    </row>
    <row r="32" spans="1:43" x14ac:dyDescent="0.2">
      <c r="A32">
        <v>63006</v>
      </c>
      <c r="B32" t="s">
        <v>510</v>
      </c>
      <c r="C32">
        <v>5.7</v>
      </c>
      <c r="D32">
        <v>30</v>
      </c>
      <c r="E32" t="s">
        <v>44</v>
      </c>
      <c r="F32" s="1">
        <v>40655</v>
      </c>
      <c r="G32">
        <v>8400000</v>
      </c>
      <c r="H32">
        <v>130</v>
      </c>
      <c r="I32">
        <v>4800000</v>
      </c>
      <c r="J32" t="s">
        <v>511</v>
      </c>
      <c r="K32" t="s">
        <v>512</v>
      </c>
      <c r="L32" t="s">
        <v>513</v>
      </c>
      <c r="M32" t="s">
        <v>514</v>
      </c>
      <c r="N32">
        <v>2.3917999999999999</v>
      </c>
      <c r="O32" t="s">
        <v>515</v>
      </c>
      <c r="P32" t="s">
        <v>516</v>
      </c>
      <c r="Q32" t="s">
        <v>517</v>
      </c>
      <c r="R32" t="s">
        <v>518</v>
      </c>
      <c r="S32" t="s">
        <v>519</v>
      </c>
      <c r="T32" t="s">
        <v>520</v>
      </c>
      <c r="U32" t="s">
        <v>521</v>
      </c>
      <c r="V32" t="s">
        <v>522</v>
      </c>
      <c r="W32" t="s">
        <v>523</v>
      </c>
      <c r="X32" t="s">
        <v>524</v>
      </c>
      <c r="Y32" t="s">
        <v>525</v>
      </c>
      <c r="Z32">
        <v>6.2</v>
      </c>
      <c r="AA32">
        <v>4268</v>
      </c>
      <c r="AB32" t="s">
        <v>526</v>
      </c>
      <c r="AC32">
        <v>4</v>
      </c>
      <c r="AD32">
        <v>2011</v>
      </c>
      <c r="AE32">
        <v>16</v>
      </c>
      <c r="AF32" t="s">
        <v>527</v>
      </c>
      <c r="AG32">
        <v>1</v>
      </c>
      <c r="AH32">
        <v>15.9437423828611</v>
      </c>
      <c r="AI32">
        <v>7.9718711914305702</v>
      </c>
      <c r="AJ32" t="s">
        <v>61</v>
      </c>
      <c r="AK32" t="s">
        <v>528</v>
      </c>
      <c r="AL32">
        <v>13</v>
      </c>
      <c r="AM32">
        <v>0</v>
      </c>
      <c r="AN32">
        <v>13</v>
      </c>
      <c r="AO32">
        <v>0</v>
      </c>
      <c r="AP32" t="s">
        <v>63</v>
      </c>
      <c r="AQ32" t="s">
        <v>63</v>
      </c>
    </row>
    <row r="33" spans="1:43" x14ac:dyDescent="0.2">
      <c r="A33">
        <v>65650</v>
      </c>
      <c r="B33" t="s">
        <v>529</v>
      </c>
      <c r="C33">
        <v>6.1849999999999996</v>
      </c>
      <c r="D33">
        <v>249</v>
      </c>
      <c r="E33" t="s">
        <v>44</v>
      </c>
      <c r="F33" s="1">
        <v>40656</v>
      </c>
      <c r="G33">
        <v>5206</v>
      </c>
      <c r="H33">
        <v>93</v>
      </c>
      <c r="I33">
        <v>6000000</v>
      </c>
      <c r="J33" t="s">
        <v>530</v>
      </c>
      <c r="K33" t="s">
        <v>46</v>
      </c>
      <c r="L33" t="s">
        <v>529</v>
      </c>
      <c r="M33" t="s">
        <v>531</v>
      </c>
      <c r="N33">
        <v>1.4877</v>
      </c>
      <c r="O33" t="s">
        <v>532</v>
      </c>
      <c r="P33" t="s">
        <v>533</v>
      </c>
      <c r="Q33" t="s">
        <v>534</v>
      </c>
      <c r="R33" t="s">
        <v>51</v>
      </c>
      <c r="S33" t="s">
        <v>535</v>
      </c>
      <c r="T33" t="s">
        <v>536</v>
      </c>
      <c r="U33" t="s">
        <v>537</v>
      </c>
      <c r="V33" t="s">
        <v>538</v>
      </c>
      <c r="W33" t="s">
        <v>539</v>
      </c>
      <c r="X33" t="s">
        <v>540</v>
      </c>
      <c r="Y33" t="s">
        <v>541</v>
      </c>
      <c r="Z33">
        <v>5.5</v>
      </c>
      <c r="AA33">
        <v>7623</v>
      </c>
      <c r="AB33" t="s">
        <v>542</v>
      </c>
      <c r="AC33">
        <v>4</v>
      </c>
      <c r="AD33">
        <v>2011</v>
      </c>
      <c r="AE33">
        <v>16</v>
      </c>
      <c r="AF33" t="s">
        <v>543</v>
      </c>
      <c r="AG33">
        <v>2</v>
      </c>
      <c r="AH33">
        <v>8.5577591531628894</v>
      </c>
      <c r="AI33">
        <v>2.8525863843876298</v>
      </c>
      <c r="AJ33" t="s">
        <v>61</v>
      </c>
      <c r="AK33" t="s">
        <v>544</v>
      </c>
      <c r="AL33">
        <v>5</v>
      </c>
      <c r="AM33">
        <v>0</v>
      </c>
      <c r="AN33">
        <v>19</v>
      </c>
      <c r="AO33">
        <v>0</v>
      </c>
      <c r="AP33" t="s">
        <v>63</v>
      </c>
      <c r="AQ33" t="s">
        <v>63</v>
      </c>
    </row>
    <row r="34" spans="1:43" x14ac:dyDescent="0.2">
      <c r="A34">
        <v>51588</v>
      </c>
      <c r="B34" t="s">
        <v>545</v>
      </c>
      <c r="C34">
        <v>6.1</v>
      </c>
      <c r="D34">
        <v>458</v>
      </c>
      <c r="E34" t="s">
        <v>44</v>
      </c>
      <c r="F34" s="1">
        <v>40662</v>
      </c>
      <c r="G34">
        <v>10130000</v>
      </c>
      <c r="H34">
        <v>104</v>
      </c>
      <c r="I34">
        <v>8000000</v>
      </c>
      <c r="J34" t="s">
        <v>546</v>
      </c>
      <c r="K34" t="s">
        <v>46</v>
      </c>
      <c r="L34" t="s">
        <v>545</v>
      </c>
      <c r="M34" t="s">
        <v>547</v>
      </c>
      <c r="N34">
        <v>1.8502000000000001</v>
      </c>
      <c r="O34" t="s">
        <v>548</v>
      </c>
      <c r="P34" t="s">
        <v>381</v>
      </c>
      <c r="Q34" t="s">
        <v>549</v>
      </c>
      <c r="R34" t="s">
        <v>51</v>
      </c>
      <c r="S34" t="s">
        <v>70</v>
      </c>
      <c r="T34" t="s">
        <v>550</v>
      </c>
      <c r="U34" t="s">
        <v>551</v>
      </c>
      <c r="V34" t="s">
        <v>552</v>
      </c>
      <c r="W34" t="s">
        <v>553</v>
      </c>
      <c r="X34" t="s">
        <v>554</v>
      </c>
      <c r="Y34" t="s">
        <v>555</v>
      </c>
      <c r="Z34">
        <v>5.4</v>
      </c>
      <c r="AA34">
        <v>15998</v>
      </c>
      <c r="AB34" t="s">
        <v>556</v>
      </c>
      <c r="AC34">
        <v>4</v>
      </c>
      <c r="AD34">
        <v>2011</v>
      </c>
      <c r="AE34">
        <v>17</v>
      </c>
      <c r="AF34" t="s">
        <v>557</v>
      </c>
      <c r="AG34">
        <v>8</v>
      </c>
      <c r="AH34">
        <v>16.131011974941501</v>
      </c>
      <c r="AI34">
        <v>1.79233466388239</v>
      </c>
      <c r="AJ34" t="s">
        <v>61</v>
      </c>
      <c r="AK34" t="s">
        <v>558</v>
      </c>
      <c r="AL34">
        <v>18</v>
      </c>
      <c r="AM34">
        <v>1</v>
      </c>
      <c r="AN34">
        <v>24</v>
      </c>
      <c r="AO34">
        <v>0.04</v>
      </c>
      <c r="AP34" t="s">
        <v>63</v>
      </c>
      <c r="AQ34" t="s">
        <v>63</v>
      </c>
    </row>
    <row r="35" spans="1:43" x14ac:dyDescent="0.2">
      <c r="A35">
        <v>57089</v>
      </c>
      <c r="B35" t="s">
        <v>559</v>
      </c>
      <c r="C35">
        <v>5.0999999999999996</v>
      </c>
      <c r="D35">
        <v>558</v>
      </c>
      <c r="E35" t="s">
        <v>44</v>
      </c>
      <c r="F35" s="1">
        <v>40662</v>
      </c>
      <c r="G35">
        <v>13500000</v>
      </c>
      <c r="H35">
        <v>86</v>
      </c>
      <c r="I35">
        <v>30000000</v>
      </c>
      <c r="J35" t="s">
        <v>560</v>
      </c>
      <c r="K35" t="s">
        <v>46</v>
      </c>
      <c r="L35" t="s">
        <v>559</v>
      </c>
      <c r="M35" t="s">
        <v>561</v>
      </c>
      <c r="N35">
        <v>2.5265</v>
      </c>
      <c r="O35" t="s">
        <v>562</v>
      </c>
      <c r="P35" t="s">
        <v>563</v>
      </c>
      <c r="Q35" t="s">
        <v>564</v>
      </c>
      <c r="R35" t="s">
        <v>51</v>
      </c>
      <c r="S35" t="s">
        <v>70</v>
      </c>
      <c r="T35" t="s">
        <v>565</v>
      </c>
      <c r="U35" t="s">
        <v>566</v>
      </c>
      <c r="W35" t="s">
        <v>567</v>
      </c>
      <c r="X35" t="s">
        <v>568</v>
      </c>
      <c r="Y35" t="s">
        <v>569</v>
      </c>
      <c r="Z35">
        <v>4.7</v>
      </c>
      <c r="AA35">
        <v>14642</v>
      </c>
      <c r="AB35" t="s">
        <v>570</v>
      </c>
      <c r="AC35">
        <v>4</v>
      </c>
      <c r="AD35">
        <v>2011</v>
      </c>
      <c r="AE35">
        <v>17</v>
      </c>
      <c r="AF35" t="s">
        <v>571</v>
      </c>
      <c r="AG35">
        <v>8</v>
      </c>
      <c r="AH35">
        <v>16.4182003174827</v>
      </c>
      <c r="AI35">
        <v>1.8242444797202999</v>
      </c>
      <c r="AJ35" t="s">
        <v>61</v>
      </c>
      <c r="AK35" t="s">
        <v>572</v>
      </c>
      <c r="AL35">
        <v>28</v>
      </c>
      <c r="AM35">
        <v>0</v>
      </c>
      <c r="AN35">
        <v>35</v>
      </c>
      <c r="AO35">
        <v>0</v>
      </c>
      <c r="AP35" t="s">
        <v>63</v>
      </c>
      <c r="AQ35" t="s">
        <v>63</v>
      </c>
    </row>
    <row r="36" spans="1:43" x14ac:dyDescent="0.2">
      <c r="A36">
        <v>77117</v>
      </c>
      <c r="B36" t="s">
        <v>573</v>
      </c>
      <c r="C36">
        <v>7.9</v>
      </c>
      <c r="D36">
        <v>175</v>
      </c>
      <c r="E36" t="s">
        <v>44</v>
      </c>
      <c r="F36" s="1">
        <v>40667</v>
      </c>
      <c r="G36">
        <v>48000000</v>
      </c>
      <c r="H36">
        <v>135</v>
      </c>
      <c r="I36">
        <v>3550000</v>
      </c>
      <c r="J36" t="s">
        <v>574</v>
      </c>
      <c r="K36" t="s">
        <v>575</v>
      </c>
      <c r="L36" t="s">
        <v>576</v>
      </c>
      <c r="M36" t="s">
        <v>577</v>
      </c>
      <c r="N36">
        <v>3.2536</v>
      </c>
      <c r="O36" t="s">
        <v>578</v>
      </c>
      <c r="P36" t="s">
        <v>182</v>
      </c>
      <c r="Q36" t="s">
        <v>579</v>
      </c>
      <c r="R36" t="s">
        <v>580</v>
      </c>
      <c r="S36" t="s">
        <v>581</v>
      </c>
      <c r="T36" t="s">
        <v>582</v>
      </c>
      <c r="U36" t="s">
        <v>583</v>
      </c>
      <c r="V36" t="s">
        <v>584</v>
      </c>
      <c r="W36" t="s">
        <v>585</v>
      </c>
      <c r="X36" t="s">
        <v>586</v>
      </c>
      <c r="Y36" t="s">
        <v>587</v>
      </c>
      <c r="Z36">
        <v>7.7</v>
      </c>
      <c r="AA36">
        <v>6952</v>
      </c>
      <c r="AB36" t="s">
        <v>588</v>
      </c>
      <c r="AC36">
        <v>5</v>
      </c>
      <c r="AD36">
        <v>2011</v>
      </c>
      <c r="AE36">
        <v>18</v>
      </c>
      <c r="AF36" t="s">
        <v>589</v>
      </c>
      <c r="AG36">
        <v>13</v>
      </c>
      <c r="AH36">
        <v>17.686711589705499</v>
      </c>
      <c r="AI36">
        <v>1.2633365421218199</v>
      </c>
      <c r="AJ36" t="s">
        <v>61</v>
      </c>
      <c r="AK36" t="s">
        <v>590</v>
      </c>
      <c r="AL36">
        <v>5</v>
      </c>
      <c r="AM36">
        <v>1</v>
      </c>
      <c r="AN36">
        <v>12</v>
      </c>
      <c r="AO36">
        <v>0.08</v>
      </c>
      <c r="AP36" t="s">
        <v>63</v>
      </c>
      <c r="AQ36" t="s">
        <v>63</v>
      </c>
    </row>
    <row r="37" spans="1:43" x14ac:dyDescent="0.2">
      <c r="A37">
        <v>38321</v>
      </c>
      <c r="B37" t="s">
        <v>591</v>
      </c>
      <c r="C37">
        <v>5.8</v>
      </c>
      <c r="D37">
        <v>2399</v>
      </c>
      <c r="E37" t="s">
        <v>44</v>
      </c>
      <c r="F37" s="1">
        <v>40668</v>
      </c>
      <c r="G37">
        <v>78309131</v>
      </c>
      <c r="H37">
        <v>87</v>
      </c>
      <c r="I37">
        <v>60000000</v>
      </c>
      <c r="J37" t="s">
        <v>592</v>
      </c>
      <c r="K37" t="s">
        <v>46</v>
      </c>
      <c r="L37" t="s">
        <v>591</v>
      </c>
      <c r="M37" t="s">
        <v>593</v>
      </c>
      <c r="N37">
        <v>5.3445</v>
      </c>
      <c r="O37" t="s">
        <v>594</v>
      </c>
      <c r="P37" t="s">
        <v>595</v>
      </c>
      <c r="Q37" t="s">
        <v>596</v>
      </c>
      <c r="R37" t="s">
        <v>51</v>
      </c>
      <c r="S37" t="s">
        <v>597</v>
      </c>
      <c r="T37" t="s">
        <v>598</v>
      </c>
      <c r="U37" t="s">
        <v>599</v>
      </c>
      <c r="V37" t="s">
        <v>249</v>
      </c>
      <c r="W37" t="s">
        <v>600</v>
      </c>
      <c r="X37" t="s">
        <v>601</v>
      </c>
      <c r="Y37" t="s">
        <v>602</v>
      </c>
      <c r="Z37">
        <v>5.7</v>
      </c>
      <c r="AA37">
        <v>128279</v>
      </c>
      <c r="AB37" t="s">
        <v>603</v>
      </c>
      <c r="AC37">
        <v>5</v>
      </c>
      <c r="AD37">
        <v>2011</v>
      </c>
      <c r="AE37">
        <v>18</v>
      </c>
      <c r="AF37" t="s">
        <v>604</v>
      </c>
      <c r="AG37">
        <v>14</v>
      </c>
      <c r="AH37">
        <v>18.176174782512899</v>
      </c>
      <c r="AI37">
        <v>1.21174498550086</v>
      </c>
      <c r="AJ37" t="s">
        <v>61</v>
      </c>
      <c r="AK37" t="s">
        <v>605</v>
      </c>
      <c r="AL37">
        <v>52</v>
      </c>
      <c r="AM37">
        <v>1</v>
      </c>
      <c r="AN37">
        <v>56</v>
      </c>
      <c r="AO37">
        <v>0.02</v>
      </c>
      <c r="AP37" t="s">
        <v>63</v>
      </c>
      <c r="AQ37" t="s">
        <v>63</v>
      </c>
    </row>
    <row r="38" spans="1:43" x14ac:dyDescent="0.2">
      <c r="A38">
        <v>50780</v>
      </c>
      <c r="B38" t="s">
        <v>606</v>
      </c>
      <c r="C38">
        <v>6.4</v>
      </c>
      <c r="D38">
        <v>881</v>
      </c>
      <c r="E38" t="s">
        <v>44</v>
      </c>
      <c r="F38" s="1">
        <v>40668</v>
      </c>
      <c r="G38">
        <v>970816</v>
      </c>
      <c r="H38">
        <v>91</v>
      </c>
      <c r="I38">
        <v>21000000</v>
      </c>
      <c r="J38" t="s">
        <v>607</v>
      </c>
      <c r="K38" t="s">
        <v>46</v>
      </c>
      <c r="L38" t="s">
        <v>606</v>
      </c>
      <c r="M38" t="s">
        <v>608</v>
      </c>
      <c r="N38">
        <v>1.296</v>
      </c>
      <c r="O38" t="s">
        <v>609</v>
      </c>
      <c r="P38" t="s">
        <v>197</v>
      </c>
      <c r="Q38" t="s">
        <v>610</v>
      </c>
      <c r="R38" t="s">
        <v>611</v>
      </c>
      <c r="S38" t="s">
        <v>70</v>
      </c>
      <c r="T38" t="s">
        <v>612</v>
      </c>
      <c r="U38" t="s">
        <v>613</v>
      </c>
      <c r="V38" t="s">
        <v>614</v>
      </c>
      <c r="W38" t="s">
        <v>615</v>
      </c>
      <c r="X38" t="s">
        <v>616</v>
      </c>
      <c r="Y38" t="s">
        <v>617</v>
      </c>
      <c r="Z38">
        <v>6.6</v>
      </c>
      <c r="AA38">
        <v>51895</v>
      </c>
      <c r="AB38" t="s">
        <v>618</v>
      </c>
      <c r="AC38">
        <v>5</v>
      </c>
      <c r="AD38">
        <v>2011</v>
      </c>
      <c r="AE38">
        <v>18</v>
      </c>
      <c r="AF38" t="s">
        <v>619</v>
      </c>
      <c r="AG38">
        <v>14</v>
      </c>
      <c r="AH38">
        <v>13.785893264012101</v>
      </c>
      <c r="AI38">
        <v>0.91905955093414105</v>
      </c>
      <c r="AJ38" t="s">
        <v>61</v>
      </c>
      <c r="AK38" t="s">
        <v>620</v>
      </c>
      <c r="AL38">
        <v>39</v>
      </c>
      <c r="AM38">
        <v>0</v>
      </c>
      <c r="AN38">
        <v>53</v>
      </c>
      <c r="AO38">
        <v>0</v>
      </c>
      <c r="AP38" t="s">
        <v>63</v>
      </c>
      <c r="AQ38" t="s">
        <v>63</v>
      </c>
    </row>
    <row r="39" spans="1:43" x14ac:dyDescent="0.2">
      <c r="A39">
        <v>49010</v>
      </c>
      <c r="B39" t="s">
        <v>621</v>
      </c>
      <c r="C39">
        <v>5.9</v>
      </c>
      <c r="D39">
        <v>649</v>
      </c>
      <c r="E39" t="s">
        <v>44</v>
      </c>
      <c r="F39" s="1">
        <v>40669</v>
      </c>
      <c r="G39">
        <v>748453</v>
      </c>
      <c r="H39">
        <v>86</v>
      </c>
      <c r="I39">
        <v>3000000</v>
      </c>
      <c r="J39" t="s">
        <v>622</v>
      </c>
      <c r="K39" t="s">
        <v>46</v>
      </c>
      <c r="L39" t="s">
        <v>621</v>
      </c>
      <c r="M39" t="s">
        <v>623</v>
      </c>
      <c r="N39">
        <v>4.8085000000000004</v>
      </c>
      <c r="O39" t="s">
        <v>624</v>
      </c>
      <c r="P39" t="s">
        <v>625</v>
      </c>
      <c r="Q39" t="s">
        <v>626</v>
      </c>
      <c r="R39" t="s">
        <v>86</v>
      </c>
      <c r="S39" t="s">
        <v>70</v>
      </c>
      <c r="T39" t="s">
        <v>627</v>
      </c>
      <c r="U39" t="s">
        <v>628</v>
      </c>
      <c r="V39" t="s">
        <v>629</v>
      </c>
      <c r="W39" t="s">
        <v>630</v>
      </c>
      <c r="X39" t="s">
        <v>631</v>
      </c>
      <c r="Y39" t="s">
        <v>632</v>
      </c>
      <c r="Z39">
        <v>6.1</v>
      </c>
      <c r="AA39">
        <v>50132</v>
      </c>
      <c r="AB39" t="s">
        <v>633</v>
      </c>
      <c r="AC39">
        <v>5</v>
      </c>
      <c r="AD39">
        <v>2011</v>
      </c>
      <c r="AE39">
        <v>18</v>
      </c>
      <c r="AF39" t="s">
        <v>634</v>
      </c>
      <c r="AG39">
        <v>15</v>
      </c>
      <c r="AH39">
        <v>13.5257650247074</v>
      </c>
      <c r="AI39">
        <v>0.84536031404421697</v>
      </c>
      <c r="AJ39" t="s">
        <v>61</v>
      </c>
      <c r="AK39" t="s">
        <v>635</v>
      </c>
      <c r="AL39">
        <v>4</v>
      </c>
      <c r="AM39">
        <v>1</v>
      </c>
      <c r="AN39">
        <v>32</v>
      </c>
      <c r="AO39">
        <v>0.03</v>
      </c>
      <c r="AP39" t="s">
        <v>63</v>
      </c>
      <c r="AQ39" t="s">
        <v>63</v>
      </c>
    </row>
    <row r="40" spans="1:43" x14ac:dyDescent="0.2">
      <c r="A40">
        <v>57119</v>
      </c>
      <c r="B40" t="s">
        <v>636</v>
      </c>
      <c r="C40">
        <v>5.9</v>
      </c>
      <c r="D40">
        <v>211</v>
      </c>
      <c r="E40" t="s">
        <v>44</v>
      </c>
      <c r="F40" s="1">
        <v>40669</v>
      </c>
      <c r="G40">
        <v>37700000</v>
      </c>
      <c r="H40">
        <v>112</v>
      </c>
      <c r="I40">
        <v>6600000</v>
      </c>
      <c r="J40" t="s">
        <v>637</v>
      </c>
      <c r="K40" t="s">
        <v>46</v>
      </c>
      <c r="L40" t="s">
        <v>636</v>
      </c>
      <c r="M40" t="s">
        <v>638</v>
      </c>
      <c r="N40">
        <v>3.2907000000000002</v>
      </c>
      <c r="O40" t="s">
        <v>639</v>
      </c>
      <c r="P40" t="s">
        <v>135</v>
      </c>
      <c r="Q40" t="s">
        <v>640</v>
      </c>
      <c r="R40" t="s">
        <v>51</v>
      </c>
      <c r="S40" t="s">
        <v>641</v>
      </c>
      <c r="T40" t="s">
        <v>642</v>
      </c>
      <c r="U40" t="s">
        <v>643</v>
      </c>
      <c r="V40" t="s">
        <v>644</v>
      </c>
      <c r="W40" t="s">
        <v>645</v>
      </c>
      <c r="X40" t="s">
        <v>646</v>
      </c>
      <c r="Y40" t="s">
        <v>236</v>
      </c>
      <c r="Z40">
        <v>5.7</v>
      </c>
      <c r="AA40">
        <v>11946</v>
      </c>
      <c r="AB40" t="s">
        <v>647</v>
      </c>
      <c r="AC40">
        <v>5</v>
      </c>
      <c r="AD40">
        <v>2011</v>
      </c>
      <c r="AE40">
        <v>18</v>
      </c>
      <c r="AF40" t="s">
        <v>648</v>
      </c>
      <c r="AG40">
        <v>15</v>
      </c>
      <c r="AH40">
        <v>17.445170678943398</v>
      </c>
      <c r="AI40">
        <v>1.09032316743396</v>
      </c>
      <c r="AJ40" t="s">
        <v>61</v>
      </c>
      <c r="AK40" t="s">
        <v>649</v>
      </c>
      <c r="AL40">
        <v>5</v>
      </c>
      <c r="AM40">
        <v>2</v>
      </c>
      <c r="AN40">
        <v>13</v>
      </c>
      <c r="AO40">
        <v>0.15</v>
      </c>
      <c r="AP40" t="s">
        <v>63</v>
      </c>
      <c r="AQ40" t="s">
        <v>63</v>
      </c>
    </row>
    <row r="41" spans="1:43" x14ac:dyDescent="0.2">
      <c r="A41">
        <v>63493</v>
      </c>
      <c r="B41" t="s">
        <v>650</v>
      </c>
      <c r="C41">
        <v>6.1680000000000001</v>
      </c>
      <c r="D41">
        <v>361</v>
      </c>
      <c r="E41" t="s">
        <v>44</v>
      </c>
      <c r="F41" s="1">
        <v>40669</v>
      </c>
      <c r="G41">
        <v>610986</v>
      </c>
      <c r="H41">
        <v>101</v>
      </c>
      <c r="I41">
        <v>10000000</v>
      </c>
      <c r="J41" t="s">
        <v>651</v>
      </c>
      <c r="K41" t="s">
        <v>46</v>
      </c>
      <c r="L41" t="s">
        <v>650</v>
      </c>
      <c r="M41" t="s">
        <v>652</v>
      </c>
      <c r="N41">
        <v>1.3441000000000001</v>
      </c>
      <c r="O41" t="s">
        <v>653</v>
      </c>
      <c r="P41" t="s">
        <v>654</v>
      </c>
      <c r="Q41" t="s">
        <v>655</v>
      </c>
      <c r="R41" t="s">
        <v>656</v>
      </c>
      <c r="S41" t="s">
        <v>70</v>
      </c>
      <c r="T41" t="s">
        <v>657</v>
      </c>
      <c r="U41" t="s">
        <v>658</v>
      </c>
      <c r="V41" t="s">
        <v>659</v>
      </c>
      <c r="W41" t="s">
        <v>658</v>
      </c>
      <c r="X41" t="s">
        <v>660</v>
      </c>
      <c r="Y41" t="s">
        <v>661</v>
      </c>
      <c r="Z41">
        <v>6.5</v>
      </c>
      <c r="AA41">
        <v>20962</v>
      </c>
      <c r="AB41" t="s">
        <v>662</v>
      </c>
      <c r="AC41">
        <v>5</v>
      </c>
      <c r="AD41">
        <v>2011</v>
      </c>
      <c r="AE41">
        <v>18</v>
      </c>
      <c r="AF41" t="s">
        <v>663</v>
      </c>
      <c r="AG41">
        <v>15</v>
      </c>
      <c r="AH41">
        <v>13.322830961331601</v>
      </c>
      <c r="AI41">
        <v>0.83267693508322704</v>
      </c>
      <c r="AJ41" t="s">
        <v>61</v>
      </c>
      <c r="AK41" t="s">
        <v>664</v>
      </c>
      <c r="AL41">
        <v>10</v>
      </c>
      <c r="AM41">
        <v>2</v>
      </c>
      <c r="AN41">
        <v>27</v>
      </c>
      <c r="AO41">
        <v>7.0000000000000007E-2</v>
      </c>
      <c r="AP41" t="s">
        <v>63</v>
      </c>
      <c r="AQ41" t="s">
        <v>63</v>
      </c>
    </row>
    <row r="42" spans="1:43" x14ac:dyDescent="0.2">
      <c r="A42">
        <v>59678</v>
      </c>
      <c r="B42" t="s">
        <v>665</v>
      </c>
      <c r="C42">
        <v>6.5</v>
      </c>
      <c r="D42">
        <v>2173</v>
      </c>
      <c r="E42" t="s">
        <v>44</v>
      </c>
      <c r="F42" s="1">
        <v>40675</v>
      </c>
      <c r="G42">
        <v>3964682</v>
      </c>
      <c r="H42">
        <v>88</v>
      </c>
      <c r="I42">
        <v>14350531</v>
      </c>
      <c r="J42" t="s">
        <v>666</v>
      </c>
      <c r="K42" t="s">
        <v>46</v>
      </c>
      <c r="L42" t="s">
        <v>665</v>
      </c>
      <c r="M42" t="s">
        <v>667</v>
      </c>
      <c r="N42">
        <v>2.7845</v>
      </c>
      <c r="O42" t="s">
        <v>668</v>
      </c>
      <c r="P42" t="s">
        <v>669</v>
      </c>
      <c r="Q42" t="s">
        <v>670</v>
      </c>
      <c r="R42" t="s">
        <v>671</v>
      </c>
      <c r="S42" t="s">
        <v>70</v>
      </c>
      <c r="T42" t="s">
        <v>672</v>
      </c>
      <c r="U42" t="s">
        <v>673</v>
      </c>
      <c r="V42" t="s">
        <v>674</v>
      </c>
      <c r="W42" t="s">
        <v>673</v>
      </c>
      <c r="X42" t="s">
        <v>675</v>
      </c>
      <c r="Y42" t="s">
        <v>676</v>
      </c>
      <c r="Z42">
        <v>6.7</v>
      </c>
      <c r="AA42">
        <v>114809</v>
      </c>
      <c r="AB42" t="s">
        <v>677</v>
      </c>
      <c r="AC42">
        <v>5</v>
      </c>
      <c r="AD42">
        <v>2011</v>
      </c>
      <c r="AE42">
        <v>19</v>
      </c>
      <c r="AF42" t="s">
        <v>678</v>
      </c>
      <c r="AG42">
        <v>21</v>
      </c>
      <c r="AH42">
        <v>15.1929364602963</v>
      </c>
      <c r="AI42">
        <v>0.690588020922559</v>
      </c>
      <c r="AJ42" t="s">
        <v>61</v>
      </c>
      <c r="AK42" t="s">
        <v>679</v>
      </c>
      <c r="AL42">
        <v>23</v>
      </c>
      <c r="AM42">
        <v>0</v>
      </c>
      <c r="AN42">
        <v>48</v>
      </c>
      <c r="AO42">
        <v>0</v>
      </c>
      <c r="AP42" t="s">
        <v>63</v>
      </c>
      <c r="AQ42" t="s">
        <v>63</v>
      </c>
    </row>
    <row r="43" spans="1:43" x14ac:dyDescent="0.2">
      <c r="A43">
        <v>45658</v>
      </c>
      <c r="B43" t="s">
        <v>680</v>
      </c>
      <c r="C43">
        <v>6.2</v>
      </c>
      <c r="D43">
        <v>631</v>
      </c>
      <c r="E43" t="s">
        <v>44</v>
      </c>
      <c r="F43" s="1">
        <v>40676</v>
      </c>
      <c r="G43">
        <v>2614773</v>
      </c>
      <c r="H43">
        <v>97</v>
      </c>
      <c r="I43">
        <v>5000000</v>
      </c>
      <c r="J43" t="s">
        <v>681</v>
      </c>
      <c r="K43" t="s">
        <v>46</v>
      </c>
      <c r="L43" t="s">
        <v>680</v>
      </c>
      <c r="M43" t="s">
        <v>682</v>
      </c>
      <c r="N43">
        <v>4.1279000000000003</v>
      </c>
      <c r="O43" t="s">
        <v>683</v>
      </c>
      <c r="P43" t="s">
        <v>684</v>
      </c>
      <c r="Q43" t="s">
        <v>685</v>
      </c>
      <c r="R43" t="s">
        <v>51</v>
      </c>
      <c r="S43" t="s">
        <v>70</v>
      </c>
      <c r="T43" t="s">
        <v>686</v>
      </c>
      <c r="U43" t="s">
        <v>687</v>
      </c>
      <c r="V43" t="s">
        <v>688</v>
      </c>
      <c r="W43" t="s">
        <v>689</v>
      </c>
      <c r="X43" t="s">
        <v>690</v>
      </c>
      <c r="Y43" t="s">
        <v>691</v>
      </c>
      <c r="Z43">
        <v>6.4</v>
      </c>
      <c r="AA43">
        <v>54768</v>
      </c>
      <c r="AB43" t="s">
        <v>692</v>
      </c>
      <c r="AC43">
        <v>5</v>
      </c>
      <c r="AD43">
        <v>2011</v>
      </c>
      <c r="AE43">
        <v>19</v>
      </c>
      <c r="AF43" t="s">
        <v>693</v>
      </c>
      <c r="AG43">
        <v>22</v>
      </c>
      <c r="AH43">
        <v>14.7766882272721</v>
      </c>
      <c r="AI43">
        <v>0.64246470553357204</v>
      </c>
      <c r="AJ43" t="s">
        <v>61</v>
      </c>
      <c r="AK43" t="s">
        <v>694</v>
      </c>
      <c r="AL43">
        <v>5</v>
      </c>
      <c r="AM43">
        <v>0</v>
      </c>
      <c r="AN43">
        <v>19</v>
      </c>
      <c r="AO43">
        <v>0</v>
      </c>
      <c r="AP43" t="s">
        <v>63</v>
      </c>
      <c r="AQ43" t="s">
        <v>63</v>
      </c>
    </row>
    <row r="44" spans="1:43" x14ac:dyDescent="0.2">
      <c r="A44">
        <v>55721</v>
      </c>
      <c r="B44" t="s">
        <v>695</v>
      </c>
      <c r="C44">
        <v>6.516</v>
      </c>
      <c r="D44">
        <v>4528</v>
      </c>
      <c r="E44" t="s">
        <v>44</v>
      </c>
      <c r="F44" s="1">
        <v>40676</v>
      </c>
      <c r="G44">
        <v>288383523</v>
      </c>
      <c r="H44">
        <v>125</v>
      </c>
      <c r="I44">
        <v>32500000</v>
      </c>
      <c r="J44" t="s">
        <v>696</v>
      </c>
      <c r="K44" t="s">
        <v>46</v>
      </c>
      <c r="L44" t="s">
        <v>695</v>
      </c>
      <c r="M44" t="s">
        <v>697</v>
      </c>
      <c r="N44">
        <v>5.8242000000000003</v>
      </c>
      <c r="O44" t="s">
        <v>698</v>
      </c>
      <c r="P44" t="s">
        <v>381</v>
      </c>
      <c r="Q44" t="s">
        <v>699</v>
      </c>
      <c r="R44" t="s">
        <v>51</v>
      </c>
      <c r="S44" t="s">
        <v>70</v>
      </c>
      <c r="T44" t="s">
        <v>700</v>
      </c>
      <c r="U44" t="s">
        <v>701</v>
      </c>
      <c r="V44" t="s">
        <v>702</v>
      </c>
      <c r="W44" t="s">
        <v>703</v>
      </c>
      <c r="X44" t="s">
        <v>704</v>
      </c>
      <c r="Y44" t="s">
        <v>705</v>
      </c>
      <c r="Z44">
        <v>6.8</v>
      </c>
      <c r="AA44">
        <v>321409</v>
      </c>
      <c r="AB44" t="s">
        <v>706</v>
      </c>
      <c r="AC44">
        <v>5</v>
      </c>
      <c r="AD44">
        <v>2011</v>
      </c>
      <c r="AE44">
        <v>19</v>
      </c>
      <c r="AF44" t="s">
        <v>707</v>
      </c>
      <c r="AG44">
        <v>22</v>
      </c>
      <c r="AH44">
        <v>19.479801832755602</v>
      </c>
      <c r="AI44">
        <v>0.84694790577198298</v>
      </c>
      <c r="AJ44" t="s">
        <v>61</v>
      </c>
      <c r="AK44" t="s">
        <v>708</v>
      </c>
      <c r="AL44">
        <v>78</v>
      </c>
      <c r="AM44">
        <v>2</v>
      </c>
      <c r="AN44">
        <v>87</v>
      </c>
      <c r="AO44">
        <v>0.02</v>
      </c>
      <c r="AP44" t="s">
        <v>63</v>
      </c>
      <c r="AQ44" t="s">
        <v>63</v>
      </c>
    </row>
    <row r="45" spans="1:43" x14ac:dyDescent="0.2">
      <c r="A45">
        <v>1865</v>
      </c>
      <c r="B45" t="s">
        <v>709</v>
      </c>
      <c r="C45">
        <v>6.5620000000000003</v>
      </c>
      <c r="D45">
        <v>14563</v>
      </c>
      <c r="E45" t="s">
        <v>44</v>
      </c>
      <c r="F45" s="1">
        <v>40678</v>
      </c>
      <c r="G45">
        <v>1046721266</v>
      </c>
      <c r="H45">
        <v>136</v>
      </c>
      <c r="I45">
        <v>379000000</v>
      </c>
      <c r="J45" t="s">
        <v>710</v>
      </c>
      <c r="K45" t="s">
        <v>46</v>
      </c>
      <c r="L45" t="s">
        <v>709</v>
      </c>
      <c r="M45" t="s">
        <v>711</v>
      </c>
      <c r="N45">
        <v>20.782599999999999</v>
      </c>
      <c r="O45" t="s">
        <v>712</v>
      </c>
      <c r="P45" t="s">
        <v>713</v>
      </c>
      <c r="Q45" t="s">
        <v>714</v>
      </c>
      <c r="R45" t="s">
        <v>102</v>
      </c>
      <c r="S45" t="s">
        <v>715</v>
      </c>
      <c r="T45" t="s">
        <v>716</v>
      </c>
      <c r="U45" t="s">
        <v>717</v>
      </c>
      <c r="V45" t="s">
        <v>718</v>
      </c>
      <c r="W45" t="s">
        <v>719</v>
      </c>
      <c r="X45" t="s">
        <v>720</v>
      </c>
      <c r="Y45" t="s">
        <v>721</v>
      </c>
      <c r="Z45">
        <v>6.6</v>
      </c>
      <c r="AA45">
        <v>597127</v>
      </c>
      <c r="AB45" t="s">
        <v>722</v>
      </c>
      <c r="AC45">
        <v>5</v>
      </c>
      <c r="AD45">
        <v>2011</v>
      </c>
      <c r="AE45">
        <v>19</v>
      </c>
      <c r="AF45" t="s">
        <v>723</v>
      </c>
      <c r="AG45">
        <v>24</v>
      </c>
      <c r="AH45">
        <v>20.768928512761399</v>
      </c>
      <c r="AI45">
        <v>0.83075714051045702</v>
      </c>
      <c r="AJ45" t="s">
        <v>61</v>
      </c>
      <c r="AK45" t="s">
        <v>724</v>
      </c>
      <c r="AL45">
        <v>66</v>
      </c>
      <c r="AM45">
        <v>0</v>
      </c>
      <c r="AN45">
        <v>75</v>
      </c>
      <c r="AO45">
        <v>0</v>
      </c>
      <c r="AP45" t="s">
        <v>63</v>
      </c>
      <c r="AQ45" t="s">
        <v>63</v>
      </c>
    </row>
    <row r="46" spans="1:43" x14ac:dyDescent="0.2">
      <c r="A46">
        <v>52449</v>
      </c>
      <c r="B46" t="s">
        <v>725</v>
      </c>
      <c r="C46">
        <v>5.6079999999999997</v>
      </c>
      <c r="D46">
        <v>4819</v>
      </c>
      <c r="E46" t="s">
        <v>44</v>
      </c>
      <c r="F46" s="1">
        <v>40679</v>
      </c>
      <c r="G46">
        <v>216197492</v>
      </c>
      <c r="H46">
        <v>92</v>
      </c>
      <c r="I46">
        <v>20000000</v>
      </c>
      <c r="J46" t="s">
        <v>726</v>
      </c>
      <c r="K46" t="s">
        <v>46</v>
      </c>
      <c r="L46" t="s">
        <v>725</v>
      </c>
      <c r="M46" t="s">
        <v>727</v>
      </c>
      <c r="N46">
        <v>4.3437000000000001</v>
      </c>
      <c r="O46" t="s">
        <v>728</v>
      </c>
      <c r="P46" t="s">
        <v>135</v>
      </c>
      <c r="Q46" t="s">
        <v>729</v>
      </c>
      <c r="R46" t="s">
        <v>51</v>
      </c>
      <c r="S46" t="s">
        <v>70</v>
      </c>
      <c r="T46" t="s">
        <v>730</v>
      </c>
      <c r="U46" t="s">
        <v>731</v>
      </c>
      <c r="V46" t="s">
        <v>732</v>
      </c>
      <c r="W46" t="s">
        <v>733</v>
      </c>
      <c r="X46" t="s">
        <v>734</v>
      </c>
      <c r="Y46" t="s">
        <v>705</v>
      </c>
      <c r="Z46">
        <v>5.7</v>
      </c>
      <c r="AA46">
        <v>220201</v>
      </c>
      <c r="AB46" t="s">
        <v>735</v>
      </c>
      <c r="AC46">
        <v>5</v>
      </c>
      <c r="AD46">
        <v>2011</v>
      </c>
      <c r="AE46">
        <v>20</v>
      </c>
      <c r="AF46" t="s">
        <v>736</v>
      </c>
      <c r="AG46">
        <v>25</v>
      </c>
      <c r="AH46">
        <v>19.191702867357399</v>
      </c>
      <c r="AI46">
        <v>0.73814241797528701</v>
      </c>
      <c r="AJ46" t="s">
        <v>61</v>
      </c>
      <c r="AK46" t="s">
        <v>737</v>
      </c>
      <c r="AL46">
        <v>45</v>
      </c>
      <c r="AM46">
        <v>4</v>
      </c>
      <c r="AN46">
        <v>54</v>
      </c>
      <c r="AO46">
        <v>7.0000000000000007E-2</v>
      </c>
      <c r="AP46" t="s">
        <v>63</v>
      </c>
      <c r="AQ46" t="s">
        <v>63</v>
      </c>
    </row>
    <row r="47" spans="1:43" x14ac:dyDescent="0.2">
      <c r="A47">
        <v>8967</v>
      </c>
      <c r="B47" t="s">
        <v>738</v>
      </c>
      <c r="C47">
        <v>6.7</v>
      </c>
      <c r="D47">
        <v>3227</v>
      </c>
      <c r="E47" t="s">
        <v>44</v>
      </c>
      <c r="F47" s="1">
        <v>40680</v>
      </c>
      <c r="G47">
        <v>54700000</v>
      </c>
      <c r="H47">
        <v>139</v>
      </c>
      <c r="I47">
        <v>32000000</v>
      </c>
      <c r="J47" t="s">
        <v>739</v>
      </c>
      <c r="K47" t="s">
        <v>46</v>
      </c>
      <c r="L47" t="s">
        <v>738</v>
      </c>
      <c r="M47" t="s">
        <v>740</v>
      </c>
      <c r="N47">
        <v>7.8125</v>
      </c>
      <c r="O47" t="s">
        <v>741</v>
      </c>
      <c r="P47" t="s">
        <v>742</v>
      </c>
      <c r="Q47" t="s">
        <v>743</v>
      </c>
      <c r="R47" t="s">
        <v>51</v>
      </c>
      <c r="S47" t="s">
        <v>70</v>
      </c>
      <c r="T47" t="s">
        <v>744</v>
      </c>
      <c r="U47" t="s">
        <v>745</v>
      </c>
      <c r="V47" t="s">
        <v>746</v>
      </c>
      <c r="W47" t="s">
        <v>745</v>
      </c>
      <c r="X47" t="s">
        <v>747</v>
      </c>
      <c r="Y47" t="s">
        <v>748</v>
      </c>
      <c r="Z47">
        <v>6.8</v>
      </c>
      <c r="AA47">
        <v>190552</v>
      </c>
      <c r="AB47" t="s">
        <v>749</v>
      </c>
      <c r="AC47">
        <v>5</v>
      </c>
      <c r="AD47">
        <v>2011</v>
      </c>
      <c r="AE47">
        <v>20</v>
      </c>
      <c r="AF47" t="s">
        <v>750</v>
      </c>
      <c r="AG47">
        <v>26</v>
      </c>
      <c r="AH47">
        <v>17.817374285673701</v>
      </c>
      <c r="AI47">
        <v>0.65990275132124898</v>
      </c>
      <c r="AJ47" t="s">
        <v>61</v>
      </c>
      <c r="AK47" t="s">
        <v>751</v>
      </c>
      <c r="AL47">
        <v>48</v>
      </c>
      <c r="AM47">
        <v>1</v>
      </c>
      <c r="AN47">
        <v>70</v>
      </c>
      <c r="AO47">
        <v>0.01</v>
      </c>
      <c r="AP47" t="s">
        <v>63</v>
      </c>
      <c r="AQ47" t="s">
        <v>63</v>
      </c>
    </row>
    <row r="48" spans="1:43" x14ac:dyDescent="0.2">
      <c r="A48">
        <v>67748</v>
      </c>
      <c r="B48" t="s">
        <v>752</v>
      </c>
      <c r="C48">
        <v>6.3</v>
      </c>
      <c r="D48">
        <v>330</v>
      </c>
      <c r="E48" t="s">
        <v>44</v>
      </c>
      <c r="F48" s="1">
        <v>40682</v>
      </c>
      <c r="G48">
        <v>1349387</v>
      </c>
      <c r="H48">
        <v>120</v>
      </c>
      <c r="I48">
        <v>2000000</v>
      </c>
      <c r="J48" t="s">
        <v>753</v>
      </c>
      <c r="K48" t="s">
        <v>46</v>
      </c>
      <c r="L48" t="s">
        <v>752</v>
      </c>
      <c r="M48" t="s">
        <v>754</v>
      </c>
      <c r="N48">
        <v>1.8626</v>
      </c>
      <c r="O48" t="s">
        <v>755</v>
      </c>
      <c r="P48" t="s">
        <v>756</v>
      </c>
      <c r="Q48" t="s">
        <v>757</v>
      </c>
      <c r="R48" t="s">
        <v>758</v>
      </c>
      <c r="S48" t="s">
        <v>70</v>
      </c>
      <c r="T48" t="s">
        <v>759</v>
      </c>
      <c r="U48" t="s">
        <v>760</v>
      </c>
      <c r="V48" t="s">
        <v>761</v>
      </c>
      <c r="W48" t="s">
        <v>762</v>
      </c>
      <c r="X48" t="s">
        <v>763</v>
      </c>
      <c r="Y48" t="s">
        <v>764</v>
      </c>
      <c r="Z48">
        <v>6.6</v>
      </c>
      <c r="AA48">
        <v>22142</v>
      </c>
      <c r="AB48" t="s">
        <v>765</v>
      </c>
      <c r="AC48">
        <v>5</v>
      </c>
      <c r="AD48">
        <v>2011</v>
      </c>
      <c r="AE48">
        <v>20</v>
      </c>
      <c r="AF48" t="s">
        <v>766</v>
      </c>
      <c r="AG48">
        <v>28</v>
      </c>
      <c r="AH48">
        <v>14.115161714294601</v>
      </c>
      <c r="AI48">
        <v>0.48672971428602202</v>
      </c>
      <c r="AJ48" t="s">
        <v>61</v>
      </c>
      <c r="AK48" t="s">
        <v>767</v>
      </c>
      <c r="AL48">
        <v>4</v>
      </c>
      <c r="AM48">
        <v>0</v>
      </c>
      <c r="AN48">
        <v>23</v>
      </c>
      <c r="AO48">
        <v>0</v>
      </c>
      <c r="AP48" t="s">
        <v>63</v>
      </c>
      <c r="AQ48" t="s">
        <v>63</v>
      </c>
    </row>
    <row r="49" spans="1:43" x14ac:dyDescent="0.2">
      <c r="A49">
        <v>55846</v>
      </c>
      <c r="B49" t="s">
        <v>768</v>
      </c>
      <c r="C49">
        <v>6.181</v>
      </c>
      <c r="D49">
        <v>1720</v>
      </c>
      <c r="E49" t="s">
        <v>44</v>
      </c>
      <c r="F49" s="1">
        <v>40683</v>
      </c>
      <c r="G49">
        <v>15800000</v>
      </c>
      <c r="H49">
        <v>97</v>
      </c>
      <c r="I49">
        <v>15774948</v>
      </c>
      <c r="J49" t="s">
        <v>769</v>
      </c>
      <c r="K49" t="s">
        <v>46</v>
      </c>
      <c r="L49" t="s">
        <v>768</v>
      </c>
      <c r="M49" t="s">
        <v>770</v>
      </c>
      <c r="N49">
        <v>4.6772999999999998</v>
      </c>
      <c r="O49" t="s">
        <v>771</v>
      </c>
      <c r="P49" t="s">
        <v>625</v>
      </c>
      <c r="Q49" t="s">
        <v>772</v>
      </c>
      <c r="R49" t="s">
        <v>671</v>
      </c>
      <c r="S49" t="s">
        <v>70</v>
      </c>
      <c r="T49" t="s">
        <v>773</v>
      </c>
      <c r="U49" t="s">
        <v>774</v>
      </c>
      <c r="V49" t="s">
        <v>775</v>
      </c>
      <c r="W49" t="s">
        <v>776</v>
      </c>
      <c r="X49" t="s">
        <v>777</v>
      </c>
      <c r="Y49" t="s">
        <v>778</v>
      </c>
      <c r="Z49">
        <v>6.1</v>
      </c>
      <c r="AA49">
        <v>95279</v>
      </c>
      <c r="AB49" t="s">
        <v>779</v>
      </c>
      <c r="AC49">
        <v>5</v>
      </c>
      <c r="AD49">
        <v>2011</v>
      </c>
      <c r="AE49">
        <v>20</v>
      </c>
      <c r="AF49" t="s">
        <v>780</v>
      </c>
      <c r="AG49">
        <v>29</v>
      </c>
      <c r="AH49">
        <v>16.5755205612883</v>
      </c>
      <c r="AI49">
        <v>0.55251735204294405</v>
      </c>
      <c r="AJ49" t="s">
        <v>61</v>
      </c>
      <c r="AK49" t="s">
        <v>781</v>
      </c>
      <c r="AL49">
        <v>31</v>
      </c>
      <c r="AM49">
        <v>1</v>
      </c>
      <c r="AN49">
        <v>44</v>
      </c>
      <c r="AO49">
        <v>0.02</v>
      </c>
      <c r="AP49" t="s">
        <v>63</v>
      </c>
      <c r="AQ49" t="s">
        <v>63</v>
      </c>
    </row>
    <row r="50" spans="1:43" x14ac:dyDescent="0.2">
      <c r="A50">
        <v>45243</v>
      </c>
      <c r="B50" t="s">
        <v>782</v>
      </c>
      <c r="C50">
        <v>6.4969999999999999</v>
      </c>
      <c r="D50">
        <v>10931</v>
      </c>
      <c r="E50" t="s">
        <v>44</v>
      </c>
      <c r="F50" s="1">
        <v>40688</v>
      </c>
      <c r="G50">
        <v>586764305</v>
      </c>
      <c r="H50">
        <v>102</v>
      </c>
      <c r="I50">
        <v>80000000</v>
      </c>
      <c r="J50" t="s">
        <v>783</v>
      </c>
      <c r="K50" t="s">
        <v>46</v>
      </c>
      <c r="L50" t="s">
        <v>782</v>
      </c>
      <c r="M50" t="s">
        <v>784</v>
      </c>
      <c r="N50">
        <v>8.2659000000000002</v>
      </c>
      <c r="O50" t="s">
        <v>785</v>
      </c>
      <c r="P50" t="s">
        <v>135</v>
      </c>
      <c r="Q50" t="s">
        <v>786</v>
      </c>
      <c r="R50" t="s">
        <v>51</v>
      </c>
      <c r="S50" t="s">
        <v>787</v>
      </c>
      <c r="T50" t="s">
        <v>788</v>
      </c>
      <c r="U50" t="s">
        <v>789</v>
      </c>
      <c r="V50" t="s">
        <v>790</v>
      </c>
      <c r="W50" t="s">
        <v>791</v>
      </c>
      <c r="X50" t="s">
        <v>792</v>
      </c>
      <c r="Y50" t="s">
        <v>793</v>
      </c>
      <c r="Z50">
        <v>6.5</v>
      </c>
      <c r="AA50">
        <v>566538</v>
      </c>
      <c r="AB50" t="s">
        <v>794</v>
      </c>
      <c r="AC50">
        <v>5</v>
      </c>
      <c r="AD50">
        <v>2011</v>
      </c>
      <c r="AE50">
        <v>21</v>
      </c>
      <c r="AF50" t="s">
        <v>795</v>
      </c>
      <c r="AG50">
        <v>34</v>
      </c>
      <c r="AH50">
        <v>20.190133774162099</v>
      </c>
      <c r="AI50">
        <v>0.57686096497605999</v>
      </c>
      <c r="AJ50" t="s">
        <v>61</v>
      </c>
      <c r="AK50" t="s">
        <v>796</v>
      </c>
      <c r="AL50">
        <v>58</v>
      </c>
      <c r="AM50">
        <v>2</v>
      </c>
      <c r="AN50">
        <v>64</v>
      </c>
      <c r="AO50">
        <v>0.03</v>
      </c>
      <c r="AP50" t="s">
        <v>63</v>
      </c>
      <c r="AQ50" t="s">
        <v>63</v>
      </c>
    </row>
    <row r="51" spans="1:43" x14ac:dyDescent="0.2">
      <c r="A51">
        <v>49444</v>
      </c>
      <c r="B51" t="s">
        <v>797</v>
      </c>
      <c r="C51">
        <v>7.05</v>
      </c>
      <c r="D51">
        <v>7592</v>
      </c>
      <c r="E51" t="s">
        <v>44</v>
      </c>
      <c r="F51" s="1">
        <v>40688</v>
      </c>
      <c r="G51">
        <v>665692281</v>
      </c>
      <c r="H51">
        <v>91</v>
      </c>
      <c r="I51">
        <v>150000000</v>
      </c>
      <c r="J51" t="s">
        <v>798</v>
      </c>
      <c r="K51" t="s">
        <v>46</v>
      </c>
      <c r="L51" t="s">
        <v>797</v>
      </c>
      <c r="M51" t="s">
        <v>799</v>
      </c>
      <c r="N51">
        <v>6.8712</v>
      </c>
      <c r="O51" t="s">
        <v>800</v>
      </c>
      <c r="P51" t="s">
        <v>801</v>
      </c>
      <c r="Q51" t="s">
        <v>802</v>
      </c>
      <c r="R51" t="s">
        <v>51</v>
      </c>
      <c r="S51" t="s">
        <v>70</v>
      </c>
      <c r="T51" t="s">
        <v>803</v>
      </c>
      <c r="U51" t="s">
        <v>804</v>
      </c>
      <c r="V51" t="s">
        <v>805</v>
      </c>
      <c r="W51" t="s">
        <v>806</v>
      </c>
      <c r="X51" t="s">
        <v>807</v>
      </c>
      <c r="Y51" t="s">
        <v>808</v>
      </c>
      <c r="Z51">
        <v>7.3</v>
      </c>
      <c r="AA51">
        <v>347815</v>
      </c>
      <c r="AB51" t="s">
        <v>809</v>
      </c>
      <c r="AC51">
        <v>5</v>
      </c>
      <c r="AD51">
        <v>2011</v>
      </c>
      <c r="AE51">
        <v>21</v>
      </c>
      <c r="AF51" t="s">
        <v>810</v>
      </c>
      <c r="AG51">
        <v>34</v>
      </c>
      <c r="AH51">
        <v>20.316338082692699</v>
      </c>
      <c r="AI51">
        <v>0.58046680236264803</v>
      </c>
      <c r="AJ51" t="s">
        <v>61</v>
      </c>
      <c r="AK51" t="s">
        <v>811</v>
      </c>
      <c r="AL51">
        <v>69</v>
      </c>
      <c r="AM51">
        <v>0</v>
      </c>
      <c r="AN51">
        <v>88</v>
      </c>
      <c r="AO51">
        <v>0</v>
      </c>
      <c r="AP51" t="s">
        <v>63</v>
      </c>
      <c r="AQ51" t="s">
        <v>63</v>
      </c>
    </row>
    <row r="52" spans="1:43" x14ac:dyDescent="0.2">
      <c r="A52">
        <v>49538</v>
      </c>
      <c r="B52" t="s">
        <v>812</v>
      </c>
      <c r="C52">
        <v>7.298</v>
      </c>
      <c r="D52">
        <v>13198</v>
      </c>
      <c r="E52" t="s">
        <v>44</v>
      </c>
      <c r="F52" s="1">
        <v>40695</v>
      </c>
      <c r="G52">
        <v>353624124</v>
      </c>
      <c r="H52">
        <v>132</v>
      </c>
      <c r="I52">
        <v>160000000</v>
      </c>
      <c r="J52" t="s">
        <v>813</v>
      </c>
      <c r="K52" t="s">
        <v>46</v>
      </c>
      <c r="L52" t="s">
        <v>812</v>
      </c>
      <c r="M52" t="s">
        <v>814</v>
      </c>
      <c r="N52">
        <v>0.3579</v>
      </c>
      <c r="O52" t="s">
        <v>815</v>
      </c>
      <c r="P52" t="s">
        <v>816</v>
      </c>
      <c r="Q52" t="s">
        <v>817</v>
      </c>
      <c r="R52" t="s">
        <v>51</v>
      </c>
      <c r="S52" t="s">
        <v>818</v>
      </c>
      <c r="T52" t="s">
        <v>819</v>
      </c>
      <c r="U52" t="s">
        <v>820</v>
      </c>
      <c r="V52" t="s">
        <v>821</v>
      </c>
      <c r="W52" t="s">
        <v>822</v>
      </c>
      <c r="X52" t="s">
        <v>823</v>
      </c>
      <c r="Y52" t="s">
        <v>326</v>
      </c>
      <c r="Z52">
        <v>7.7</v>
      </c>
      <c r="AA52">
        <v>755658</v>
      </c>
      <c r="AB52" t="s">
        <v>824</v>
      </c>
      <c r="AC52">
        <v>6</v>
      </c>
      <c r="AD52">
        <v>2011</v>
      </c>
      <c r="AE52">
        <v>22</v>
      </c>
      <c r="AF52" t="s">
        <v>825</v>
      </c>
      <c r="AG52">
        <v>41</v>
      </c>
      <c r="AH52">
        <v>19.6837451132103</v>
      </c>
      <c r="AI52">
        <v>0.46866059793358</v>
      </c>
      <c r="AJ52" t="s">
        <v>61</v>
      </c>
      <c r="AK52" t="s">
        <v>826</v>
      </c>
      <c r="AL52">
        <v>60</v>
      </c>
      <c r="AM52">
        <v>0</v>
      </c>
      <c r="AN52">
        <v>67</v>
      </c>
      <c r="AO52">
        <v>0</v>
      </c>
      <c r="AP52" t="s">
        <v>63</v>
      </c>
      <c r="AQ52" t="s">
        <v>63</v>
      </c>
    </row>
    <row r="53" spans="1:43" hidden="1" x14ac:dyDescent="0.2">
      <c r="A53">
        <v>69785</v>
      </c>
      <c r="B53" t="s">
        <v>827</v>
      </c>
      <c r="C53">
        <v>6.202</v>
      </c>
      <c r="D53">
        <v>47</v>
      </c>
      <c r="E53" t="s">
        <v>44</v>
      </c>
      <c r="F53" s="1">
        <v>40695</v>
      </c>
      <c r="G53">
        <v>6100000</v>
      </c>
      <c r="H53">
        <v>126</v>
      </c>
      <c r="I53">
        <v>1700000</v>
      </c>
      <c r="J53" t="s">
        <v>828</v>
      </c>
      <c r="K53" t="s">
        <v>512</v>
      </c>
      <c r="L53" t="s">
        <v>829</v>
      </c>
      <c r="M53" t="s">
        <v>830</v>
      </c>
      <c r="N53">
        <v>0.68530000000000002</v>
      </c>
      <c r="O53" t="s">
        <v>831</v>
      </c>
      <c r="P53" t="s">
        <v>832</v>
      </c>
      <c r="Q53" t="s">
        <v>833</v>
      </c>
      <c r="R53" t="s">
        <v>834</v>
      </c>
      <c r="S53" t="s">
        <v>835</v>
      </c>
      <c r="T53" t="s">
        <v>836</v>
      </c>
      <c r="U53" t="s">
        <v>837</v>
      </c>
      <c r="V53" t="s">
        <v>838</v>
      </c>
      <c r="W53" t="s">
        <v>839</v>
      </c>
      <c r="X53" t="s">
        <v>840</v>
      </c>
      <c r="Y53" t="s">
        <v>841</v>
      </c>
      <c r="Z53">
        <v>7.2</v>
      </c>
      <c r="AA53">
        <v>9179</v>
      </c>
      <c r="AB53" t="s">
        <v>842</v>
      </c>
      <c r="AC53">
        <v>6</v>
      </c>
      <c r="AD53">
        <v>2011</v>
      </c>
      <c r="AE53">
        <v>22</v>
      </c>
      <c r="AF53" t="s">
        <v>843</v>
      </c>
      <c r="AG53">
        <v>41</v>
      </c>
      <c r="AH53">
        <v>15.6237994930779</v>
      </c>
      <c r="AI53">
        <v>0.37199522602566498</v>
      </c>
      <c r="AJ53" t="s">
        <v>61</v>
      </c>
      <c r="AK53" t="s">
        <v>844</v>
      </c>
      <c r="AL53">
        <v>1</v>
      </c>
      <c r="AM53">
        <v>2</v>
      </c>
      <c r="AN53">
        <v>3</v>
      </c>
      <c r="AO53">
        <v>0.67</v>
      </c>
      <c r="AP53" t="s">
        <v>845</v>
      </c>
      <c r="AQ53" t="s">
        <v>63</v>
      </c>
    </row>
    <row r="54" spans="1:43" x14ac:dyDescent="0.2">
      <c r="A54">
        <v>76696</v>
      </c>
      <c r="B54" t="s">
        <v>846</v>
      </c>
      <c r="C54">
        <v>7.5</v>
      </c>
      <c r="D54">
        <v>304</v>
      </c>
      <c r="E54" t="s">
        <v>44</v>
      </c>
      <c r="F54" s="1">
        <v>40695</v>
      </c>
      <c r="G54">
        <v>2140</v>
      </c>
      <c r="H54">
        <v>94</v>
      </c>
      <c r="I54">
        <v>11000000</v>
      </c>
      <c r="J54" t="s">
        <v>847</v>
      </c>
      <c r="K54" t="s">
        <v>848</v>
      </c>
      <c r="L54" t="s">
        <v>849</v>
      </c>
      <c r="M54" t="s">
        <v>850</v>
      </c>
      <c r="N54">
        <v>1.4105000000000001</v>
      </c>
      <c r="O54" t="s">
        <v>851</v>
      </c>
      <c r="P54" t="s">
        <v>100</v>
      </c>
      <c r="Q54" t="s">
        <v>852</v>
      </c>
      <c r="R54" t="s">
        <v>853</v>
      </c>
      <c r="S54" t="s">
        <v>854</v>
      </c>
      <c r="T54" t="s">
        <v>855</v>
      </c>
      <c r="U54" t="s">
        <v>856</v>
      </c>
      <c r="V54" t="s">
        <v>857</v>
      </c>
      <c r="W54" t="s">
        <v>856</v>
      </c>
      <c r="X54" t="s">
        <v>858</v>
      </c>
      <c r="Y54" t="s">
        <v>859</v>
      </c>
      <c r="Z54">
        <v>7.5</v>
      </c>
      <c r="AA54">
        <v>17011</v>
      </c>
      <c r="AB54" t="s">
        <v>860</v>
      </c>
      <c r="AC54">
        <v>6</v>
      </c>
      <c r="AD54">
        <v>2011</v>
      </c>
      <c r="AE54">
        <v>22</v>
      </c>
      <c r="AF54" t="s">
        <v>861</v>
      </c>
      <c r="AG54">
        <v>41</v>
      </c>
      <c r="AH54">
        <v>7.6690282885896801</v>
      </c>
      <c r="AI54">
        <v>0.182595911633087</v>
      </c>
      <c r="AJ54" t="s">
        <v>61</v>
      </c>
      <c r="AK54" t="s">
        <v>862</v>
      </c>
      <c r="AL54">
        <v>15</v>
      </c>
      <c r="AM54">
        <v>1</v>
      </c>
      <c r="AN54">
        <v>24</v>
      </c>
      <c r="AO54">
        <v>0.04</v>
      </c>
      <c r="AP54" t="s">
        <v>63</v>
      </c>
      <c r="AQ54" t="s">
        <v>63</v>
      </c>
    </row>
    <row r="55" spans="1:43" x14ac:dyDescent="0.2">
      <c r="A55">
        <v>55347</v>
      </c>
      <c r="B55" t="s">
        <v>863</v>
      </c>
      <c r="C55">
        <v>6.8380000000000001</v>
      </c>
      <c r="D55">
        <v>1096</v>
      </c>
      <c r="E55" t="s">
        <v>44</v>
      </c>
      <c r="F55" s="1">
        <v>40697</v>
      </c>
      <c r="G55">
        <v>14311701</v>
      </c>
      <c r="H55">
        <v>104</v>
      </c>
      <c r="I55">
        <v>3200000</v>
      </c>
      <c r="J55" t="s">
        <v>864</v>
      </c>
      <c r="K55" t="s">
        <v>46</v>
      </c>
      <c r="L55" t="s">
        <v>863</v>
      </c>
      <c r="M55" t="s">
        <v>865</v>
      </c>
      <c r="N55">
        <v>4.3906999999999998</v>
      </c>
      <c r="O55" t="s">
        <v>866</v>
      </c>
      <c r="P55" t="s">
        <v>867</v>
      </c>
      <c r="Q55" t="s">
        <v>868</v>
      </c>
      <c r="R55" t="s">
        <v>86</v>
      </c>
      <c r="S55" t="s">
        <v>641</v>
      </c>
      <c r="T55" t="s">
        <v>869</v>
      </c>
      <c r="U55" t="s">
        <v>870</v>
      </c>
      <c r="V55" t="s">
        <v>871</v>
      </c>
      <c r="W55" t="s">
        <v>872</v>
      </c>
      <c r="X55" t="s">
        <v>873</v>
      </c>
      <c r="Y55" t="s">
        <v>874</v>
      </c>
      <c r="Z55">
        <v>7.2</v>
      </c>
      <c r="AA55">
        <v>96819</v>
      </c>
      <c r="AB55" t="s">
        <v>875</v>
      </c>
      <c r="AC55">
        <v>6</v>
      </c>
      <c r="AD55">
        <v>2011</v>
      </c>
      <c r="AE55">
        <v>22</v>
      </c>
      <c r="AF55" t="s">
        <v>876</v>
      </c>
      <c r="AG55">
        <v>43</v>
      </c>
      <c r="AH55">
        <v>16.476588082265799</v>
      </c>
      <c r="AI55">
        <v>0.37446791096058601</v>
      </c>
      <c r="AJ55" t="s">
        <v>61</v>
      </c>
      <c r="AK55" t="s">
        <v>877</v>
      </c>
      <c r="AL55">
        <v>24</v>
      </c>
      <c r="AM55">
        <v>0</v>
      </c>
      <c r="AN55">
        <v>42</v>
      </c>
      <c r="AO55">
        <v>0</v>
      </c>
      <c r="AP55" t="s">
        <v>63</v>
      </c>
      <c r="AQ55" t="s">
        <v>63</v>
      </c>
    </row>
    <row r="56" spans="1:43" x14ac:dyDescent="0.2">
      <c r="A56" t="s">
        <v>878</v>
      </c>
      <c r="AI56">
        <f>SUBTOTAL(109,Table1[score])</f>
        <v>74.826064106485731</v>
      </c>
      <c r="AQ56">
        <f>SUBTOTAL(103,Table1[error])</f>
        <v>53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Thor_attributes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2026-02-17T17:24:28Z</dcterms:created>
  <dcterms:modified xsi:type="dcterms:W3CDTF">2026-02-17T18:12:01Z</dcterms:modified>
</cp:coreProperties>
</file>