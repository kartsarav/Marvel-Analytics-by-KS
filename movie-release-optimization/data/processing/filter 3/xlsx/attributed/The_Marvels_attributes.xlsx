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7B5EF26F-5944-E24F-B4F7-BBC046BBD34E}" xr6:coauthVersionLast="47" xr6:coauthVersionMax="47" xr10:uidLastSave="{00000000-0000-0000-0000-000000000000}"/>
  <bookViews>
    <workbookView xWindow="380" yWindow="80" windowWidth="28040" windowHeight="17180" xr2:uid="{C5CA00C6-4713-194D-B54E-76C62608FB11}"/>
  </bookViews>
  <sheets>
    <sheet name="The_Marvels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4" i="1" l="1"/>
  <c r="AQ54" i="1"/>
</calcChain>
</file>

<file path=xl/sharedStrings.xml><?xml version="1.0" encoding="utf-8"?>
<sst xmlns="http://schemas.openxmlformats.org/spreadsheetml/2006/main" count="1231" uniqueCount="878">
  <si>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</si>
  <si>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</si>
  <si>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</si>
  <si>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</si>
  <si>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</si>
  <si>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</si>
  <si>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</si>
  <si>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</si>
  <si>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</si>
  <si>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</si>
  <si>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</si>
  <si>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</si>
  <si>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</si>
  <si>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</si>
  <si>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</si>
  <si>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</si>
  <si>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</si>
  <si>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</si>
  <si>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</si>
  <si>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</si>
  <si>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</si>
  <si>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</si>
  <si>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</si>
  <si>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</si>
  <si>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</si>
  <si>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</si>
  <si>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</si>
  <si>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</si>
  <si>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</si>
  <si>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</si>
  <si>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</si>
  <si>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</si>
  <si>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</si>
  <si>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</si>
  <si>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</si>
  <si>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</si>
  <si>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</si>
  <si>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</si>
  <si>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</si>
  <si>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</si>
  <si>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</si>
  <si>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</si>
  <si>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</si>
  <si>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The Creator</t>
  </si>
  <si>
    <t>Released</t>
  </si>
  <si>
    <t>tt11858890</t>
  </si>
  <si>
    <t>en</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</si>
  <si>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war‚Äö√Ñ√Æand mankind itself.</t>
  </si>
  <si>
    <t>This is a fight for our very existence.</t>
  </si>
  <si>
    <t>Science Fiction, Action, Adventure</t>
  </si>
  <si>
    <t>new regency pictures, entertainment one, regency enterprises, bad dreams productions</t>
  </si>
  <si>
    <t>Canada, United States of America</t>
  </si>
  <si>
    <t>√ä√≥‚Ä¢√ä√∫¬®√ã‚Ñ¢√ª, English, ‚Ä°‚àè‚Ä†‚Ä°‚àè‚â§‚Ä°‚àè¬©‚Ä°‚àè‚â§‚Ä°œÄ√ë‚Ä°‚àè√≥‚Ä°‚àè¬¢, Ti¬∑‚à´√∏ng Vi¬∑¬™√°t</t>
  </si>
  <si>
    <t>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B‚àö¬©kassy de B‚àö¬©kas, Art Ybarra, Anjana Ghogar, Michael Esper, Charlie McElveen, Syd Skidmore, Scott Thomas, Teerawat Mulvilai, Sawanee Utoomma</t>
  </si>
  <si>
    <t>Gareth Edwards</t>
  </si>
  <si>
    <t>Greig Fraser, Oren Soffer</t>
  </si>
  <si>
    <t>Gareth Edwards, Chris Weitz</t>
  </si>
  <si>
    <t>Natalie Lehmann, Zev Foreman, Yariv Milchan, Kiri Hart, Gareth Edwards, Jim Spencer, Michael Schaefer, Arnon Milchan, Nick Meyer</t>
  </si>
  <si>
    <t>Hans Zimmer</t>
  </si>
  <si>
    <t>/3dSivDtOuyxLDxPH4v2tcNG1fP7.jpg</t>
  </si>
  <si>
    <t>the creator</t>
  </si>
  <si>
    <t>the marvels</t>
  </si>
  <si>
    <t>madrid (1), barcelona (1), imax (1), premiere (4), ivry-sur-seine (1), bfi imax (1), beyond fest (1), fantastic fest (1), blank (84), french speaking region (1), german and italian speaking region (1), internet (1)</t>
  </si>
  <si>
    <t>no</t>
  </si>
  <si>
    <t>Saw X</t>
  </si>
  <si>
    <t>tt21807222</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</si>
  <si>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</si>
  <si>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</si>
  <si>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Horror, Mystery</t>
  </si>
  <si>
    <t>twisted pictures, lionsgate</t>
  </si>
  <si>
    <t>United States of America</t>
  </si>
  <si>
    <t>English, Espa‚àö¬±ol</t>
  </si>
  <si>
    <t>David Alfano, Steven Brand, Shawnee Smith, Baltimore Beltr‚àö¬∞n, Michael Beach, Synn‚àö‚àève Macody Lund, Bailey Guidry, Isan Beomhyun Lee, James Burg, Jorge Brise‚àö¬±o, Renata Vaca, Cristo Ruiz, Craig Hurley, Paulette Hern‚àö¬∞ndez, Luc‚àö‚â†a G‚àö‚â•mez-Robledo, Donagh Gordon, Octavio Hinojosa Mart‚àö‚â†nez, Kerry Ardra, Joshua Okamoto, Katie Barberi, Costas Mandylor, Sebasti‚àö¬∞n Torres, Natasha Goss, Tobin Bell</t>
  </si>
  <si>
    <t>Kevin Greutert</t>
  </si>
  <si>
    <t>Nick Remy Matthews</t>
  </si>
  <si>
    <t>Josh Stolberg, Leigh Whannell, James Wan, Pete Goldfinger</t>
  </si>
  <si>
    <t>Daniel J. Heffner, Ulrich Maier, Gregg Hoffman, James Wan, Jason Constantine, Mark Burg, Leigh Whannell, Oren Koules, Ketura Kestin, Erick Ahedo</t>
  </si>
  <si>
    <t>Charlie Clouser</t>
  </si>
  <si>
    <t>/u7Lp1Hi8aBS73jv4KRMIv5aK4ax.jpg</t>
  </si>
  <si>
    <t>saw x</t>
  </si>
  <si>
    <t>blank (73), barcelona (1), 4dx (1), premiere (1), vod/digital platforms (1), dvd &amp; blu-ray (1), tv release (1)</t>
  </si>
  <si>
    <t>Extinction</t>
  </si>
  <si>
    <t>tt28513569</t>
  </si>
  <si>
    <t>fa</t>
  </si>
  <si>
    <t>√ø¬Æ‚ÅÑ√ú≈∏√° √ø‚â§√ø¬±≈∏√ú‚ÅÑ√ò</t>
  </si>
  <si>
    <t>Mohsen is a young superhero enthusiast whose life takes an unexpected turn when he encounters an endangered tiger while on a family picnic near the forest. Determined to save this majestic creature from hunters, Mohsen embarks on a perilous rescue mission during which he develops a deep bond with 'Tiggy'.</t>
  </si>
  <si>
    <t>A journey to be a real hero.</t>
  </si>
  <si>
    <t>Animation</t>
  </si>
  <si>
    <t>honar pooya group, magic picture films, all rights entertainment</t>
  </si>
  <si>
    <t>Iran, Malaysia</t>
  </si>
  <si>
    <t>≈∏√Ö√ø√ü√ø¬±√ø‚â•‚Ç¨√•</t>
  </si>
  <si>
    <t>Tooraj Nasr, Alexandre Teixeira, Javad Pezeshkian, Hooman Hajabdollahi, Wayne LeGette, Alireza Dibaj, Pooya Fahimi, Saeed Sheikhzadeh, Crystal Lopez, Katherine Clavelo, Mir Taher Mazloomi, Christopher Swindle, Ebrahim Shafie, Mahsa Erfani, Hedayat Hashemi, Romulo Bernal, Ardeshir Monazam, Hasan Kakhi, Craig Rittenhouse, Mina Ghiaspour, Maryam Radpour, Ali Hemmat Momivand, Travis Roig, Nazanin Yari, Amir Hakimi, George Petrosi, Daniel Reyes, Shayan Shambayati, Metanat Esmaili</t>
  </si>
  <si>
    <t>Hadi Mohammadian</t>
  </si>
  <si>
    <t>Mohammadali Ramezanpoor, Babak Nekooei, Hadi Mohammadian</t>
  </si>
  <si>
    <t>Hamed Jafari</t>
  </si>
  <si>
    <t>Mohammadreza Tavasoli Sahzevar</t>
  </si>
  <si>
    <t>/mEgVvLbrAWguyXslB53MtOdnVhx.jpg</t>
  </si>
  <si>
    <t>extinction</t>
  </si>
  <si>
    <t>fajr film festival (1), blank (5)</t>
  </si>
  <si>
    <t>Fukrey 3</t>
  </si>
  <si>
    <t>tt26445483</t>
  </si>
  <si>
    <t>hi</t>
  </si>
  <si>
    <t>‚Ä°¬ß¬¥‚Ä°‚Ä¢√Ö‚Ä°¬ß√Ø‚Ä°¬ß‚àû‚Ä°‚Ä¢√° 3</t>
  </si>
  <si>
    <t>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they‚Äö√Ñ√¥ve been gifted with a new &amp; unique talent which is going to make them millionaires.</t>
  </si>
  <si>
    <t>Ek naya chumatkar from Jamnapaar</t>
  </si>
  <si>
    <t>Comedy, Drama</t>
  </si>
  <si>
    <t>excel entertainment</t>
  </si>
  <si>
    <t>India</t>
  </si>
  <si>
    <t>‚Ä°¬ßœÄ‚Ä°¬ß√∏‚Ä°¬ß¬Æ‚Ä°‚Ä¢√ß‚Ä°¬ß¬∂‚Ä°‚Ä¢√Ñ</t>
  </si>
  <si>
    <t>Pulkit Samrat, Natasha Kamwenje, Sani Ahmed, Amit Dhawan, Lekha Prajapati, Ali Fazal, Michael Havens, Geeta Agrawal Sharma, Richa Chadha, Varun Sharma, Pankaj Tripathi, Manjot Singh, Manu Rishi Chadha</t>
  </si>
  <si>
    <t>Mrighdeep Singh Lamba</t>
  </si>
  <si>
    <t>Amalendu Chaudhary</t>
  </si>
  <si>
    <t>Kumaar, Abhishek Nailwal, Mrighdeep Singh Lamba, Vipul Vig, Shabbir Ahmed</t>
  </si>
  <si>
    <t>Rajat Kanti Sarkar, Farhan Akhtar, Ritesh Sidhwani</t>
  </si>
  <si>
    <t>Ram Sampath, Abhishek Nailwal</t>
  </si>
  <si>
    <t>/1E5qIvLBNrv4onx5SxnNz5Monac.jpg</t>
  </si>
  <si>
    <t>fukrey 3</t>
  </si>
  <si>
    <t>blank (10), limited (2), english subtitled version (1)</t>
  </si>
  <si>
    <t>The Animal Kingdom</t>
  </si>
  <si>
    <t>tt16606592</t>
  </si>
  <si>
    <t>fr</t>
  </si>
  <si>
    <t>Le R‚àö¬Ægne animal</t>
  </si>
  <si>
    <t>In a world hit by a wave of mutations transforming humans into animals, Fran‚àö√üois does everything he can to save his wife. As some of the creatures disappear into a nearby forest, he and their son ‚àö√¢mile embark on a quest that will change their lives forever.</t>
  </si>
  <si>
    <t>All creatures crave freedom.</t>
  </si>
  <si>
    <t>Adventure, Drama, Science Fiction</t>
  </si>
  <si>
    <t>studiocanal, nord-ouest films, france 2 cin‚àö¬©ma, art‚àö¬©mis productions</t>
  </si>
  <si>
    <t>Belgium, France</t>
  </si>
  <si>
    <t>Fran‚àö√üais</t>
  </si>
  <si>
    <t>Jean Boronat, Paul Muguruza, Cl‚àö¬©ment Corbiat, Nathalie Richard, Tom Mercier, S‚àö¬©bastien Boissavit, Ad‚àö¬Æle Exarchopoulos, Saadia Benta‚àö√òeb, Maxime Sebile, Gabriel Caballero, Louise Lehry, C‚àö¬©lia Lalande, Tom Rivoire, Romain Duris, Fran‚àö√üois-Xavier Raffier, Iliana Khelifa, Xavier Aubert, Paul Kircher, Billie Blain, Nicolas Avin‚àö¬©e, Ma‚àö¬¥lle Benkimoun</t>
  </si>
  <si>
    <t>Thomas Cailley</t>
  </si>
  <si>
    <t>David Cailley</t>
  </si>
  <si>
    <t>Thomas Cailley, Pauline Munier</t>
  </si>
  <si>
    <t>Pierre Guyard</t>
  </si>
  <si>
    <t>Andrea Laszlo De Simone</t>
  </si>
  <si>
    <t>/39AiQnXlXOjoqBSkiUpTG80rXLw.jpg</t>
  </si>
  <si>
    <t>the animal kingdom</t>
  </si>
  <si>
    <t>internet (4), cannes film festival (1), karlovy vary international film festival (1), fantasy filmfest (1), miskolc international film festival (1), motelx - lisbon international horror film festival (2), vancouver international film festival (1), festival du cin√©ma de montr√©al (1), sitges international film festival (1), busan international film festival (1), blank (19), french speaking region (1), warsaw film festival (1), bfi london film festival (1), filmekimi (1), m√°laga french film festival (1), limited (4), philadelphia film festival (1), leiden international film festival (1), jio mami mumbai film festival (1), french film festival (2), french film festival, dublin (1), thessaloniki international film festival (1), denver film festival (1), voilah! french film festival (1), taipei golden horse film festival (1), torino film festival (1), german speaking region (1), qu√©bec (1), rendez-vous with french cinema (1), limited release (1), marie claire film festival (1), shanghai international film festival (1), biografilm festival (1), przeglad nowego kina francuskiego (1), dvd premiere (1), tv premiere (1)</t>
  </si>
  <si>
    <t>Freelance</t>
  </si>
  <si>
    <t>tt15744298</t>
  </si>
  <si>
    <t>An ex-special forces operative takes a job to provide security for a journalist as she interviews a dictator, but a military coup breaks out in the middle of the interview, they are forced to escape into the jungle where they must survive.</t>
  </si>
  <si>
    <t>Retirement didn't suit him.</t>
  </si>
  <si>
    <t>Action, Comedy</t>
  </si>
  <si>
    <t>endurance media, agc studios, sentient entertainment, signature films, wideangle films, lipsync productions</t>
  </si>
  <si>
    <t>United States of America, United Kingdom</t>
  </si>
  <si>
    <t>English</t>
  </si>
  <si>
    <t>John Cena, Andr‚àö¬©s Echavarr‚àö‚â†a, Pablo Daniel Rodr‚àö‚â†guez, Christian Slater, Gamal Dillard, M‚àö¬©lida Saviz, Tomaso Tarli, Molly McCann, Michel Farji Honlein, Juan Pablo Raba, Nelson Camayo, Diego V‚àö¬∞squez, Julianne Arrieta, Fiona Horsey, Alice Eve, Matt Moody, Mauricio Cujar, Alison Brie, Sebasti‚àö¬∞n Eslava, Daniel Toro, Yusuf Felipe Tangarife Angulo, Roberto Cano, Marton Csokas</t>
  </si>
  <si>
    <t>Pierre Morel</t>
  </si>
  <si>
    <t>Thierry Arbogast</t>
  </si>
  <si>
    <t>Jacob Lentz</t>
  </si>
  <si>
    <t>Steve Richards, Renee Tab, Pierre Morel, Walter Josten, Christopher Tuffin, Jacob Lentz, Danny H. Chan, Jaime Hernandez, Christopher Milburn, Michael Arrieta, Stuart Ford, Miguel Palos, Lex Miron, Peter E. Strauss, Court Coursey, David Robbins, Marc Danon</t>
  </si>
  <si>
    <t>Elliot Leung Ho-Yat</t>
  </si>
  <si>
    <t>/7Bd4EUOqQDKZXA6Od5gkfzRNb0.jpg</t>
  </si>
  <si>
    <t>freelance</t>
  </si>
  <si>
    <t>blank (40), internet (6)</t>
  </si>
  <si>
    <t>The Promised Land</t>
  </si>
  <si>
    <t>tt20561198</t>
  </si>
  <si>
    <t>da</t>
  </si>
  <si>
    <t>Bastarden</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</si>
  <si>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</si>
  <si>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 captain‚Äö√Ñ√¥s ambition, a ruthless rival, and a land that defies them both.</t>
  </si>
  <si>
    <t>Action, Drama, History</t>
  </si>
  <si>
    <t>zentropa international berlin, zentropa international sweden, zentropa entertainments</t>
  </si>
  <si>
    <t>Denmark, Germany, Sweden</t>
  </si>
  <si>
    <t>Dansk, Deutsch, Norsk, svenska</t>
  </si>
  <si>
    <t>Gustav Lindh, Melina Hagberg, Kristine Kujath Thorp, Mads Mikkelsen, Amanda Collin, Jacob Ulrik Lohmann, Michael Brostrup, Patricie ‚âà‚Ä†laufov‚àö¬∞, Josef Berousek, Felix Kramer, Ji‚âà√¥‚àö‚â† Konvalinka, Zdenek Br‚àö¬∫na, Martin Navr‚àö¬∞til, Hans Christian Lundgren, Arved Friese, Finn Nielsen, Nanna Finding Koppel, Magnus Krepper, Lise Risom Olsen, Martin Feifel, Nikol Kouklov‚àö¬∞, Olaf H‚àö‚àèjgaard, Jan Jankovsk‚àöŒ©, Morten Burian, Morten Buus, Thomas W. Gabrielsson, Zden∆í√µk Dvo‚âà√¥‚àö¬∞∆í√ßek, Karel He‚âà√¥m‚àö¬∞nek, Ivo H‚àö¬∞n∆í√µl, Laura Bilgrau Eskild-Jensen, Anna Filippa Hjarne, S‚àö‚àèren Malling, Tom‚àö¬∞‚âà¬∞ Tobola, Lasse Steen Jensen, Joen H‚àö‚àèjerslev, Adam Pengsawang, Simon Bennebjerg, Kristi‚àö¬∞n ∆í√•ern‚àö‚â†k, Morten Hee Andersen</t>
  </si>
  <si>
    <t>Nikolaj Arcel</t>
  </si>
  <si>
    <t>Rasmus Videb‚àö¬∂k</t>
  </si>
  <si>
    <t>Nikolaj Arcel, Anders Thomas Jensen, Ida Jessen</t>
  </si>
  <si>
    <t>Louise Vesth</t>
  </si>
  <si>
    <t>Dan Romer</t>
  </si>
  <si>
    <t>/npQgoOWn4fnvOIIyTj4rIV80FXC.jpg</t>
  </si>
  <si>
    <t>the promised land</t>
  </si>
  <si>
    <t>venice film festival (1), telluride film festival (1), toronto international film festival (1), calgary international film festival (1), vancouver international film festival (1), blank (26), hamptons international film festival (1), chicago international film festival (1), philadelphia film festival (1), montclair film festival (1), afi fest (1), denver film festival (1), troms√∏ international film festival (1), eken√§s film fest (1), g√∂teborg film festival (1), limited (1), hong kong international film festival (1), international film festival of uruguay (1), golden horse fantastic film festival (1), shanghai international film festival (1), jerusalem film festival (1), tv premiere (1)</t>
  </si>
  <si>
    <t>Cat Person</t>
  </si>
  <si>
    <t>tt14647404</t>
  </si>
  <si>
    <t>When Margot, a college sophomore, goes on a date with the older Robert, she finds that IRL Robert doesn‚Äö√Ñ√¥t live up to the Robert she has been flirting with over texts.</t>
  </si>
  <si>
    <t>Based on the sensational New Yorker short story.</t>
  </si>
  <si>
    <t>Thriller, Comedy</t>
  </si>
  <si>
    <t>studiocanal, the new yorker studios, echelon productions, 30west, imperative entertainment</t>
  </si>
  <si>
    <t>France, United States of America</t>
  </si>
  <si>
    <t>Isabella Rossellini, Melissa Lehman, Fred Melamed, Josh Rivera, Donald Watkins, Zachary Mooren, Camille Umoff, Sammy Arechar, Joanne Joella, Nicholas Braun, Geraldine Viswanathan, Pearl Sun, Christopher Shyer, Kyle Selig, Max Jenkins, John Scherer, Michael Gandolfini, Isaac Powell, Hope Davis, Liza Koshy, Jeremy Gill, Emilia Jones, Liza Col‚àö‚â•n-Zayas</t>
  </si>
  <si>
    <t>Susanna Fogel</t>
  </si>
  <si>
    <t>Manuel Billeter</t>
  </si>
  <si>
    <t>Michelle Ashford, Kristen Roupenian</t>
  </si>
  <si>
    <t>Daniel Hank, Max Handelman, Anna Marsh, Susanna Fogel, Jeremy Steckler, Elizabeth Banks, Helen Estabrook, Rachel Henochsberg, Michelle Ashford, Shana Eddy-Grouf, Gino Falsetto</t>
  </si>
  <si>
    <t>Heather McIntosh</t>
  </si>
  <si>
    <t>/atrfmVWmw9NPrpFSfgUE2XG7eF9.jpg</t>
  </si>
  <si>
    <t>cat person</t>
  </si>
  <si>
    <t>sundance film festival (1), blank (22), limited (1), thessaloniki international film festival (1), internet (3), mcff marie claire film festival (1)</t>
  </si>
  <si>
    <t>Dicks: The Musical</t>
  </si>
  <si>
    <t>tt7130916</t>
  </si>
  <si>
    <t>Two self-obsessed businessmen discover they're long-lost identical twins and come together to plot the reunion of their eccentric divorced parents.</t>
  </si>
  <si>
    <t>We‚Äö√Ñ√¥re Identical Fucking Twins!</t>
  </si>
  <si>
    <t>Music, Comedy</t>
  </si>
  <si>
    <t>a24, chernin entertainment</t>
  </si>
  <si>
    <t>Desiree Estrada, Blake Daniel, Eric Ritter, Nick Offerman, Nathan Lane, Bowen Yang, Aaron Jackson, Amy Jo Jackson, Tom Kenny, Oscar Montoya, Megan Thee Stallion, Josh Sharp, Marius de Vries, Megan Mullally, Danielle Perez, Sonya Eddy, Frank Todaro, Yoli Lara, D'Arcy Carden</t>
  </si>
  <si>
    <t>Larry Charles</t>
  </si>
  <si>
    <t>Michelle Lawler</t>
  </si>
  <si>
    <t>Josh Sharp, Aaron Jackson</t>
  </si>
  <si>
    <t>Aaron Jackson, Marius de Vries, Josh Sharp, James Spetner, Jenno Topping, Kori Adelson, Peter Chernin, Larry Charles, Jeremy Reitz</t>
  </si>
  <si>
    <t>Marius de Vries, Karl Saint Lucy</t>
  </si>
  <si>
    <t>/A7twVw7LkB9Cq1As1YiN7J7jW3h.jpg</t>
  </si>
  <si>
    <t>dicks: the musical</t>
  </si>
  <si>
    <t>toronto international film festival (1), internet (1), limited (3), blank (6), stockholm international film festival (1), troms√∏ international film festival (1)</t>
  </si>
  <si>
    <t>Trolls Band Together</t>
  </si>
  <si>
    <t>tt14362112</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</si>
  <si>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</si>
  <si>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</si>
  <si>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Animation, Family, Music, Fantasy, Comedy</t>
  </si>
  <si>
    <t>dreamworks animation</t>
  </si>
  <si>
    <t>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Andr‚àö¬©, Camila Cabello, David Fynn, Lance Bass, Nina Zoe Bakshi, RuPaul, Fred Tatasciore</t>
  </si>
  <si>
    <t>Walt Dohrn</t>
  </si>
  <si>
    <t>Thomas Dam, Chris Allison, Elizabeth Tippet, Colin Jack</t>
  </si>
  <si>
    <t>Jonathan Aibel, Glenn Berger, Dannie Festa, Gina Shay</t>
  </si>
  <si>
    <t>Theodore Shapiro</t>
  </si>
  <si>
    <t>/bkpPTZUdq31UGDovmszsg2CchiI.jpg</t>
  </si>
  <si>
    <t>trolls band together</t>
  </si>
  <si>
    <t>blank (52), french speaking region (1), fan event (1), vod (1), dvd,4k uhd,blu-ray (1), internet (1)</t>
  </si>
  <si>
    <t>Leo</t>
  </si>
  <si>
    <t>tt15654328</t>
  </si>
  <si>
    <t>ta</t>
  </si>
  <si>
    <t>‚Ä°√Ü‚â§‚Ä°√Ü√∏‚Ä°√Ü√ò‚Ä°√ò√£</t>
  </si>
  <si>
    <t>Parthiban, a cafe owner, lives with his family in Himachal Pradesh. Things take an absurd turn for him when he gets in the way of a drug cartel.</t>
  </si>
  <si>
    <t>Bloody Sweet!</t>
  </si>
  <si>
    <t>Action, Crime, Thriller</t>
  </si>
  <si>
    <t>seven screen studios, the route</t>
  </si>
  <si>
    <t>‚Ä°√Ü¬ß‚Ä°√Ü√Ü‚Ä°√Ü√∏‚Ä°√Ü¬•‚Ä°√ò√ß</t>
  </si>
  <si>
    <t>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t>
  </si>
  <si>
    <t>Lokesh Kanagaraj</t>
  </si>
  <si>
    <t>Manoj Paramahamsa</t>
  </si>
  <si>
    <t>Asal Kolaar, David Cronenberg, Heisenberg, Deeraj Vaidy, Vince Locke, John Wagner, Vishnu Edavan, Rathna Kumar, Lokesh Kanagaraj</t>
  </si>
  <si>
    <t>Lalit Kumar, Ramkumar Balasubramanian</t>
  </si>
  <si>
    <t>Anirudh Ravichander</t>
  </si>
  <si>
    <t>/5l62iL3gJThyauCyzlsKRh8kqGX.jpg</t>
  </si>
  <si>
    <t>leo</t>
  </si>
  <si>
    <t>blank (13), limited (1), unknown (2), uncut version (1), internet (4)</t>
  </si>
  <si>
    <t>Radical</t>
  </si>
  <si>
    <t>tt14570440</t>
  </si>
  <si>
    <t>es</t>
  </si>
  <si>
    <t>In a Mexican border town plagued by neglect, corruption, and violence, a frustrated teacher tries an unorthodox new method to break through his students‚Äö√Ñ√¥ apathy and unlock their curiosity, their potential... and perhaps even their genius.</t>
  </si>
  <si>
    <t>Think for yourself.</t>
  </si>
  <si>
    <t>Drama</t>
  </si>
  <si>
    <t>3pas studios, epic, the lift, vix</t>
  </si>
  <si>
    <t>Mexico, United States of America</t>
  </si>
  <si>
    <t>Espa‚àö¬±ol</t>
  </si>
  <si>
    <t>Gilberto Barraza, Roc‚àö‚â†o Canseco, Edmundo Munoz, Daniel Haddad, Sergio Iv‚àö¬∞n Ju‚àö¬∞rez Correa, Margarita Chavarr‚àö‚â†a, Mia Fernanda Solis, Danilo Guardiola Escobar, Erwin Veytia, Eugenio Derbez, Xochiquetzal Mart‚àö‚â†nez, Enoc Lea‚àö¬±o, Jennifer Trejo, Claudia Fuentes Medina, Manuel M‚àö¬∞rquez, Libia Regalado, V‚àö‚â†ctor Estrada, Librada Elois, Christian Gonzalez, Manuel Cruz Vivas, Kaarlo Isaacs Barria</t>
  </si>
  <si>
    <t>Christopher Zalla</t>
  </si>
  <si>
    <t>Mateo Londo‚àö¬±o</t>
  </si>
  <si>
    <t>Christopher Zalla, Joshua Davis</t>
  </si>
  <si>
    <t>Avelino Rodr‚àö‚â†guez, Joshua Davis, Javier Williams, Eugenio Derbez, Ben Odell, Joshuah Bearman</t>
  </si>
  <si>
    <t>Pascual Reyes, Juan Pablo Villa</t>
  </si>
  <si>
    <t>/eGMkkbG85JUyXQEsbZKSnBrymts.jpg</t>
  </si>
  <si>
    <t>radical</t>
  </si>
  <si>
    <t>sundance film festival (1), sydney film festival (1), new zealand international film festival (1), melbourne international film festival (1), new york international latino film festival (1), haifa film festival (1), zurich film festival (1), mill valley film festival (1), guadalajara (1), cin√©polis la normal (1), premiere (4), blank (13), leiden international film festival (1), brisbane film festival (1), limited (1), internet (3), glasgow film festival (1), madrid (2), m√°laga film festival (1), bengaluru international film festival (1), guip√∫zcoa (1), valencia (1), alicante (1), technical premiere (1), c√≥rdoba (1), murcia (1), early release (1), barcelona (1), noam faenza film festival (1), italian premiere (1)</t>
  </si>
  <si>
    <t>Ganapath</t>
  </si>
  <si>
    <t>tt13334578</t>
  </si>
  <si>
    <t>‚Ä°¬ß√≥‚Ä°¬ß¬£‚Ä°¬ß‚Ñ¢‚Ä°¬ß¬ß</t>
  </si>
  <si>
    <t>In a dystopian future, Ganapath, a relentless and skilled vigilante, embarks on a mission to dismantle a powerful criminal empire that has gripped the city in fear. Ganapath becomes a symbol of hope for the oppressed in which leads dark.</t>
  </si>
  <si>
    <t>A Hero Is Born</t>
  </si>
  <si>
    <t>Action, Thriller</t>
  </si>
  <si>
    <t>pooja entertainment, good co.</t>
  </si>
  <si>
    <t>Jameel Khan, Sammy Jonas Heaney, Kriti Sanon, Gauahar Khan, Girish Kulkarni, Elli Avram, Shruthy Menon, Rahman, Ziad Bakri, Tiger Shroff, Amitabh Bachchan</t>
  </si>
  <si>
    <t>Vikas Bahl</t>
  </si>
  <si>
    <t>Sudhakar Reddy Yakkanti</t>
  </si>
  <si>
    <t>Swanand Kirkire, Priya Saraiya, Vikas Bahl, Roach. Killa, Dr. Zeus, Akshay Tripathi</t>
  </si>
  <si>
    <t>Vashu Bhagnani, Vikas Bahl, Jacky Bhagnani, Deepshika Deshmukh</t>
  </si>
  <si>
    <t>Vishal Mishra, Dr. Zeus, Amit Trivedi, Salim Merchant, Sulaiman Merchant</t>
  </si>
  <si>
    <t>/z5kngie7G0bR9CL3tcWhZLwIpIc.jpg</t>
  </si>
  <si>
    <t>ganapath</t>
  </si>
  <si>
    <t>blank (10), limited (2)</t>
  </si>
  <si>
    <t>Yaariyan 2</t>
  </si>
  <si>
    <t>tt22743064</t>
  </si>
  <si>
    <t>‚Ä°¬ß√ò‚Ä°¬ß√¶‚Ä°¬ß‚àû‚Ä°¬ß√∏‚Ä°¬ß√ò‚Ä°¬ß√¶‚Ä°¬ß√Ö ‚Ä°‚Ä¢¬Æ</t>
  </si>
  <si>
    <t>As three cousins embrace the warmth of a new city, they also face challenges that transform their lives.</t>
  </si>
  <si>
    <t>Cousins by blood, friends by choice</t>
  </si>
  <si>
    <t>Romance, Drama, Family</t>
  </si>
  <si>
    <t>t-series, blm pictures</t>
  </si>
  <si>
    <t>Lillete Dubey, Priya Prakash Varrier, Meezaan Jafri, Anaswara Rajan, Bhagyashri Borse, Warina Hussain, Murali Sharma, Divya Khosla Kumar, Pearl V Puri, Yash Daasguptaa</t>
  </si>
  <si>
    <t>Radhika Rao, Vinay Sapru</t>
  </si>
  <si>
    <t>Ravi Yadav</t>
  </si>
  <si>
    <t>Radhika Rao, Vinay Sapru, Manan Bhardwaj, Yo Yo Honey Singh</t>
  </si>
  <si>
    <t>Aayush Maheshwari, Krishan Kumar, Bhushan Kumar, Divya Khosla Kumar</t>
  </si>
  <si>
    <t>Manan Bhardwaj, Yo Yo Honey Singh, Khalif, JAM8</t>
  </si>
  <si>
    <t>/zcy8ZFwnzMhB32RaPArpj2XASP4.jpg</t>
  </si>
  <si>
    <t>yaariyan 2</t>
  </si>
  <si>
    <t>blank (5), limited (1)</t>
  </si>
  <si>
    <t>Carousel</t>
  </si>
  <si>
    <t>tt24017902</t>
  </si>
  <si>
    <t>sv</t>
  </si>
  <si>
    <t>Karusell</t>
  </si>
  <si>
    <t>Park manager Fiona is tasked with taking care of some former friends who won an exclusive private sneak preview of Halloween at Liseberg ‚Äö√Ñ√¨ a whole night, all alone in the empty park. But cotton candy, lovely rides and lots of laughter soon turn into something completely different, as they realize they are not alone in the park. And the night of dreams quickly turns into a true nightmare.</t>
  </si>
  <si>
    <t>An exclusive private Halloween night at Liseberg quickly turns into a true nightmare.</t>
  </si>
  <si>
    <t>Horror</t>
  </si>
  <si>
    <t>scandinavian content group, nordisk film sweden, bright pictures</t>
  </si>
  <si>
    <t>Sweden</t>
  </si>
  <si>
    <t>svenska</t>
  </si>
  <si>
    <t>Thomas Hedengran, Sandra Caraan, Katerina Pavlou, Berna Inceoglu, Wilma Lid‚àö¬©n, Embla Ingelman-Sundberg, Gunnar Hoaas, Ludvig Deltin, Emil Algpeus, Oscar Eliason, Rebecca Runfors Carlzzon, Amanda Lindh, Michael Brolin, Omar Rudberg</t>
  </si>
  <si>
    <t>Simon Sandquist</t>
  </si>
  <si>
    <t>Filip Hammarstr‚àö‚àÇm, Henry Stenberg, M‚àö‚Ä¢rten Gisby</t>
  </si>
  <si>
    <t>Jenny Gilbertsson, Hans Engholm, Lotta Carlsbog‚àö‚Ä¢rd, Filip Hammarstr‚àö‚àÇm, Robert Arvidson, David Ovsepian, B‚àö‚àÇrje Hansson, Kristina B‚àö‚àÇrjeson</t>
  </si>
  <si>
    <t>Christian Sandquist</t>
  </si>
  <si>
    <t>/dhTFWMto4o6ATe6W58bFU8AGUje.jpg</t>
  </si>
  <si>
    <t>carousel</t>
  </si>
  <si>
    <t>blank (10), dvd premiere (1), octopus film festival (1), internet (1), dvd and blu-ray premiere (1)</t>
  </si>
  <si>
    <t>Five Nights at Freddy's</t>
  </si>
  <si>
    <t>tt4589218</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</si>
  <si>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</si>
  <si>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</si>
  <si>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Horror, Thriller</t>
  </si>
  <si>
    <t>blumhouse productions, scott cawthon productions</t>
  </si>
  <si>
    <t>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t>
  </si>
  <si>
    <t>Emma Tammi</t>
  </si>
  <si>
    <t>Lyn Moncrief</t>
  </si>
  <si>
    <t>Tyler MacIntyre, Scott Cawthon, Chris Lee Hill, Emma Tammi, Seth Cuddeback</t>
  </si>
  <si>
    <t>Beatriz Sequeira, Marc Mostman, Christopher H. Warner, Scott Cawthon, Ryan Turek, Russell Binder, Jason Blum</t>
  </si>
  <si>
    <t>Taylor Stewart, Andrew Grush</t>
  </si>
  <si>
    <t>/4dKRTUylqwXQ4VJz0BS84fqW2wa.jpg</t>
  </si>
  <si>
    <t>five nights at freddy's</t>
  </si>
  <si>
    <t>blank (111), german speaking region (1), internet (2), preview (1), french speaking region (1), vod (1), dvd,4k uhd,blu-ray (1), re-release (1), tv release (1)</t>
  </si>
  <si>
    <t>White Bird</t>
  </si>
  <si>
    <t>tt11068094</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</si>
  <si>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</si>
  <si>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One act of kindness lives on forever.</t>
  </si>
  <si>
    <t>participant, mandeville films, 2dux¬¨‚â§, kingdom story company, lionsgate, media capital technologies</t>
  </si>
  <si>
    <t>Deutsch, Fran‚àö√üais, English</t>
  </si>
  <si>
    <t>Timon McLean, Roman Hor‚àö¬∞k, Miroslav T‚àö¬∞borsk‚àöŒ©, Tabea Lara Riek, Selma Kaymakci, Damian Odess-Gillett, Gillian Anderson, Sam Talacko, Jim High, Ji‚âà√¥‚àö‚â† Kraus, Orlando Schwerdt, Daniel Brown, Zuzana Hodkov‚àö¬∞, Mark‚àö¬©ta Richterov‚àö¬∞, Sebastian Jacques, Rebecca Louise Monaghan, Helen Mirren, John Bubniak, Philip Lenkowsky, Ondrej Novak, Zuko Garagi∆í√°, Martina Slukov‚àö¬∞, Priya Ghotane, Miroslav Lhotka, Filip Finkel‚âà¬∞tejn, Nadine Leon Gobet, Stanislav Callas, Jem Matthews, Jordan Cramond, Mac Clemons, Patsy Ferran, Adam Bakule, Ji‚âà√¥‚àö‚â† Vojta, Teagan Stark, Laura Hude∆í√ßkov‚àö¬∞, Nick Saaf, Ale‚âà¬∞ B‚àö‚â†l‚àö‚â†k, Kevan Van Thompson, Ariella Glaser, Yelisey Kazakevich, Mia Kadlecova, Lily Huong Mac, Luis Eduard Tames, Anise Napoleao dos Reis, Jeremy Tichy, Ishai Golan, Jo Stone-Fewings, Anise Napoleono dos Reis, Stuart McQuarrie, James Beaumont, Florian K‚àö‚àÇhler, Vladim‚àö‚â†r Javorsk‚àöŒ©, Octavio Molina, John Comer, Olivia Ross, Kry‚âà¬∞tof Barto‚âà¬∞, Stepanka Sigmundova, Jakub Laurych, Lily Mac, Sean Brodeur, Cyril Dobr‚àöŒ©, Simon Mestdagh, Harry Thompson, Bryce Gheisar, Ta‚âà‚Ä¢jana Medveck‚àö¬∞, Martin David, Garrett Moore, Beatrice Holdingova</t>
  </si>
  <si>
    <t>Marc Forster</t>
  </si>
  <si>
    <t>Matthias Koenigswieser</t>
  </si>
  <si>
    <t>Mark Bomback, R.J. Palacio</t>
  </si>
  <si>
    <t>David Hoberman, Mark Bomback, Renee Wolfe, Todd Lieberman, Robert Kessel, Alexander Young, Kevan Van Thompson, Christopher Woodrow, Jeff Skoll, Connor DiGregorio, R.J. Palacio</t>
  </si>
  <si>
    <t>Thomas Newman</t>
  </si>
  <si>
    <t>/s2igE99PVBEMsry3qEGEH3rM83K.jpg</t>
  </si>
  <si>
    <t>white bird</t>
  </si>
  <si>
    <t>san francisco jewish film festival (1), blank (25), limited (2), internet (2), tv release (1)</t>
  </si>
  <si>
    <t>The Holdovers</t>
  </si>
  <si>
    <t>tt14849194</t>
  </si>
  <si>
    <t>A curmudgeonly instructor at a New England prep school is forced to remain on campus during Christmas break to babysit the handful of students with nowhere to go. Eventually, he forms an unlikely bond with one of them ‚Äö√Ñ√Æ a damaged, brainy troublemaker ‚Äö√Ñ√Æ and with the school‚Äö√Ñ√¥s head cook, who has just lost a son in Vietnam.</t>
  </si>
  <si>
    <t>Discomfort and joy.</t>
  </si>
  <si>
    <t>miramax, gran via productions</t>
  </si>
  <si>
    <t>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t>
  </si>
  <si>
    <t>Alexander Payne</t>
  </si>
  <si>
    <t>Eigil Bryld</t>
  </si>
  <si>
    <t>David Hemingson</t>
  </si>
  <si>
    <t>David Hemingson, Tom Williams, Mark Johnson, Andrew Golov, Thom Zadra, Bill Block</t>
  </si>
  <si>
    <t>Mark Orton</t>
  </si>
  <si>
    <t>/VHSzNBTwxV8vh7wylo7O9CLdac.jpg</t>
  </si>
  <si>
    <t>the holdovers</t>
  </si>
  <si>
    <t>telluride film festival (1), toronto international film festival (1), busan international film festival (1), bfi london film festival (1), grand lyon film festival (1), heartland international film festival (1), kcrw screening at vidiots (1), premiere (2), san diego international film festival (1), chicago international film festival (1), philadelphia film festival (1), montclair film festival (1), scad savannah film festival (1), limited (7), early access (1), thessaloniki international film festival (1), american film festival (1), blank (36), stockholm international film festival (1), vod (1), torino film festival (1), academia de cine (1), madrid (1), moma - the contenders (1), internet (1), blu-ray and dvd (1), closing film (1), troms√∏ international film festival (1), re-release (1), belgrade international film festival (1), 4k uhd (1), tv release (1)</t>
  </si>
  <si>
    <t>Doctor Jekyll</t>
  </si>
  <si>
    <t>tt12637946</t>
  </si>
  <si>
    <t>Recluse Dr. Nina Jekyll befriends with her newly hired help, Rob. They must work together to prevent Hyde from destroying her life.</t>
  </si>
  <si>
    <t>A modern twist on the classic horror</t>
  </si>
  <si>
    <t>b good picture company, fluidity films, hammer studios ltd., hammer film productions, fulwell 73 productions, soundnode</t>
  </si>
  <si>
    <t>United Kingdom</t>
  </si>
  <si>
    <t>Scott Chambers, Robyn Cara, Isabella Inchbald, Eddie Izzard, Simon Callow, Tony Jayawardena, Jonathan Hyde, Morgan Watkins, Lindsay Duncan</t>
  </si>
  <si>
    <t>Joe Stephenson</t>
  </si>
  <si>
    <t>Birgit Dierken</t>
  </si>
  <si>
    <t>Dan Kelly-Mulhern, Joe Stephenson, Robert Louis Stevenson</t>
  </si>
  <si>
    <t>Piers Hunt, Patrick Fischer, Jamie Anderson, Richard Kondal, Andrew Keats, Liam Coutts, Joe Stephenson, Christian Angermayer, Guy de Beaujeu</t>
  </si>
  <si>
    <t>Blair Mowat</t>
  </si>
  <si>
    <t>/lwGZ7S2KiRJBLIgmqh8MCAAx0Px.jpg</t>
  </si>
  <si>
    <t>doctor jekyll</t>
  </si>
  <si>
    <t>frightfest (1), london (1), premiere (1), blank (2), limited (1)</t>
  </si>
  <si>
    <t>Priscilla</t>
  </si>
  <si>
    <t>tt22041854</t>
  </si>
  <si>
    <t>When teenage Priscilla Beaulieu meets Elvis Presley at a party, the man who is already a meteoric rock-and-roll superstar becomes someone entirely unexpected in private moments: a thrilling crush, an ally in loneliness, a vulnerable best friend.</t>
  </si>
  <si>
    <t>Wife to the king. Icon to the world. Destined for more.</t>
  </si>
  <si>
    <t>Drama, Romance, Music</t>
  </si>
  <si>
    <t>the apartment pictures, american zoetrope</t>
  </si>
  <si>
    <t>Italy, United States of America</t>
  </si>
  <si>
    <t>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t>
  </si>
  <si>
    <t>Sofia Coppola</t>
  </si>
  <si>
    <t>Philippe Le Sourd</t>
  </si>
  <si>
    <t>Sandra Harmon, Priscilla Presley, Sofia Coppola</t>
  </si>
  <si>
    <t>Lorenzo Mieli, Sofia Coppola, Priscilla Presley, Roman Coppola, Youree Henley, Chris Hatcher, Fred Roos</t>
  </si>
  <si>
    <t>Thomas Mars, Christian Mazzalai, Laurent Brancowitz, Deck d'Arcy</t>
  </si>
  <si>
    <t>/uDCeELWWpsNq7ErM61Yuq70WAE9.jpg</t>
  </si>
  <si>
    <t>priscilla</t>
  </si>
  <si>
    <t>venice film festival (1), zurich film festival (1), new york film festival (1), bfi london film festival (1), mill valley film festival (1), filmekimi (1), rio de janeiro international film festival (1), kyiv critics' week (1), middleburg film festival (1), leiden international film festival (1), scad savannah film festival (1), limited (4), blank (38), american film festival (1), stockholm international film festival (1), moma - the contenders (1), astor theatre, melbourne (1), premiere (1), internet (2), hong kong international film festival (1), opening film (1), marie claire film festival (1), international film festival mannheim-heidelberg (1)</t>
  </si>
  <si>
    <t>Mr. Blake at Your Service!</t>
  </si>
  <si>
    <t>tt18224752</t>
  </si>
  <si>
    <t>Compl‚àö¬Ætement Cram‚àö¬© !</t>
  </si>
  <si>
    <t>Since his wife's death, Andrew Blake is depressed. In an ultimate impetus, he leaves London to go back to France, in the house he met her. This journey through happy days memories won't go as planned.</t>
  </si>
  <si>
    <t>A tale of second chances, served with elegance</t>
  </si>
  <si>
    <t>Comedy, Drama, Romance</t>
  </si>
  <si>
    <t>superprod, bidibul productions, film fund luxembourg, cnc</t>
  </si>
  <si>
    <t>France, Luxembourg</t>
  </si>
  <si>
    <t>Eugenie Anselin, Anne Brione, Philippe Meyrer, ‚àö√¢milie Dequenne, Hugo Malpeyre, John Malkovich, Al Ginter, Christel Henon, Fanny Ardant, Daniel Kova∆í√ß, Philippe Bas, Konstantin Rommelfangen</t>
  </si>
  <si>
    <t>Gilles Legardinier</t>
  </si>
  <si>
    <t>St‚àö¬©phane Le Parc</t>
  </si>
  <si>
    <t>Gilles Legardinier, Christel Henon, Yann Samuell</t>
  </si>
  <si>
    <t>Lilian Eche, Cl‚àö¬©ment Calvet, Christelle Henon, J‚àö¬©r‚àö¬©mie Fajner</t>
  </si>
  <si>
    <t>Erwann Chandon</t>
  </si>
  <si>
    <t>/hpszN3PHW9ubsKcrCia1g6y8mAr.jpg</t>
  </si>
  <si>
    <t>mr. blake at your service!</t>
  </si>
  <si>
    <t>blank (18), internet (1), przeglad nowego kina francuskiego (1), san diego international film festival (1), limited (2)</t>
  </si>
  <si>
    <t>What Happens Later</t>
  </si>
  <si>
    <t>tt19890316</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</si>
  <si>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</si>
  <si>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They missed their connection.</t>
  </si>
  <si>
    <t>Romance, Comedy</t>
  </si>
  <si>
    <t>ten acre films, rockhill studios, das films, prowess pictures</t>
  </si>
  <si>
    <t>Patricia Rouse, Meg Ryan, David Duchovny, Hal Liggett, Jared Rogers, Will Reed, Rob Gilchrist</t>
  </si>
  <si>
    <t>Meg Ryan</t>
  </si>
  <si>
    <t>Bartosz Nalazek</t>
  </si>
  <si>
    <t>Kirk Lynn, Meg Ryan, Steven Dietz</t>
  </si>
  <si>
    <t>Steve Shapiro, Meg Ryan, Blake Elder, Michael Goyette, David Duchovny, Ken Whitney, Jonathan Duffy, Laura D. Smith, Kelly Williams, Andrew Karpen, Liz Whitney, Kerri Elder, Kent Sanderson, Kristin Mann</t>
  </si>
  <si>
    <t>David Boman</t>
  </si>
  <si>
    <t>/oSAdS03j8zbjv35gKdjrIL5snw1.jpg</t>
  </si>
  <si>
    <t>what happens later</t>
  </si>
  <si>
    <t>blank (10), limited (1), bcn film fest (1), internet (2)</t>
  </si>
  <si>
    <t>Godzilla Minus One</t>
  </si>
  <si>
    <t>tt23289160</t>
  </si>
  <si>
    <t>ja</t>
  </si>
  <si>
    <t>‚Äû√á¬•‚Äû√á‚àè‚Äû√â¬©-1.0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</si>
  <si>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</si>
  <si>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</si>
  <si>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Science Fiction, Horror, Action</t>
  </si>
  <si>
    <t>toho, toho studios, robot communications</t>
  </si>
  <si>
    <t>Japan</t>
  </si>
  <si>
    <t>English, √ä√≥‚Ä¢√ä√∫¬®√ã‚Ñ¢√ª</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</si>
  <si>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</si>
  <si>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Takashi Yamazaki</t>
  </si>
  <si>
    <t>K‚âà√ßz‚âà√ß Shibazaki</t>
  </si>
  <si>
    <t>Keichiiro Moriya, Kenji Yamada, Shuji Abe, Minami Ichikawa, Hisashi Usui, Kazuaki Kishida, Go Abe</t>
  </si>
  <si>
    <t>Naoki Sato, Akira Ifukube</t>
  </si>
  <si>
    <t>/2E2WTX0TJEflAged6kzErwqX1kt.jpg</t>
  </si>
  <si>
    <t>godzilla minus one</t>
  </si>
  <si>
    <t>tokyo international film festival (1), premiere (1), blank (35), limited (10), copenhagen (1), dvd and blu-ray premiere (1), zaragoza (1), subtitled version (4), early release (1), barcelona (1), event release (1), barcelona- phenomena (1), internet (7), black and white version (4), japanese film festival (2), re-release (1), dvd &amp; blu-ray (1)</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</si>
  <si>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</si>
  <si>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</si>
  <si>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</si>
  <si>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</si>
  <si>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Comedy, Fantasy</t>
  </si>
  <si>
    <t>a24, square peg, saturn films</t>
  </si>
  <si>
    <t>English, Fran‚àö√üais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</si>
  <si>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</si>
  <si>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</si>
  <si>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Benjamin Loeb</t>
  </si>
  <si>
    <t>Lars Knudsen, Jacob Jaffke, Ari Aster, Tyler Campellone, Nicolas Cage</t>
  </si>
  <si>
    <t>Owen Pallett</t>
  </si>
  <si>
    <t>/2RSMu2iMDCdMKmvBWWvcmE8vjMj.jpg</t>
  </si>
  <si>
    <t>dream scenario</t>
  </si>
  <si>
    <t>toronto international film festival (1), fantastic fest (1), zurich film festival (1), film festival ghent (1), chicago international film festival (1), sitges international fantastic film festival (1), filmekimi (1), montclair film festival (1), philadelphia film festival (1), scad savannah film festival (1), san diego international film festival (1), leiden international film festival (1), indie memphis film festival (1), mumbai international film festival (1), american film festival (1), denver film festival (1), blank (36), limited (2), stockholm international film festival (1), italian speaking region (1), night visions festival (1), french speaking region (1), troms√∏ international film festival (1), fantasy filmfest white nights (1), german speaking region (1), alicante (1), premiere (2), luxembourg city film festival (1), internet (1), tv premiere (1)</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</si>
  <si>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</si>
  <si>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</si>
  <si>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</si>
  <si>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</si>
  <si>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Action, Adventure, Thriller</t>
  </si>
  <si>
    <t>yash raj films, first step productions, etalon-film, fps productions, sk-film</t>
  </si>
  <si>
    <t>Austria, India, Russia, Turkey</t>
  </si>
  <si>
    <t>English, ‚Ä°¬ßœÄ‚Ä°¬ß√∏‚Ä°¬ß¬Æ‚Ä°‚Ä¢√ß‚Ä°¬ß¬∂‚Ä°‚Ä¢√Ñ, Ti¬∑‚à´√∏ng Vi¬∑¬™√°t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</si>
  <si>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</si>
  <si>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Maneesh Sharma</t>
  </si>
  <si>
    <t>Anay Goswami</t>
  </si>
  <si>
    <t>Aditya Chopra, Shridhar Raghavan, Irshad Kamil, Anckur Chaudhry, Amitabh Bhattacharya</t>
  </si>
  <si>
    <t>Sanjay Shivalkar, Aditya Chopra, Sudhanshu Kumar</t>
  </si>
  <si>
    <t>Tanuj Tiku, Pritam Chakraborty</t>
  </si>
  <si>
    <t>/2hsZrii8zXsk765YKKActVhIjTE.jpg</t>
  </si>
  <si>
    <t>tiger 3</t>
  </si>
  <si>
    <t>blank (15), limited (1), internet (2)</t>
  </si>
  <si>
    <t>Wish</t>
  </si>
  <si>
    <t>tt11304740</t>
  </si>
  <si>
    <t>Asha, a sharp-witted idealist, makes a wish so powerful that it is answered by a cosmic force ‚Äö√Ñ√¨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</si>
  <si>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Be careful what you wish for.</t>
  </si>
  <si>
    <t>Animation, Family, Fantasy, Adventure</t>
  </si>
  <si>
    <t>walt disney animation studios</t>
  </si>
  <si>
    <t>Ariana DeBose, Chris Pine, Keone Young, Harvey Guill‚àö¬©n, Angelique Cabral, Heather Matarazzo, Jennifer Kumiyama, Nasim Pedrad, Nicole Lynn Evans, Abraham Sigler, Ef‚àö¬©,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</si>
  <si>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</si>
  <si>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</si>
  <si>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</si>
  <si>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Dave Metzger</t>
  </si>
  <si>
    <t>/m9ckCVKU9vW3Dxc8hbodx7mjJbe.jpg</t>
  </si>
  <si>
    <t>wish</t>
  </si>
  <si>
    <t>hollywood, los angeles, usa (1), premiere (2), shanghai (1), blank (62), cis (1), french speaking region (1), internet (3), moma - the contenders (1)</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</si>
  <si>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</si>
  <si>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</si>
  <si>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</si>
  <si>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</si>
  <si>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</si>
  <si>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</si>
  <si>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Germany, United States of America</t>
  </si>
  <si>
    <t>Josh Rivera, Vaughan Reilly, Max Raphael, Scott Folan, Clemens Schick, Samia Hofmann, Burn Gorman, Florian Burgkart, Tim Torok, Irene B‚àö‚àÇhm, Cameron MacConomy, Kyra Reinert, Luna Steeples, Am‚àö¬©lie Hoeferle, Steven McMichael, Riley Chung, Kjell Brutscheidt, Honor Gillies, Viola Davis, Dexter Sol Ansell, Dakota Shapiro, Ghaith Saleh, Ayomide Adegun, Zo‚àö¬¥ Renee, Aamer Husain, Jonas Martens, Luna Kuse, Mackenzie Lansing, Emma Frieda Br‚àö¬∫ggler,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</si>
  <si>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Francis Lawrence</t>
  </si>
  <si>
    <t>Jo Willems</t>
  </si>
  <si>
    <t>Michael Lesslie, Suzanne Collins, Michael Arndt</t>
  </si>
  <si>
    <t>Nina Jacobson, Francis Lawrence, Suzanne Collins, Jim Miller, Tim Palen, Mika Saito, Brad Simpson</t>
  </si>
  <si>
    <t>James Newton Howard</t>
  </si>
  <si>
    <t>/lrkOYL5GBTFW9cgs9RlojxAcZZF.jpg</t>
  </si>
  <si>
    <t>the hunger games: the ballad of songbirds &amp; snakes</t>
  </si>
  <si>
    <t>lucca comics &amp; games (1), premiere (2), bfi imax waterloo (1), blank (50)</t>
  </si>
  <si>
    <t>Omen</t>
  </si>
  <si>
    <t>tt21086802</t>
  </si>
  <si>
    <t>Augure</t>
  </si>
  <si>
    <t>After spending years in Belgium, a young Congolese man returns to his birthplace of Kinshasa to confront the intricacies of his family and culture.</t>
  </si>
  <si>
    <t>A story about love, family, and the pursuit of happiness.</t>
  </si>
  <si>
    <t>wrong men, new amsterdam film company, serendipity films, tosala films, big world cinema, red sea fund, special touch studios, radicalmedia</t>
  </si>
  <si>
    <t>Belgium, Congo, France, Netherlands, Saudi Arabia, South Africa, United States of America</t>
  </si>
  <si>
    <t>English, Fran‚àö√üais, , Kiswahili</t>
  </si>
  <si>
    <t>Chim‚àö¬Æne Barthez, Bongeziwe Mabandla, Yves-Marina Gnahoua, H‚àö¬©noc Kiyombo, Romain Ndomba, Marcel Otete Kabeya, Denis Mpunga, Lucie Debay, Eliane Umuhire, Guetty Lembe, Marc Zinga, Linda Ikwa</t>
  </si>
  <si>
    <t>Baloji Tshiani</t>
  </si>
  <si>
    <t>Joachim Philippe</t>
  </si>
  <si>
    <t>Beno‚àö√Üt Roland</t>
  </si>
  <si>
    <t>Liesa Van der Aa</t>
  </si>
  <si>
    <t>/2HgCEfROW5U3dyBwXgT3ztkOBWq.jpg</t>
  </si>
  <si>
    <t>omen</t>
  </si>
  <si>
    <t>yes</t>
  </si>
  <si>
    <t>Next Goal Wins</t>
  </si>
  <si>
    <t>tt10767052</t>
  </si>
  <si>
    <t>Dutch coach Thomas Rongen attempts the nearly impossible task of turning the American Samoa soccer team from perennial losers into winners.</t>
  </si>
  <si>
    <t>Be happy.</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</si>
  <si>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</si>
  <si>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</si>
  <si>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</si>
  <si>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t>
  </si>
  <si>
    <t>Lachlan Milne</t>
  </si>
  <si>
    <t>Taika Waititi, Iain Morris</t>
  </si>
  <si>
    <t>Kathryn Dean, Mike Brett, Taika Waititi, Will Tennant, Steve Jamison, Andy Serkis, Garrett Basch, Jonathan Cavendish</t>
  </si>
  <si>
    <t>Michael Giacchino</t>
  </si>
  <si>
    <t>/xTQCL1zGugIck8MgvJ2lXSrxENR.jpg</t>
  </si>
  <si>
    <t>next goal wins</t>
  </si>
  <si>
    <t>toronto international film festival (1), leiden international film festival (1), mar del plata film festival (1), american film festival (1), blank (38), limited (1), internet (1)</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</si>
  <si>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</si>
  <si>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</si>
  <si>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</si>
  <si>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</si>
  <si>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</si>
  <si>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</si>
  <si>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Todd Haynes</t>
  </si>
  <si>
    <t>Christopher Blauvelt</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</si>
  <si>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</si>
  <si>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</si>
  <si>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Marcelo Zarvos</t>
  </si>
  <si>
    <t>/zhV7B610l7hjlri4ywikJ18ONuq.jpg</t>
  </si>
  <si>
    <t>may december</t>
  </si>
  <si>
    <t>cannes film festival (1), sydney film festival (1), new zealand international film festival (1), deauville american film festival (1), new york film festival (1), el gouna film festival (1), reykjavik international film festival (1), zurich film festival (1), bfi london film festival (1), hamptons international film festival (1), rio de janeiro international film festival (1), mill valley film festival (1), filmekimi (1), newport beach film festival (1), chicago international film festival (1), adelaide film festival (1), filmcolumbia film festival (1), montclair film festival (1), middleburg film festival (1), scad savannah film festival (1), leiden international film festival (1), indie memphis film festival (1), moma - the contenders (1), blank (29), limited (2), academia de cine (1), madrid (1), premiere (1), internet (9), capri hollywood film festival (1), troms√∏ international film festival (1), g√∂teborg film festival (1), limited release (1), shanghai international film festival (1)</t>
  </si>
  <si>
    <t>Saltburn</t>
  </si>
  <si>
    <t>tt17351924</t>
  </si>
  <si>
    <t>Struggling to find his place at Oxford University, student Oliver Quick finds himself drawn into the world of the charming and aristocratic Felix Catton, who invites him to Saltburn, his eccentric family's sprawling estate, for a summer never to be forgotten.</t>
  </si>
  <si>
    <t>We're all about to lose our minds.</t>
  </si>
  <si>
    <t>Drama, Comedy, Thriller</t>
  </si>
  <si>
    <t>luckychap entertainment, mrc, lie still</t>
  </si>
  <si>
    <t>United Kingdom, United States of America</t>
  </si>
  <si>
    <t>Archie Madekwe, Will Gibson, Julian Lloyd Patten, Reece Shearsmith, Tom‚àö¬∞s Barry, Carey Mulligan, Gabriel Bisset-Smith, Richard Cotterell, Glyn Grimstead, Paul Rhys, Lolly Adefope, Aleah Aberdeen, Dorothy Atkinson, Rosamund Pike, Tasha Lim, Joshua Samuels, Joshua McGuire, Alison Oliver, Matt Carver, Jacob Elordi, Shaun Dooley, Ewan Mitchell, Olivia Hanrahan-Barnes, Millie Kent, Sadie Soverall, Saga Spjuth-S‚àö¬ßll, Andy Brady, Richard E. Grant, Barry Keoghan</t>
  </si>
  <si>
    <t>Emerald Fennell</t>
  </si>
  <si>
    <t>Linus Sandgren</t>
  </si>
  <si>
    <t>Margot Robbie, Tom Ackerley, Emerald Fennell, Tim Wellspring, Josey McNamara</t>
  </si>
  <si>
    <t>Anthony B. Willis</t>
  </si>
  <si>
    <t>/zGTfMwG112BC66mpaveVxoWPOaB.jpg</t>
  </si>
  <si>
    <t>saltburn</t>
  </si>
  <si>
    <t>telluride film festival (1), world premiere (1), fantastic fest (1), opening night film (1), bfi london film festival (1), beyond fest (1), zurich film festival (1), mill valley film festival (1), chicago international film festival (1), middleburg film festival (1), scad savannah film festival (1), adelaide film festival (1), austin film festival (1), philadelphia film festival (1), brisbane international film festival (1), stockholm international film festival (1), los angeles premiere (1), blank (5), limited (1), academia de cine (1), madrid (1), internet (15)</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</si>
  <si>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</si>
  <si>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</si>
  <si>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</si>
  <si>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</si>
  <si>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</si>
  <si>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J‚àö¬µgeda, Joe Bostick, James Goldman, Nell Verlaque, Hailey Kittle, Sylvain Plasse, Dorian Giordano, Lynne Griffin, Tonic, Patrick Dempsey, Katherine Trowell, Rick Hoffman, Charlie Storey, Erika Nonato, Milo Manheim, Tim Dillon, Xavier Sabeta, Shiloh O‚Äö√Ñ√¥Reilly,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</si>
  <si>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Eli Roth</t>
  </si>
  <si>
    <t>Milan Chadima</t>
  </si>
  <si>
    <t>Eli Roth, Jeff Rendell</t>
  </si>
  <si>
    <t>Eli Roth, Gary Barber, Kate Harrison Karman, Jeff Rendell, Peter Oillataguerre, Chris Stone, Roger Birnbaum, Greg Denny</t>
  </si>
  <si>
    <t>Brandon Roberts</t>
  </si>
  <si>
    <t>/f5f3TEVst1nHHyqgn7Z3tlwnBIH.jpg</t>
  </si>
  <si>
    <t>thanksgiving</t>
  </si>
  <si>
    <t>m√≥rbido film fest (1), premiere (1), blank (38), comic con experience (1), internet (1), red lorry film festival (1)</t>
  </si>
  <si>
    <t>Mars Express</t>
  </si>
  <si>
    <t>tt26915336</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</si>
  <si>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</si>
  <si>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Built to serve. Programmed to live.</t>
  </si>
  <si>
    <t>Animation, Science Fiction, Action, Mystery</t>
  </si>
  <si>
    <t>g‚àö¬©b‚àö¬©ka films, je suis bien content, les productions de la plume, amopix, france 3 cin‚àö¬©ma, everybody on deck, ev.l prod, shine conseils</t>
  </si>
  <si>
    <t>France</t>
  </si>
  <si>
    <t>Barbara Delsol, Marie Bouvet, Genevi‚àö¬Æve Doang, Emmanuel Bonami, Laurent Sarfati, Lo‚àö√òc Guingand, S‚àö¬©bastien Chassagne, Thomas Roditi, Nathalie Karsenty, Maxime Pacaud, Nicolas Justamon, Charlotte Juni‚àö¬Ære, Thierry Jahn, J‚àö¬©r‚àö¬©mie B‚àö¬©drune, Usul, Fanny Vambacas, Ang‚àö¬©line Henneguelle, Nancy Guyon, Marthe Keller, Delphine Braillon, Daniel Njo Lob‚àö¬©, Marie Chevalot, Na‚àö√òs Desiles, Renaud Jesionek, Serge Faliu, Audrey Stupovski, Sebastien Bizzotto, Martial Le Minoux, Mathieu Amalric, Cerise Vaubien, L‚àö¬©a Drucker, Eilias Changuel, Catherine Tartara</t>
  </si>
  <si>
    <t>J‚àö¬©r‚àö¬©mie P‚àö¬©rin</t>
  </si>
  <si>
    <t>Laurent Sarfati, J‚àö¬©r‚àö¬©mie P‚àö¬©rin</t>
  </si>
  <si>
    <t>Didier Creste, Ga‚àö¬¥lle Bayssi‚àö¬Ære</t>
  </si>
  <si>
    <t>Fred Avril, Philippe Monthaye</t>
  </si>
  <si>
    <t>/g8rUn0khoYB3G4gPPGTF1Xv9Olu.jpg</t>
  </si>
  <si>
    <t>mars express</t>
  </si>
  <si>
    <t>cannes film festival (1), annecy festival (1), fantasy filmfest (1), oldenburg international film festival (1), trieste science+fiction festival (1), thessaloniki international film festival (1), taipei golden horse film festival (1), voilah! french film festival (1), blank (11), g√∂teborg film festival (1), moscow international film festival (1), internet (2), limited (1), przeglad nowego kina francuskiego (1), mykolaichuk open audience film festival (1)</t>
  </si>
  <si>
    <t>Semmelweis</t>
  </si>
  <si>
    <t>tt20672356</t>
  </si>
  <si>
    <t>hu</t>
  </si>
  <si>
    <t>Set in 19th century Vienna, Ignac Semmelweis, a short-tempered but passionate doctor, delivers babies and carries out autopsies on a daily basis while looking for the cause of puerperal fever, the mysterious epidemic that decimates patients in the hospital.</t>
  </si>
  <si>
    <t>He saw the invisible, he did the impossible</t>
  </si>
  <si>
    <t>History, Drama</t>
  </si>
  <si>
    <t>film positive productions, szupermodern st‚àö‚à´di‚àö‚â•</t>
  </si>
  <si>
    <t>Hungary</t>
  </si>
  <si>
    <t>Magyar</t>
  </si>
  <si>
    <t>Korn‚àö¬©l Simon, Mariann Herm‚àö¬∞nyi, Nikolett T‚àö‚â•th, Gloria Ormandlaky, ‚àö√Ögoston Ken‚àö¬©z, ‚àö√Ökos Orosz, N‚àö¬∞ndor Varju, Toma Hrisztov, J‚àö‚â•zsef J‚àö¬∞mbor, ‚àö√Ögnes Olasz, ‚àö√Öd‚àö¬∞m L‚àö¬∞bodi, G‚àö¬∞bor D‚àö¬∞vid N‚àö¬∞das, K‚àö¬∞roly Hajduk, Antal Cserna, Lilla Kizlinger, Veronika Vas, Lili Bajor, Katica Nagy, Ferenc Lengyel, Tam‚àö¬∞s Varga, Kriszti‚àö¬∞n Kolovratnik, Tam‚àö¬∞s Kov‚àö¬∞cs, Kriszti‚àö¬∞n Szil‚àö¬∞gyi, Istv‚àö¬∞n Szacsvai, P‚àö¬©ter V‚àö¬∞ri-Kov‚àö¬∞cs, Lajos Kov‚àö¬∞cs, Ferenc Elek, Attila Csap‚àö‚â•, Andrea Waskovics, Krisztina Vad‚àö¬∞sz, Tomi Kosynus, Andorai P‚àö¬©ter Kriszti‚àö¬∞n, Istv‚àö¬∞n Znamen‚àö¬∞k, S‚àö‚â•lyom Krist‚àö‚â•f, Bal‚àö¬∞zs B‚àö‚àÇlk‚àö¬©ny, Gy‚àö‚àÇrgy M‚àö¬©h‚àö¬©sz, L‚àö¬∞szl‚àö‚â• G‚àö¬∞lffi, T‚àö‚â†mea Virga, M‚àö¬∞ria D‚àö¬©r, Kurta Nik‚àö¬©, Laurent Winkler, Nelli Sz‚âà¬±cs, M‚àö¬∞rton Patk‚àö‚â•s, Mikl‚àö‚â•s H. Vecsei, Anna Gy‚àö‚àÇrgyi, Tuli‚àö¬∞n Acz‚àö¬©l, J‚àö‚à´lia Mentes, Blanka M‚àö¬©sz‚àö¬∞ros, Csenge Orosz, Em‚àö‚àÇke Zsigmond, Vanda Kov‚àö¬∞cs</t>
  </si>
  <si>
    <t>Lajos Koltai</t>
  </si>
  <si>
    <t>Andr‚àö¬∞s Nagy</t>
  </si>
  <si>
    <t>Bal‚àö¬∞zs Maruszki, Anett Kormos</t>
  </si>
  <si>
    <t>Tam‚àö¬∞s Lajos</t>
  </si>
  <si>
    <t>Attila Pacsay</t>
  </si>
  <si>
    <t>/ol6lDiWvWIDZsElj2sfBwQF9IBJ.jpg</t>
  </si>
  <si>
    <t>semmelweis</t>
  </si>
  <si>
    <t>blank (2), taipei film festival (1), lubuskie film summer (1), international film festival of kerala (1), internet (2)</t>
  </si>
  <si>
    <t>The Shift</t>
  </si>
  <si>
    <t>tt19406606</t>
  </si>
  <si>
    <t>Following a tense encounter with a mysterious stranger with otherworldly powers, a man is banished to a parallel, tyrannical, Earth, where he fights to get back the woman he loves.</t>
  </si>
  <si>
    <t>Infinite worlds. Endless choices. One way out.</t>
  </si>
  <si>
    <t>Science Fiction</t>
  </si>
  <si>
    <t>nook lane entertainment, pinnacle peak pictures</t>
  </si>
  <si>
    <t>Sean Astin, Jordan Walker Ross, Joey Shear, Allen Golden, Caleb Young, Leslie Sides, Carla Christina Contreras, Teck, Kara Mae Khan, Kevin Lawson, Landon Fuqua, Kristina DiGiovanni, Joey Lay, Presley Bowlan, Gregory Tharpe, Kenneth Nance Jr., Jason Marsden, Paras Patel, Tyler Merritt, Dimitri Robinson, Clinton Waara, Elizabeth Tabish, Tommy Glenn, Ginger Cressman, Jacob Gaines, Emily Rose, Davis Carpenter, Adam Mirra, Luanne Stratton, Jordan Alexandra, Greg Wike, Erin Heasley, Nanayaa Prempeh, Billy Todd, Brooke Leigh Armstrong Brooklyn, Brandon Dunn, Nick Logan, John Billingsley, Rose Reid, Adam Mitchell, Kristoffer Polaha, Lester Milligan, Alan Walker, Elizabeth Becka, Owen Carpenter, Nolan North, Shaun Gilmer, Wade Hammond, Eden Lee, Neal McDonough, Heather Willey, Jaszel Harris</t>
  </si>
  <si>
    <t>Brock Heasley</t>
  </si>
  <si>
    <t>Edd Lukas</t>
  </si>
  <si>
    <t>Jake Christensen, Brock Heasley, Daniel Harmon</t>
  </si>
  <si>
    <t>Ken Carpenter, Brock Heasley, Dallas Jenkins, Neal McDonough</t>
  </si>
  <si>
    <t>Matthew S. Nelson, Dan Haseltine</t>
  </si>
  <si>
    <t>/voLxg0emuu862JAgFwM4yTH3eGj.jpg</t>
  </si>
  <si>
    <t>the shift</t>
  </si>
  <si>
    <t>168 film festival (1), blank (8), limited (1), internet (1)</t>
  </si>
  <si>
    <t>Eileen</t>
  </si>
  <si>
    <t>tt5198890</t>
  </si>
  <si>
    <t>During a bitter 1964 Massachusetts winter, young secretary Eileen becomes enchanted by Rebecca, the glamorous new counselor at the prison where she works. Their budding friendship takes a twisted turn when Rebecca reveals a dark secret ‚Äö√Ñ√Æ throwing Eileen onto a sinister path.</t>
  </si>
  <si>
    <t>Crime has never felt so intoxicating.</t>
  </si>
  <si>
    <t>Thriller, Crime</t>
  </si>
  <si>
    <t>likely story, film4 productions, omniscient films, fifth season</t>
  </si>
  <si>
    <t>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t>
  </si>
  <si>
    <t>William Oldroyd</t>
  </si>
  <si>
    <t>Ari Wegner</t>
  </si>
  <si>
    <t>Ottessa Moshfegh, Luke Goebel</t>
  </si>
  <si>
    <t>Stefanie Azpiazu, Ottessa Moshfegh, Jamin O'Brien, Luke Goebel, Anthony Bregman, William Oldroyd, Peter Cron, Julia Oh, Ollie Madden</t>
  </si>
  <si>
    <t>Richard Reed Parry</t>
  </si>
  <si>
    <t>/x6kedRqcj8jH0cik9p1jzkDwZvM.jpg</t>
  </si>
  <si>
    <t>eileen</t>
  </si>
  <si>
    <t>sundance film festival (1), woodstock film festival (1), nashville film festival (1), zurich film festival (1), bfi london film festival (1), new hampshire film festival (1), middleburg film festival (1), philadelphia film festival (1), scad savannah film festival (1), virginia film festival (1), montclair film festival (1), american film festival (1), thessaloniki international film festival (1), stockholm international film festival (1), blank (5), limited (3), internet (5)</t>
  </si>
  <si>
    <t>Animal</t>
  </si>
  <si>
    <t>tt13751694</t>
  </si>
  <si>
    <t>The hardened son of a powerful industrialist returns home after years abroad and vows to take bloody revenge on those threatening his father's life.</t>
  </si>
  <si>
    <t>A father-son bond carved in blood</t>
  </si>
  <si>
    <t>Action, Crime, Drama</t>
  </si>
  <si>
    <t>t-series, bhadrakali pictures, st film</t>
  </si>
  <si>
    <t>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</si>
  <si>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Sandeep Reddy Vanga</t>
  </si>
  <si>
    <t>Amit Roy</t>
  </si>
  <si>
    <t>Ashim Kemson, Sandeep Reddy Vanga, Saurabh Gupta, Pranay Reddy Vanga, Jaani, Raj Shekhar, Suresh Bandaru, Gurinder Seagal, Manoj Muntashir, Garima Wahal, Siddharth Singh, Bhupinder Babbal, Manan Bhardwaj</t>
  </si>
  <si>
    <t>Pranay Reddy Vanga, Mahipal Karan Rathore, Murad Khetani, Bhushan Kumar, Krishan Kumar</t>
  </si>
  <si>
    <t>Ashim Kemson, Pritam Chakraborty, Vishal Mishra, Jaani, Harshavardhan Rameshwar, Gurinder Seagal, Shreyas Puranik, Bhupinder Babbal, Manan Bhardwaj</t>
  </si>
  <si>
    <t>/hr9rjR3J0xBBKmlJ4n3gHId9ccx.jpg</t>
  </si>
  <si>
    <t>animal</t>
  </si>
  <si>
    <t>limited (2), blank (10), internet (2)</t>
  </si>
  <si>
    <t>Abang Adik</t>
  </si>
  <si>
    <t>tt27445004</t>
  </si>
  <si>
    <t>zh</t>
  </si>
  <si>
    <t>√Ç√ò√•√à√âŒ©√à√π√≠√ÇœÄ¬•</t>
  </si>
  <si>
    <t>Abang and Adi are undocumented orphans living in present-day Malaysia. While the older brother, a deaf mute, has resigned himself to a life of poverty, his younger sibling burns with indignation. A brutal accident upsets the fragile balance of their relationship.</t>
  </si>
  <si>
    <t>In This Cruel World, At Least I Have You.</t>
  </si>
  <si>
    <t>Drama, Crime</t>
  </si>
  <si>
    <t>more entertainment, mm2 entertainment, new century southward development</t>
  </si>
  <si>
    <t>Malaysia, Singapore, Taiwan</t>
  </si>
  <si>
    <t>√ÇœÄ√∏√Ç‚àë√ª√ã√ò√π / √Ç¬™¬£√Ç‚àë√ª√ã¬©¬±, √ä√¥√Ü√à√Ñ√∂√ã√ò√π, Bahasa melayu</t>
  </si>
  <si>
    <t>April Chan, Serene Lim, Bront Palarae, Wu Kang-ren, Jack Tan, Tan Kim Wang</t>
  </si>
  <si>
    <t>Jin Ong</t>
  </si>
  <si>
    <t>Kartik Vijay</t>
  </si>
  <si>
    <t>Pui-Yee Lam, Alex C. Lo, Nicole Teoh, Angelica Lee Sin-Jie</t>
  </si>
  <si>
    <t>Wen Hung, Ryota Katayama</t>
  </si>
  <si>
    <t>/notp9F7IvfWyiDP8FKiZqGhdoOh.jpg</t>
  </si>
  <si>
    <t>abang adik</t>
  </si>
  <si>
    <t>fribourg international film festival (1), premiere (1), far east film festival (1), taipei golden horse film festival (1), five flavours film festival (1), qcinema international film festival (1), jogja-netpac asian film festival (1), blank (10), osaka asian film festival (1), helsinki cine aasia (1), internet (4), malaysia international film festival (1), asian world film festival (1), new zealand international film festival (1)</t>
  </si>
  <si>
    <t>Wonka</t>
  </si>
  <si>
    <t>tt6166392</t>
  </si>
  <si>
    <t>Willy Wonka ‚Äö√Ñ√¨ chock-full of ideas and determined to change the world one delectable bite at a time ‚Äö√Ñ√¨ is proof that the best things in life begin with a dream, and if you‚Äö√Ñ√¥re lucky enough to meet Willy Wonka, anything is possible.</t>
  </si>
  <si>
    <t>Every good thing in this world started with a dream.</t>
  </si>
  <si>
    <t>Comedy, Family, Fantasy</t>
  </si>
  <si>
    <t>warner bros. pictures, village roadshow pictures, the roald dahl story company, heyday films, domain entertainment</t>
  </si>
  <si>
    <t>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Timoth‚àö¬©e Chalamet, Jim Carter, Lola Shepelev, Natasha Rothwell, Murray McArthur, Olivia Colman</t>
  </si>
  <si>
    <t>Paul King</t>
  </si>
  <si>
    <t>Chung Chung-hoon</t>
  </si>
  <si>
    <t>Paul King, Roald Dahl, Simon Farnaby</t>
  </si>
  <si>
    <t>Anthony Tittanegro, Cate Adams, Luke Kelly, Michael Siegel, David Heyman, Rosie Alison, Pete Chiappetta, Tim Wellspring, Alexandra Derbyshire, Andrew Lary</t>
  </si>
  <si>
    <t>Joby Talbot</t>
  </si>
  <si>
    <t>/qhb1qOilapbapxWQn9jtRCMwXJF.jpg</t>
  </si>
  <si>
    <t>wonka</t>
  </si>
  <si>
    <t>london (1), premiere (1), blank (50), tilburg (1), lucia movie night (1), internet (2)</t>
  </si>
  <si>
    <t>Robot Dreams</t>
  </si>
  <si>
    <t>tt13429870</t>
  </si>
  <si>
    <t>A lonely dog's friendship with his robot companion takes a sad turn when an unexpected malfunction forces him to abandon Robot at the beach. Will Dog ever meet Robot again?</t>
  </si>
  <si>
    <t>Experience a once-in-a-lifetime friendship beyond your wildest dreams</t>
  </si>
  <si>
    <t>Animation, Drama, Comedy, Science Fiction</t>
  </si>
  <si>
    <t>arcadia motion pictures, lokizfilms, noodles production, les films du worso</t>
  </si>
  <si>
    <t>France, Spain</t>
  </si>
  <si>
    <t>No Language</t>
  </si>
  <si>
    <t>Jos‚àö¬© Garc‚àö‚â†a Tos, Graciela Molina, Ivan Labanda, Tito Trifol, Rafa Calvo, Esther Solans, Jos‚àö¬© Luis Mediavilla</t>
  </si>
  <si>
    <t>Pablo Berger</t>
  </si>
  <si>
    <t>Pablo Berger, Sara Varon</t>
  </si>
  <si>
    <t>‚àö√Öngel Dur‚àö¬∞ndez, Sandra Tapia D‚àö‚â†az, Ibon Cormenzana, Ignasi Estap‚àö¬©, Pablo Berger</t>
  </si>
  <si>
    <t>Alfonso Vilallonga</t>
  </si>
  <si>
    <t>/ds402Qq09ybgBcXKiQNTZfzsP5o.jpg</t>
  </si>
  <si>
    <t>robot dreams</t>
  </si>
  <si>
    <t>cannes film festival (1), annecy international animation film festival (1), new zealand international film festival (1), octopus film festival (1), sarajevo film festival (1), fantasy filmfest (1), toronto international film festival (1), movie movie anifest (1), oldenburg international film festival (1), cin√©fest sudbury international film festival (1), charlotte film festival (1), sitges film festival (1), bfi london film festival (1), vienna international film festival (1), opening film (1), bucheon international animation festival (1), chicago international film festival (1), mostra - s√£o paulo international film festival (1), middleburg film festival (1), scad savannah film festival (1), leiden international film festival (1), indie memphis film festival (1), montclair film festival (1), philadelphia film festival (1), mar del plata film festival (1), denver film festival (1), anomaly film festival (1), taipei golden horse film festival (1), international film festival mannheim-heidelberg (1), seville european film festival (2), torino film festival (1), blank (30), troms√∏ international film festival (1), limited (6), g√∂teborg film festival (1), green mountain film festival (1), night visions international film festival (1), framed animation film festival (1), jakarta world cinema (1), re-release (1), cinemateca portuguesa - museu do cinema (1)</t>
  </si>
  <si>
    <t>Migration</t>
  </si>
  <si>
    <t>tt6495056</t>
  </si>
  <si>
    <t>After a migrating duck family alights on their pond with thrilling tales of far-flung places, the Mallard family embarks on a family road trip, from New England, to New York City, to tropical Jamaica.</t>
  </si>
  <si>
    <t>Odd ducks welcome.</t>
  </si>
  <si>
    <t>Family, Comedy, Adventure, Animation</t>
  </si>
  <si>
    <t>universal pictures, illumination</t>
  </si>
  <si>
    <t>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t>
  </si>
  <si>
    <t>Benjamin Renner</t>
  </si>
  <si>
    <t>Benjamin Renner, Mike White</t>
  </si>
  <si>
    <t>Joy Poirel, Chris Meledandri</t>
  </si>
  <si>
    <t>John Powell</t>
  </si>
  <si>
    <t>/dpXxBDi0ut5svjh5fbAqLoaJSq8.jpg</t>
  </si>
  <si>
    <t>migration</t>
  </si>
  <si>
    <t>view conference (1), premiere (2), blank (46), french speaking region (1), limited (1), guadalajara (1), internet (1), tv premiere (1)</t>
  </si>
  <si>
    <t>Poor Things</t>
  </si>
  <si>
    <t>tt14230458</t>
  </si>
  <si>
    <t>Brought back to life by an unorthodox scientist, a young woman runs off with a lawyer on a whirlwind adventure across the continents. Free from the prejudices of her times, she grows steadfast in her purpose to stand for equality and liberation.</t>
  </si>
  <si>
    <t>Defy expectations.</t>
  </si>
  <si>
    <t>Science Fiction, Romance, Comedy</t>
  </si>
  <si>
    <t>searchlight pictures, film4 productions, tsg entertainment, element pictures, limp, fruit tree</t>
  </si>
  <si>
    <t>Ireland, United Kingdom, United States of America</t>
  </si>
  <si>
    <t>English, Fran‚àö√üais, Portugu‚àö‚Ñ¢s</t>
  </si>
  <si>
    <t>G‚àö¬∞bor Patay, Willem Dafoe, Boris Gillot, Emma Stone, Ramy Youssef, Jerrod Carmichael, Jack Barton, Attila Kecskem‚àö¬©thy, Carminho, Andrew Hefler, Vivienne Soan, Christopher Abbott, Jucimar Barbosa, Rapha‚àö¬¥l Thi‚àö¬©ry, Suzy Bemba, Keeley Forsyth, David Bromley, Mark Ruffalo, Patrick de Valette, Donovan Fouassier, Gustavo Gomes, Roderick Hill, Owen Good, Wayne Brett, Damien Bonnard, Tom Stourton, Kate Handford, Attila Dobai, Jerskin Fendrix, Vicki Pepperdine, Dorina Kov‚àö¬∞cs, Laurent Borel, Tam‚àö¬∞s Szab‚àö‚â• Sipos, Jeremy Wheeler, Hubert Benhamdine, Angela Paula Stander, J‚àö¬∞nos Ger‚àö¬©b, Noah Breton, Charlie Hiscock, Istv‚àö¬∞n G‚àö‚àÇz, Laurent Winkler, Kathryn Hunter, John Locke, Hanna Schygulla, Mascuud Dahir, Celina Schleicher, Bruna Asdorian, Yorgos Stefanakos, Margaret Qualley, Emma Hindle, Zen Joshua Poisson, Anders Grundberg, Miles Jovian</t>
  </si>
  <si>
    <t>Yorgos Lanthimos</t>
  </si>
  <si>
    <t>Robbie Ryan</t>
  </si>
  <si>
    <t>Mary Shelley, Tony McNamara, Alasdair Gray</t>
  </si>
  <si>
    <t>Daniel Battsek, Emma Stone, Yorgos Lanthimos, Ed Guiney, Andrew Lowe, Ollie Madden</t>
  </si>
  <si>
    <t>Jerskin Fendrix</t>
  </si>
  <si>
    <t>/kCGlIMHnOm8JPXq3rXM6c5wMxcT.jpg</t>
  </si>
  <si>
    <t>poor things</t>
  </si>
  <si>
    <t>venice film festival (1), telluride film festival (1), cinefest miskolc international film festival (1), helsinki international film festival (1), zurich film festival (1), hamburg film festival (1), new york film festival (1), cinelibri international book&amp;movie festival (1), rio de janeiro international film festival (1), reykjavik international film festival (1), busan international film festival (1), sitges film festival (1), bfi london film festival (1), filmbath film festival (1), bergen international film festival (1), filmekimi (1), scad savannah film festival (1), cambridge film festival (1), leiden international film festival (1), tokyo international film festival (1), mar del plata film festival (1), stockholm international film festival (1), leffest - lisboa film festival (1), taipei golden horse film festival (1), qcinema international film festival (1), barcelona (2), premiere (3), subtitled version (1), singapore international film festival (1), moma - the contenders (1), early access (1), limited (5), blank (41), at dendy newtown &amp; canberra and at ritz cinemas (1), greek film archive (1), internet (4), blu-ray release (1), dvd release (1), red lorry film festival (1), dvd premiere (1), tv premiere (1)</t>
  </si>
  <si>
    <t>The Three Musketeers: Milady</t>
  </si>
  <si>
    <t>tt12672620</t>
  </si>
  <si>
    <t>Les Trois Mousquetaires : Milady</t>
  </si>
  <si>
    <t>D'Artagnan, on a quest to rescue the abducted Constance, runs into the mysterious Milady de Winter again. The tension between the Catholics and the Protestants finally escalates, as the king declares war ‚Äö√Ñ√Æ forcing the now four musketeers into battle. But as the war goes on, they are tested physically, mentally and emotionally.</t>
  </si>
  <si>
    <t>The epic adventure continues...</t>
  </si>
  <si>
    <t>Adventure, Action, Drama</t>
  </si>
  <si>
    <t>path‚àö¬©, m6 films, constantin film, zdf, deaplaneta, umedia, chapter 2</t>
  </si>
  <si>
    <t>France, Germany, Spain, Belgium</t>
  </si>
  <si>
    <t>Dominique Daguier, Damien le D‚àö¬©l‚àö¬©zir, Olivier Le Montagner, Guyl‚àö¬Æne P‚àö¬©an, Jonathan Waite, Fran‚àö√üois Civil, James Flynn, Marc Barb‚àö¬©, Thomas Dedeken, Rapha‚àö¬¥l Mondon, Thomas Espinera, Patrick Mille, Didier Nobletz, Louis Garrel, Vincent Furic, Vicky Krieps, Jean-Paul Roy, Ruben Da Silva, Lyna Khoudri, Kelian Mar‚àö¬©chaux, Vincent Cassel, Camille Rutherford, Eric Ruf, Pio Marma‚àö√ò, Isabelle C‚àö¬•te Willems, Christophe Dimitri R‚àö¬©veille, J‚àö¬©r‚àö¬•me Cachon, Mark Harris, David Coburn, Romain Duris, Eva Green, Alexis Michalik, Vincent Schmitt, Olivier Lanchy, Julien Frison, Arnaud Cassand, Jacob Fortune-Lloyd, Arnaud St‚àö¬©phan, Thibault Vin‚àö√üon, Dominique Valadi‚àö¬©, Ralph Amoussou</t>
  </si>
  <si>
    <t>Martin Bourboulon</t>
  </si>
  <si>
    <t>Nicolas Bolduc</t>
  </si>
  <si>
    <t>Alexandre Dumas, Matthieu Delaporte, Alexandre de La Patelli‚àö¬Ære</t>
  </si>
  <si>
    <t>Dimitri Rassam, Matthieu Prada</t>
  </si>
  <si>
    <t>Guillaume Roussel</t>
  </si>
  <si>
    <t>/3biswIjw14uDVil12nMOxcTAfmH.jpg</t>
  </si>
  <si>
    <t>the three musketeers: milady</t>
  </si>
  <si>
    <t>festival varilux de cinema franc√™s (1), paris (1), premiere (2), blank (30), french speaking region (1), limited (3), dvd and blu-ray premiere (2), internet (2), video premiere (1), le french festival (1), przeglad nowego kina francuskiego (1), tv premiere (1)</t>
  </si>
  <si>
    <t>Ferrari</t>
  </si>
  <si>
    <t>tt3758542</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</si>
  <si>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</si>
  <si>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Passion. Speed. Perfection ‚Äö√Ñ√Æ at any cost</t>
  </si>
  <si>
    <t>stxfilms, forward pass, storyteller productions, ketchup entertainment, esme grace media, cecchi gori usa, red sea fund, iervolino &amp; lady bacardi entertainment</t>
  </si>
  <si>
    <t>United States of America, Italy, United Kingdom, Saudi Arabia</t>
  </si>
  <si>
    <t>Peter Arpesella, Maurizio Cardillo, Pen‚àö¬©lope Cruz, Ben Collins, Edoardo Beraldi, Biagio Caruso, Gabriel Leone, Lino Musella, Jonathan Burteaux, Tommaso Paolucci, Tommaso Basili, Leonardo Caimi, Andrea Fiorillo, Marc Gen‚àö¬©,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Bell‚àö¬Æ,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t>
  </si>
  <si>
    <t>Michael Mann</t>
  </si>
  <si>
    <t>Erik Messerschmidt</t>
  </si>
  <si>
    <t>Brock Yates, Troy Kennedy Martin</t>
  </si>
  <si>
    <t>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Nu‚àö¬±ez, Vahan Yepremyan, Michael Fisk</t>
  </si>
  <si>
    <t>Daniel Pemberton</t>
  </si>
  <si>
    <t>/LyCOcGqOTyTmaXu2TK8LfGveIb.jpg</t>
  </si>
  <si>
    <t>ferrari</t>
  </si>
  <si>
    <t>venice film festival (1), bfi london film festival, surprise film (1), closing film (1), new york film festival (1), leiden international film festival (1), mostra - s√£o paulo international film festival (1), london nft1 (1), premiere (1), blank (40), internet (6), dvd and blu-ray premiere (1)</t>
  </si>
  <si>
    <t>The Bricklayer</t>
  </si>
  <si>
    <t>tt2016303</t>
  </si>
  <si>
    <t>Someone is blackmailing the CIA by assassinating foreign journalists and making it look like the agency is responsible. As the world begins to unite against the U.S., the CIA must lure its most brilliant ‚Äö√Ñ√¨ and rebellious ‚Äö√Ñ√¨ operative out of retirement, forcing him to confront his checkered past while unraveling an international conspiracy.</t>
  </si>
  <si>
    <t>Some secrets are deadly.</t>
  </si>
  <si>
    <t>eclectic pictures, millennium media</t>
  </si>
  <si>
    <t>Teodora Djuric, Michael Siriopoulos, Tim Blake Nelson, Veronica Ferres, Laura Hopper, Ori Pfeffer, Christopher Kikis, Roman Jankovi∆í√ß, Myy Harlin, Konstantin Adaev, Zachary Willis, Ilfenesh Hadera, Cristina Serafini, Anastasia Doumtsis, Oliver Trevena, John T. Woods, Iurii Vashurin, Nina Dobrev, Lili Rich, David Kennedy, Manos Galanis, Akis Sakellariou, Vasilis Kanelopoulos, Aaron Eckhart, Johanna Harlin, Clifton Collins Jr.</t>
  </si>
  <si>
    <t>Renny Harlin</t>
  </si>
  <si>
    <t>Matti Eerik‚àö¬ßinen</t>
  </si>
  <si>
    <t>Paul Lindsay, Hanna Weg, Matt Johnson</t>
  </si>
  <si>
    <t>Gerard Butler, Boaz Davidson, Yariv Lerner, Les Weldon, Jonathan Yunger, Heidi Jo Markel, Rob Van Norden, Erik Lindsay, Jeffrey Greenstein, Avi Lerner, Tanner Mobley, Darina Pavlova, Trevor Short, Danielle Robinson, Alan Siegel</t>
  </si>
  <si>
    <t>Walter Mair</t>
  </si>
  <si>
    <t>/36pYugctLa70NmwMEgXTR1G31Kq.jpg</t>
  </si>
  <si>
    <t>the bricklayer</t>
  </si>
  <si>
    <t>limited (2), blank (26), internet (6), red lorry film festival (1), dvd premiere (1), tv premiere (1)</t>
  </si>
  <si>
    <t>Aquaman and the Lost Kingdom</t>
  </si>
  <si>
    <t>tt9663764</t>
  </si>
  <si>
    <t>Black Manta seeks revenge on Aquaman for his father's death. Wielding the Black Trident's power, he becomes a formidable foe. To defend Atlantis, Arthur (Aquaman) forges an alliance with his imprisoned brother. They must protect the kingdom.</t>
  </si>
  <si>
    <t>The tide is turning.</t>
  </si>
  <si>
    <t>Action, Adventure, Fantasy</t>
  </si>
  <si>
    <t>warner bros. pictures, the safran company, atomic monster, dc films, domain entertainment</t>
  </si>
  <si>
    <t>√ä√¥√Ü√à√Ñ√∂√ã√ò√π, English, √å√Ø√∫√ç¬µ‚â†√è√±¬•/√è¬∞‚àû√è√ë‚Ä†√é√ü√™</t>
  </si>
  <si>
    <t>Michael Beach, Jason Momoa, Patrick Wilson, Samuel Gosrani, Dylan Silver, Jani Zhao, Temuera Morrison, Amber Heard, Michael Oladele, John Rhys-Davies, Jonny Vaughton, Jon Birkbeck, Jack Waldouck, Jonathan Bremner, Indya Moore, Pilou Asb‚àö¬∂k,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Moemoe∆í√Ö Green, Randall Park, Ingrid Bisu, Bodhi McCabe, Dolph Lundgren</t>
  </si>
  <si>
    <t>James Wan</t>
  </si>
  <si>
    <t>Don Burgess</t>
  </si>
  <si>
    <t>Paul Norris, Jason Momoa, Mort Weisinger, Thomas Pa'a Sibbett, David Leslie Johnson-McGoldrick, James Wan</t>
  </si>
  <si>
    <t>Walter Hamada, Andrew Lary, Anthony Tittanegro, Peter Safran, Rob Cowan, Galen Vaisman, Pete Chiappetta, James Wan</t>
  </si>
  <si>
    <t>Rupert Gregson-Williams</t>
  </si>
  <si>
    <t>/jcA2QFJ4wuFcG79P97wA7OBLQoL.jpg</t>
  </si>
  <si>
    <t>aquaman and the lost kingdom</t>
  </si>
  <si>
    <t>blank (65), internet (1)</t>
  </si>
  <si>
    <t>Noryang: Deadly Sea</t>
  </si>
  <si>
    <t>tt22813112</t>
  </si>
  <si>
    <t>ko</t>
  </si>
  <si>
    <t>√é√ñ‚àè√é√º√¢: √è¬£Œ©√è√π√•√è√π√≤ √é‚àû√Æ√é√£¬ß</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</si>
  <si>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</si>
  <si>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The long-awaited final clash.</t>
  </si>
  <si>
    <t>War, Action, History, Drama</t>
  </si>
  <si>
    <t>big stone pictures</t>
  </si>
  <si>
    <t>South Korea</t>
  </si>
  <si>
    <t>√å√Ø√∫√ç¬µ‚â†√è√±¬•/√è¬∞‚àû√è√ë‚Ä†√é√ü√™, √ä√¥√Ü√à√Ñ√∂√ã√ò√π, √ä√≥‚Ä¢√ä√∫¬®√ã‚Ñ¢√ª</t>
  </si>
  <si>
    <t>Bae Han-seong, Park Hoon, Ahn Se-ho, Baek Yoon-sik, Kim Yun-seok, Nam Kyung-eup, Ahn Sung-ki, Song Yo-sep, Ju Seok-tae, Choi Jung-tae, Ahn Seong-bong, Kim Sung-kyu, Lee Sung-wook, Jung Jae-young, Kim Min-sang, Kim Joong-hee, Lee Kyoo-hyung, You Seong-joo, Park Myung-hoon, Lee Mu-saeng, Nam Myung-ryeol, Ahn Bo-hyun, Kim Tae-eung, Jeon Woon-jong, Park Yong-woo, Lee Je-hoon, Gun Woo, Kim Jae-young, Huh Joon-ho, Choi Deok-moon, Yeo Jin-goo, Moon Jeong-hee, Lee San-ho, Choi Kwang-je, Gong Myoung, Jeong Gi-seop, Oh Nu-ri</t>
  </si>
  <si>
    <t>Kim Han-min</t>
  </si>
  <si>
    <t>Kim Tae-sung</t>
  </si>
  <si>
    <t>Lee Na-ra, Yoon Hong-gi, Kim Han-min</t>
  </si>
  <si>
    <t>Lee Dae-hee, Lee Na-ra, Kim Han-min, Kim Ju-kyung</t>
  </si>
  <si>
    <t>Kim Tae-seong</t>
  </si>
  <si>
    <t>/sRvL19WMG883eFyfs3wBRxf6Vx0.jpg</t>
  </si>
  <si>
    <t>noryang: deadly sea</t>
  </si>
  <si>
    <t>blank (8), limited (1), red lorry film festival (1), brussels international fantastic film festival (1), internet (2), blu-ray &amp; dvd premiere (1), blu-ray and dvd premiere (1), video on demand (1)</t>
  </si>
  <si>
    <t>Salaar: Part 1 - Ceasefire</t>
  </si>
  <si>
    <t>tt13927994</t>
  </si>
  <si>
    <t>te</t>
  </si>
  <si>
    <t>‚Ä°‚àû‚àè‚Ä°‚àû‚â§‚Ä°‚àû√¶‚Ä°‚àû‚àû‚Ä°¬±√ß: ‚Ä°‚àû‚Ñ¢‚Ä°‚àû√¶‚Ä°‚àû‚àû‚Ä°¬±√ß‚Ä°‚àû√º‚Ä°¬±√ß‚Äö√Ñ√• 1 ‚Äö√Ñ√¨ ‚Ä°‚àû‚àè‚Ä°¬±√Ñ‚Ä°‚àû√∫‚Ä°¬±√ß‚Äö√Ñ√•‚Ä°‚àû¬¥‚Ä°¬±√†‚Ä°‚àû‚àû‚Ä°¬±√ß‚Äö√Ñ√•</t>
  </si>
  <si>
    <t>Set in the fictional dystopian city-state of Khansaar, the film follows the friendship between Deva, a tribesman, and Varadha, the prince of Khansaar. When a coup d'‚àö¬©tat is planned by his father's ministers and his relatives, Varadha enlists Deva's help to become Khansaar's undisputed ruler.</t>
  </si>
  <si>
    <t>THE MOST VIOLENT MEN... CALLED ONE MAN... THE MOST VIOLENT</t>
  </si>
  <si>
    <t>hombale films</t>
  </si>
  <si>
    <t>‚Ä°‚àû¬ß‚Ä°¬±√ú‚Ä°‚àû‚â§‚Ä°¬±√Ö‚Ä°‚àû√≥‚Ä°¬±√Ö</t>
  </si>
  <si>
    <t>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t>
  </si>
  <si>
    <t>Prashanth Neel</t>
  </si>
  <si>
    <t>Vijay Kiragandur</t>
  </si>
  <si>
    <t>Ravi Basrur</t>
  </si>
  <si>
    <t>/nlu9WbcetNFRGXXPWITr30ob7W6.jpg</t>
  </si>
  <si>
    <t>salaar: part 1 - ceasefire</t>
  </si>
  <si>
    <t>limited (2), blank (11), barcelona (1), english subtitled version (2), valencia (1), internet (1), re-release (1)</t>
  </si>
  <si>
    <t>The Iron Claw</t>
  </si>
  <si>
    <t>tt21064584</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</si>
  <si>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</si>
  <si>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Sons. Brothers. Champions.</t>
  </si>
  <si>
    <t>a24, bbc film, access entertainment, house productions</t>
  </si>
  <si>
    <t>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t>
  </si>
  <si>
    <t>Sean Durkin</t>
  </si>
  <si>
    <t>M‚àö¬∞ty‚àö¬∞s Erd‚àö¬©ly</t>
  </si>
  <si>
    <t>Danny Cohen, Angus Lamont, Derrin Schlesinger, Juliette Howell, Harrison Huffman, Eva Yates, Sean Durkin, Maxwell Jacob Friedman, Len Blavatnik, Tessa Ross</t>
  </si>
  <si>
    <t>/lsdismtCDga4vsKnmliz0h7CaZT.jpg</t>
  </si>
  <si>
    <t>the iron claw</t>
  </si>
  <si>
    <t>dallas, texas (1), premiere (2), blank (33), limited (1), internet (3), madrid (1), subtitled version (1), technical premiere (1), barcelona (1)</t>
  </si>
  <si>
    <t>Dunki</t>
  </si>
  <si>
    <t>tt15428134</t>
  </si>
  <si>
    <t>‚Ä°¬ß¬∞‚Ä°¬ß√á‚Ä°¬ß√Ø‚Ä°‚Ä¢√Ñ</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</si>
  <si>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</si>
  <si>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 Soldier's journey to keep a promise</t>
  </si>
  <si>
    <t>Adventure, Comedy, Drama</t>
  </si>
  <si>
    <t>red chillies entertainment, rajkumar hirani films, jio studios</t>
  </si>
  <si>
    <t>‚Ä°¬ßœÄ‚Ä°¬ß√∏‚Ä°¬ß¬Æ‚Ä°‚Ä¢√ß‚Ä°¬ß¬∂‚Ä°‚Ä¢√Ñ, ‚Ä°¬Æ‚Ñ¢‚Ä°¬©‚àû‚Ä°¬Æ√∫‚Ä°¬Æ√¶‚Ä°¬Æ¬®‚Ä°¬©√Ñ</t>
  </si>
  <si>
    <t>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Cs‚àö‚â•k,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Gy‚àö‚àÇrgy Czutor, Harpal Singh Bunty, Rahul Khanna, Shah Rukh Khan, Chris Kaye, Priya Sindher, G‚àö¬∞bor Moln‚àö¬∞r, Kiranpal Singh Dhody, Emmad Samman, Piyush Raina, Diwanshu Gambhir, Nikhil Ratnaparkhi, Geza Demeter, Vishnu Kaushal, Ryan Cretney</t>
  </si>
  <si>
    <t>Rajkumar Hirani</t>
  </si>
  <si>
    <t>Manush Nandan, C.K. Muraleedharan, Amit Roy</t>
  </si>
  <si>
    <t>Rajkumar Hirani, Javed Akhtar, Abhijat Joshi, Karan Narvekar, Irshad Kamil, IP Singh, Varun Grover, Kanika Dhillon, Amitabh Bhattacharya, Swanand Kirkire, Kumaar</t>
  </si>
  <si>
    <t>Rajkumar Hirani, Jyoti Deshpande, Gauri Khan, Shah Rukh Khan, Sanjiv Kishinchandani</t>
  </si>
  <si>
    <t>Shekhar Ravjiani, Aman Pant</t>
  </si>
  <si>
    <t>/kPRb1mbVHGop0egQ7153y0lhzGL.jpg</t>
  </si>
  <si>
    <t>dunki</t>
  </si>
  <si>
    <t>blank (14), limited (2), internet (2), golden horse fantastic film festival (1)</t>
  </si>
  <si>
    <t>Anyone But You</t>
  </si>
  <si>
    <t>tt26047818</t>
  </si>
  <si>
    <t>After an amazing first date, Bea and Ben‚Äö√Ñ√¥s fiery attraction turns ice cold ‚Äö√Ñ√Æ until they find themselves unexpectedly reunited at a destination wedding in Australia. So they do what any two mature adults would do: pretend to be a couple.</t>
  </si>
  <si>
    <t>They only look like the perfect couple.</t>
  </si>
  <si>
    <t>olive bridge entertainment, roth-kirschenbaum films, sk global entertainment, columbia pictures</t>
  </si>
  <si>
    <t>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t>
  </si>
  <si>
    <t>Will Gluck</t>
  </si>
  <si>
    <t>Danny Ruhlmann</t>
  </si>
  <si>
    <t>Will Gluck, Ilana Wolpert</t>
  </si>
  <si>
    <t>Sydney Sweeney, Jeff Kirschenbaum, Natalie Sellers, Jacqueline Monetta, Sidney Kimmel, Joe Roth, Alyssa Altman, Catherine Bishop, Charlie Corwin, Jonathan Davino, Will Gluck, Mark O'Connor</t>
  </si>
  <si>
    <t>Este Haim, Christopher Stracey</t>
  </si>
  <si>
    <t>/5qHoazZiaLe7oFBok7XlUhg96f2.jpg</t>
  </si>
  <si>
    <t>anyone but you</t>
  </si>
  <si>
    <t>new york city, new york (1), premiere (1), blank (39), internet (1)</t>
  </si>
  <si>
    <t>All of Us Strangers</t>
  </si>
  <si>
    <t>tt21192142</t>
  </si>
  <si>
    <t>One night in his near-empty tower block in contemporary London, Adam has a chance encounter with a mysterious neighbor Harry, which punctures the rhythm of his everyday life.</t>
  </si>
  <si>
    <t>All of us hurt. All of us hope. All of us love.</t>
  </si>
  <si>
    <t>Romance, Drama, Fantasy</t>
  </si>
  <si>
    <t>film4 productions, blueprint pictures, searchlight pictures, tsg entertainment</t>
  </si>
  <si>
    <t>Paul Mescal, Ami Tredrea, Sean Tizzard, Jamie Bell, Claire Foy, Carter John Grout, Andrew Scott</t>
  </si>
  <si>
    <t>Andrew Haigh</t>
  </si>
  <si>
    <t>Jamie D. Ramsay</t>
  </si>
  <si>
    <t>Andrew Haigh, Taichi Yamada</t>
  </si>
  <si>
    <t>Daniel Battsek, Sarah Harvey, Ollie Madden, Ben Knight, Peter Czernin, Diarmuid McKeown, Graham Broadbent, Farhana Bhula</t>
  </si>
  <si>
    <t>Emilie Levienaise-Farrouch</t>
  </si>
  <si>
    <t>/aviJMFZSnnCAsCVyJGaPNx4Ef3i.jpg</t>
  </si>
  <si>
    <t>all of us strangers</t>
  </si>
  <si>
    <t>telluride film festival (1), new york film festival (1), beyond fest (1), bfi london film festival (1), athens international film festival (1), rio de janeiro international film festival (1), filmekimi (1), chicago international film festival (1), middleburg film festival (1), sva theatre, new york lgbtq+ film festival (1), valladolid international film festival (1), leiden international film festival (1), scad savannah film festival (1), virginia film festival (1), afi fest (2), montclair film festival (1), filmbath film festival (1), austin film festival (1), denver film festival (1), stockholm international film festival (1), taipei golden horse film festival (1), international film festival mannheim-heidelberg (1), qcinema international film festival (1), st. louis international film festival (1), paris ch√©ries ch√©ris film festival (1), moma - the contenders (1), singapore international film festival (1), blank (21), capri hollywood film festival (1), limited (3), troms√∏ international film festival (1), fest - belgrade international film festival (1), internet (2), bfi flare london lgbtqia+ film festival (1), indielisboa international film festival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</si>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</sst>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4DFB9B-9A6A-9F47-B352-0D05F81F48BA}" name="Table1" displayName="Table1" ref="A1:AQ54" totalsRowCount="1">
  <autoFilter ref="A1:AQ53" xr:uid="{3B4DFB9B-9A6A-9F47-B352-0D05F81F48BA}">
    <filterColumn colId="41">
      <filters>
        <filter val="no"/>
      </filters>
    </filterColumn>
  </autoFilter>
  <tableColumns count="43">
    <tableColumn id="1" xr3:uid="{1B42F83D-27B8-7F44-91AA-D88C6EC6E300}" name="id" totalsRowLabel="Total"/>
    <tableColumn id="2" xr3:uid="{A0CE71CC-AB3A-CA48-A327-96202D3AE20F}" name="title"/>
    <tableColumn id="3" xr3:uid="{E69B58AD-085D-BB47-8B70-AEE474E92156}" name="vote_average"/>
    <tableColumn id="4" xr3:uid="{26D53051-BAFB-B441-8466-4A61FF6278E1}" name="vote_count"/>
    <tableColumn id="5" xr3:uid="{C83336E8-EDD6-FC40-813C-66CAE5870101}" name="status"/>
    <tableColumn id="6" xr3:uid="{6BBA7952-21D9-E545-BB4C-645FC503AB19}" name="release_date" dataDxfId="0"/>
    <tableColumn id="7" xr3:uid="{8E6B231D-C9AB-5C43-8FFB-07905C57F3C0}" name="revenue"/>
    <tableColumn id="8" xr3:uid="{F043F77A-6DE5-9B47-BF4D-154E31C0602D}" name="runtime"/>
    <tableColumn id="9" xr3:uid="{DE455209-2266-1244-85FA-42B03207D254}" name="budget"/>
    <tableColumn id="10" xr3:uid="{7CA44A9E-62CA-D247-B723-10315CED25C9}" name="imdb_id"/>
    <tableColumn id="11" xr3:uid="{0D7B05D5-F68A-2048-8F92-A30415073F45}" name="original_language"/>
    <tableColumn id="12" xr3:uid="{6036EC47-960F-3F4A-8A43-3C112055B6F7}" name="original_title"/>
    <tableColumn id="13" xr3:uid="{90DE364E-E693-7644-B982-1E3A8C6BE820}" name="overview"/>
    <tableColumn id="14" xr3:uid="{ED58EC3E-45E7-C34F-BDBD-B4911A4F33BE}" name="popularity"/>
    <tableColumn id="15" xr3:uid="{25C37027-4908-4746-A1CE-EEA3A041DD5E}" name="tagline"/>
    <tableColumn id="16" xr3:uid="{CE0664C8-BE24-F245-B921-CAC00937A4E9}" name="genres"/>
    <tableColumn id="17" xr3:uid="{6E3BE7AB-0BF8-7A4B-8B13-7BBE5E2ADC2C}" name="production_companies"/>
    <tableColumn id="18" xr3:uid="{2CEFFE0B-5BC4-684B-8375-49BB0615CB35}" name="production_countries"/>
    <tableColumn id="19" xr3:uid="{C659DA05-4C04-9B40-AA53-130E239E8F52}" name="spoken_languages"/>
    <tableColumn id="20" xr3:uid="{5AF7E8BF-CD72-3F4F-A3FD-7204E150FB46}" name="cast"/>
    <tableColumn id="21" xr3:uid="{06CCDF58-5394-1943-9486-D5EAA2F8CA59}" name="director"/>
    <tableColumn id="22" xr3:uid="{376C5921-5740-A246-813A-7AF2E14E0479}" name="director_of_photography"/>
    <tableColumn id="23" xr3:uid="{F5B0C9C7-0BF3-C24B-A20A-AA7B420F2069}" name="writers"/>
    <tableColumn id="24" xr3:uid="{A153A2BA-34EA-1044-84E3-885641ED8AFF}" name="producers"/>
    <tableColumn id="25" xr3:uid="{18E7FFB1-F9D5-3349-BC6F-A42EF0E2F005}" name="music_composer"/>
    <tableColumn id="26" xr3:uid="{055BDA6B-CD49-244D-AA64-13CE1EB9BEAA}" name="imdb_rating"/>
    <tableColumn id="27" xr3:uid="{14DF3BDF-76B6-274A-9908-325D9E2677D8}" name="imdb_votes"/>
    <tableColumn id="28" xr3:uid="{54E93D3B-1906-5842-B8FF-96C89733212B}" name="poster_path"/>
    <tableColumn id="29" xr3:uid="{FE715F8E-BBA8-7142-BDF5-11A2DEFCC813}" name="release_month"/>
    <tableColumn id="30" xr3:uid="{A6D5D19C-FB98-B34E-84DF-FBBF66FDEE68}" name="release_year"/>
    <tableColumn id="31" xr3:uid="{5A9D9F42-161C-304A-A12D-9466ACE7C179}" name="iso_week"/>
    <tableColumn id="32" xr3:uid="{F838A685-8D29-8C41-AEA5-74070AF4ADF8}" name="title_clean"/>
    <tableColumn id="33" xr3:uid="{9C36214E-1BF6-2941-969D-FB2457453995}" name="distance"/>
    <tableColumn id="34" xr3:uid="{7452FDFC-A531-1C47-9C6D-5A2A4BB938B0}" name="strength" totalsRowFunction="sum"/>
    <tableColumn id="35" xr3:uid="{3B654D3B-F58C-BD48-BE25-31668F13F15A}" name="score"/>
    <tableColumn id="36" xr3:uid="{72114753-36BF-3240-A963-01956BE8FD0A}" name="marvel_movie"/>
    <tableColumn id="37" xr3:uid="{9EBE1796-F6AB-044E-BC23-FF1BA93F2FD1}" name="attributes"/>
    <tableColumn id="38" xr3:uid="{FDC65885-2C63-2B44-A0FF-87F8CDD167F1}" name="blank"/>
    <tableColumn id="39" xr3:uid="{76833BA5-DD61-3444-A01A-0E0C4B47955E}" name="internet"/>
    <tableColumn id="40" xr3:uid="{6C3BE4F7-14BE-8F4F-AB77-A134707C03D4}" name="total"/>
    <tableColumn id="41" xr3:uid="{C44D6DC0-E430-C441-932A-C07AAF9484FF}" name="internet_ratio"/>
    <tableColumn id="42" xr3:uid="{122A7CE2-7967-1740-804D-C9F2E152DE00}" name="internet_dominance"/>
    <tableColumn id="43" xr3:uid="{A794E811-780E-7E4B-9D22-CF9BDB600970}"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2579-873D-774B-87AE-3AF30A0FEAFE}">
  <dimension ref="A1:AQ54"/>
  <sheetViews>
    <sheetView tabSelected="1" topLeftCell="AB34" workbookViewId="0">
      <selection activeCell="AH54" sqref="AH54"/>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670292</v>
      </c>
      <c r="B2" t="s">
        <v>43</v>
      </c>
      <c r="C2">
        <v>7</v>
      </c>
      <c r="D2">
        <v>3535</v>
      </c>
      <c r="E2" t="s">
        <v>44</v>
      </c>
      <c r="F2" s="1">
        <v>45196</v>
      </c>
      <c r="G2">
        <v>104272136</v>
      </c>
      <c r="H2">
        <v>134</v>
      </c>
      <c r="I2">
        <v>80000000</v>
      </c>
      <c r="J2" t="s">
        <v>45</v>
      </c>
      <c r="K2" t="s">
        <v>46</v>
      </c>
      <c r="L2" t="s">
        <v>43</v>
      </c>
      <c r="M2" t="s">
        <v>47</v>
      </c>
      <c r="N2">
        <v>7.7386999999999997</v>
      </c>
      <c r="O2" t="s">
        <v>48</v>
      </c>
      <c r="P2" t="s">
        <v>49</v>
      </c>
      <c r="Q2" t="s">
        <v>50</v>
      </c>
      <c r="R2" t="s">
        <v>51</v>
      </c>
      <c r="S2" t="s">
        <v>52</v>
      </c>
      <c r="T2" t="s">
        <v>53</v>
      </c>
      <c r="U2" t="s">
        <v>54</v>
      </c>
      <c r="V2" t="s">
        <v>55</v>
      </c>
      <c r="W2" t="s">
        <v>56</v>
      </c>
      <c r="X2" t="s">
        <v>57</v>
      </c>
      <c r="Y2" t="s">
        <v>58</v>
      </c>
      <c r="Z2">
        <v>6.7</v>
      </c>
      <c r="AA2">
        <v>191535</v>
      </c>
      <c r="AB2" t="s">
        <v>59</v>
      </c>
      <c r="AC2">
        <v>9</v>
      </c>
      <c r="AD2">
        <v>2023</v>
      </c>
      <c r="AE2">
        <v>39</v>
      </c>
      <c r="AF2" t="s">
        <v>60</v>
      </c>
      <c r="AG2">
        <v>-42</v>
      </c>
      <c r="AH2">
        <v>18.462514741424801</v>
      </c>
      <c r="AI2">
        <v>0.429360807940112</v>
      </c>
      <c r="AJ2" t="s">
        <v>61</v>
      </c>
      <c r="AK2" t="s">
        <v>62</v>
      </c>
      <c r="AL2">
        <v>84</v>
      </c>
      <c r="AM2">
        <v>1</v>
      </c>
      <c r="AN2">
        <v>98</v>
      </c>
      <c r="AO2">
        <v>0.01</v>
      </c>
      <c r="AP2" t="s">
        <v>63</v>
      </c>
      <c r="AQ2" t="s">
        <v>63</v>
      </c>
    </row>
    <row r="3" spans="1:43" x14ac:dyDescent="0.2">
      <c r="A3">
        <v>951491</v>
      </c>
      <c r="B3" t="s">
        <v>64</v>
      </c>
      <c r="C3">
        <v>7.2</v>
      </c>
      <c r="D3">
        <v>2213</v>
      </c>
      <c r="E3" t="s">
        <v>44</v>
      </c>
      <c r="F3" s="1">
        <v>45196</v>
      </c>
      <c r="G3">
        <v>125319714</v>
      </c>
      <c r="H3">
        <v>118</v>
      </c>
      <c r="I3">
        <v>13000000</v>
      </c>
      <c r="J3" t="s">
        <v>65</v>
      </c>
      <c r="K3" t="s">
        <v>46</v>
      </c>
      <c r="L3" t="s">
        <v>64</v>
      </c>
      <c r="M3" t="s">
        <v>66</v>
      </c>
      <c r="N3">
        <v>5.2918000000000003</v>
      </c>
      <c r="O3" t="s">
        <v>67</v>
      </c>
      <c r="P3" t="s">
        <v>68</v>
      </c>
      <c r="Q3" t="s">
        <v>69</v>
      </c>
      <c r="R3" t="s">
        <v>70</v>
      </c>
      <c r="S3" t="s">
        <v>71</v>
      </c>
      <c r="T3" t="s">
        <v>72</v>
      </c>
      <c r="U3" t="s">
        <v>73</v>
      </c>
      <c r="V3" t="s">
        <v>74</v>
      </c>
      <c r="W3" t="s">
        <v>75</v>
      </c>
      <c r="X3" t="s">
        <v>76</v>
      </c>
      <c r="Y3" t="s">
        <v>77</v>
      </c>
      <c r="Z3">
        <v>6.6</v>
      </c>
      <c r="AA3">
        <v>94049</v>
      </c>
      <c r="AB3" t="s">
        <v>78</v>
      </c>
      <c r="AC3">
        <v>9</v>
      </c>
      <c r="AD3">
        <v>2023</v>
      </c>
      <c r="AE3">
        <v>39</v>
      </c>
      <c r="AF3" t="s">
        <v>79</v>
      </c>
      <c r="AG3">
        <v>-42</v>
      </c>
      <c r="AH3">
        <v>18.646378749867502</v>
      </c>
      <c r="AI3">
        <v>0.43363671511319901</v>
      </c>
      <c r="AJ3" t="s">
        <v>61</v>
      </c>
      <c r="AK3" t="s">
        <v>80</v>
      </c>
      <c r="AL3">
        <v>73</v>
      </c>
      <c r="AM3">
        <v>0</v>
      </c>
      <c r="AN3">
        <v>79</v>
      </c>
      <c r="AO3">
        <v>0</v>
      </c>
      <c r="AP3" t="s">
        <v>63</v>
      </c>
      <c r="AQ3" t="s">
        <v>63</v>
      </c>
    </row>
    <row r="4" spans="1:43" x14ac:dyDescent="0.2">
      <c r="A4">
        <v>1190449</v>
      </c>
      <c r="B4" t="s">
        <v>81</v>
      </c>
      <c r="C4">
        <v>7.5</v>
      </c>
      <c r="D4">
        <v>2</v>
      </c>
      <c r="E4" t="s">
        <v>44</v>
      </c>
      <c r="F4" s="1">
        <v>45196</v>
      </c>
      <c r="G4">
        <v>303587</v>
      </c>
      <c r="H4">
        <v>82</v>
      </c>
      <c r="I4">
        <v>3000000</v>
      </c>
      <c r="J4" t="s">
        <v>82</v>
      </c>
      <c r="K4" t="s">
        <v>83</v>
      </c>
      <c r="L4" t="s">
        <v>84</v>
      </c>
      <c r="M4" t="s">
        <v>85</v>
      </c>
      <c r="N4">
        <v>0.67130000000000001</v>
      </c>
      <c r="O4" t="s">
        <v>86</v>
      </c>
      <c r="P4" t="s">
        <v>87</v>
      </c>
      <c r="Q4" t="s">
        <v>88</v>
      </c>
      <c r="R4" t="s">
        <v>89</v>
      </c>
      <c r="S4" t="s">
        <v>90</v>
      </c>
      <c r="T4" t="s">
        <v>91</v>
      </c>
      <c r="U4" t="s">
        <v>92</v>
      </c>
      <c r="W4" t="s">
        <v>93</v>
      </c>
      <c r="X4" t="s">
        <v>94</v>
      </c>
      <c r="Y4" t="s">
        <v>95</v>
      </c>
      <c r="Z4">
        <v>5.9</v>
      </c>
      <c r="AA4">
        <v>105</v>
      </c>
      <c r="AB4" t="s">
        <v>96</v>
      </c>
      <c r="AC4">
        <v>9</v>
      </c>
      <c r="AD4">
        <v>2023</v>
      </c>
      <c r="AE4">
        <v>39</v>
      </c>
      <c r="AF4" t="s">
        <v>97</v>
      </c>
      <c r="AG4">
        <v>-42</v>
      </c>
      <c r="AH4">
        <v>12.6234267980307</v>
      </c>
      <c r="AI4">
        <v>0.293568065070482</v>
      </c>
      <c r="AJ4" t="s">
        <v>61</v>
      </c>
      <c r="AK4" t="s">
        <v>98</v>
      </c>
      <c r="AL4">
        <v>5</v>
      </c>
      <c r="AM4">
        <v>0</v>
      </c>
      <c r="AN4">
        <v>6</v>
      </c>
      <c r="AO4">
        <v>0</v>
      </c>
      <c r="AP4" t="s">
        <v>63</v>
      </c>
      <c r="AQ4" t="s">
        <v>63</v>
      </c>
    </row>
    <row r="5" spans="1:43" x14ac:dyDescent="0.2">
      <c r="A5">
        <v>805785</v>
      </c>
      <c r="B5" t="s">
        <v>99</v>
      </c>
      <c r="C5">
        <v>5.7</v>
      </c>
      <c r="D5">
        <v>9</v>
      </c>
      <c r="E5" t="s">
        <v>44</v>
      </c>
      <c r="F5" s="1">
        <v>45197</v>
      </c>
      <c r="G5">
        <v>16000000</v>
      </c>
      <c r="H5">
        <v>147</v>
      </c>
      <c r="I5">
        <v>3000000</v>
      </c>
      <c r="J5" t="s">
        <v>100</v>
      </c>
      <c r="K5" t="s">
        <v>101</v>
      </c>
      <c r="L5" t="s">
        <v>102</v>
      </c>
      <c r="M5" t="s">
        <v>103</v>
      </c>
      <c r="N5">
        <v>0.94599999999999995</v>
      </c>
      <c r="O5" t="s">
        <v>104</v>
      </c>
      <c r="P5" t="s">
        <v>105</v>
      </c>
      <c r="Q5" t="s">
        <v>106</v>
      </c>
      <c r="R5" t="s">
        <v>107</v>
      </c>
      <c r="S5" t="s">
        <v>108</v>
      </c>
      <c r="T5" t="s">
        <v>109</v>
      </c>
      <c r="U5" t="s">
        <v>110</v>
      </c>
      <c r="V5" t="s">
        <v>111</v>
      </c>
      <c r="W5" t="s">
        <v>112</v>
      </c>
      <c r="X5" t="s">
        <v>113</v>
      </c>
      <c r="Y5" t="s">
        <v>114</v>
      </c>
      <c r="Z5">
        <v>5.5</v>
      </c>
      <c r="AA5">
        <v>25802</v>
      </c>
      <c r="AB5" t="s">
        <v>115</v>
      </c>
      <c r="AC5">
        <v>9</v>
      </c>
      <c r="AD5">
        <v>2023</v>
      </c>
      <c r="AE5">
        <v>39</v>
      </c>
      <c r="AF5" t="s">
        <v>116</v>
      </c>
      <c r="AG5">
        <v>-41</v>
      </c>
      <c r="AH5">
        <v>16.588099342704002</v>
      </c>
      <c r="AI5">
        <v>0.39495474625485799</v>
      </c>
      <c r="AJ5" t="s">
        <v>61</v>
      </c>
      <c r="AK5" t="s">
        <v>117</v>
      </c>
      <c r="AL5">
        <v>10</v>
      </c>
      <c r="AM5">
        <v>0</v>
      </c>
      <c r="AN5">
        <v>13</v>
      </c>
      <c r="AO5">
        <v>0</v>
      </c>
      <c r="AP5" t="s">
        <v>63</v>
      </c>
      <c r="AQ5" t="s">
        <v>63</v>
      </c>
    </row>
    <row r="6" spans="1:43" x14ac:dyDescent="0.2">
      <c r="A6">
        <v>943134</v>
      </c>
      <c r="B6" t="s">
        <v>118</v>
      </c>
      <c r="C6">
        <v>6.9989999999999997</v>
      </c>
      <c r="D6">
        <v>843</v>
      </c>
      <c r="E6" t="s">
        <v>44</v>
      </c>
      <c r="F6" s="1">
        <v>45203</v>
      </c>
      <c r="G6">
        <v>9138503</v>
      </c>
      <c r="H6">
        <v>127</v>
      </c>
      <c r="I6">
        <v>15200000</v>
      </c>
      <c r="J6" t="s">
        <v>119</v>
      </c>
      <c r="K6" t="s">
        <v>120</v>
      </c>
      <c r="L6" t="s">
        <v>121</v>
      </c>
      <c r="M6" t="s">
        <v>122</v>
      </c>
      <c r="N6">
        <v>4.524</v>
      </c>
      <c r="O6" t="s">
        <v>123</v>
      </c>
      <c r="P6" t="s">
        <v>124</v>
      </c>
      <c r="Q6" t="s">
        <v>125</v>
      </c>
      <c r="R6" t="s">
        <v>126</v>
      </c>
      <c r="S6" t="s">
        <v>127</v>
      </c>
      <c r="T6" t="s">
        <v>128</v>
      </c>
      <c r="U6" t="s">
        <v>129</v>
      </c>
      <c r="V6" t="s">
        <v>130</v>
      </c>
      <c r="W6" t="s">
        <v>131</v>
      </c>
      <c r="X6" t="s">
        <v>132</v>
      </c>
      <c r="Y6" t="s">
        <v>133</v>
      </c>
      <c r="Z6">
        <v>6.7</v>
      </c>
      <c r="AA6">
        <v>11323</v>
      </c>
      <c r="AB6" t="s">
        <v>134</v>
      </c>
      <c r="AC6">
        <v>10</v>
      </c>
      <c r="AD6">
        <v>2023</v>
      </c>
      <c r="AE6">
        <v>40</v>
      </c>
      <c r="AF6" t="s">
        <v>135</v>
      </c>
      <c r="AG6">
        <v>-35</v>
      </c>
      <c r="AH6">
        <v>16.0280072538851</v>
      </c>
      <c r="AI6">
        <v>0.44522242371903098</v>
      </c>
      <c r="AJ6" t="s">
        <v>61</v>
      </c>
      <c r="AK6" t="s">
        <v>136</v>
      </c>
      <c r="AL6">
        <v>19</v>
      </c>
      <c r="AM6">
        <v>4</v>
      </c>
      <c r="AN6">
        <v>63</v>
      </c>
      <c r="AO6">
        <v>0.06</v>
      </c>
      <c r="AP6" t="s">
        <v>63</v>
      </c>
      <c r="AQ6" t="s">
        <v>63</v>
      </c>
    </row>
    <row r="7" spans="1:43" x14ac:dyDescent="0.2">
      <c r="A7">
        <v>897087</v>
      </c>
      <c r="B7" t="s">
        <v>137</v>
      </c>
      <c r="C7">
        <v>6.4</v>
      </c>
      <c r="D7">
        <v>1088</v>
      </c>
      <c r="E7" t="s">
        <v>44</v>
      </c>
      <c r="F7" s="1">
        <v>45204</v>
      </c>
      <c r="G7">
        <v>9112817</v>
      </c>
      <c r="H7">
        <v>108</v>
      </c>
      <c r="I7">
        <v>40000000</v>
      </c>
      <c r="J7" t="s">
        <v>138</v>
      </c>
      <c r="K7" t="s">
        <v>46</v>
      </c>
      <c r="L7" t="s">
        <v>137</v>
      </c>
      <c r="M7" t="s">
        <v>139</v>
      </c>
      <c r="N7">
        <v>5.8333000000000004</v>
      </c>
      <c r="O7" t="s">
        <v>140</v>
      </c>
      <c r="P7" t="s">
        <v>141</v>
      </c>
      <c r="Q7" t="s">
        <v>142</v>
      </c>
      <c r="R7" t="s">
        <v>143</v>
      </c>
      <c r="S7" t="s">
        <v>144</v>
      </c>
      <c r="T7" t="s">
        <v>145</v>
      </c>
      <c r="U7" t="s">
        <v>146</v>
      </c>
      <c r="V7" t="s">
        <v>147</v>
      </c>
      <c r="W7" t="s">
        <v>148</v>
      </c>
      <c r="X7" t="s">
        <v>149</v>
      </c>
      <c r="Y7" t="s">
        <v>150</v>
      </c>
      <c r="Z7">
        <v>5.6</v>
      </c>
      <c r="AA7">
        <v>27958</v>
      </c>
      <c r="AB7" t="s">
        <v>151</v>
      </c>
      <c r="AC7">
        <v>10</v>
      </c>
      <c r="AD7">
        <v>2023</v>
      </c>
      <c r="AE7">
        <v>40</v>
      </c>
      <c r="AF7" t="s">
        <v>152</v>
      </c>
      <c r="AG7">
        <v>-34</v>
      </c>
      <c r="AH7">
        <v>16.0251925518095</v>
      </c>
      <c r="AI7">
        <v>0.45786264433741403</v>
      </c>
      <c r="AJ7" t="s">
        <v>61</v>
      </c>
      <c r="AK7" t="s">
        <v>153</v>
      </c>
      <c r="AL7">
        <v>40</v>
      </c>
      <c r="AM7">
        <v>6</v>
      </c>
      <c r="AN7">
        <v>46</v>
      </c>
      <c r="AO7">
        <v>0.13</v>
      </c>
      <c r="AP7" t="s">
        <v>63</v>
      </c>
      <c r="AQ7" t="s">
        <v>63</v>
      </c>
    </row>
    <row r="8" spans="1:43" x14ac:dyDescent="0.2">
      <c r="A8">
        <v>980026</v>
      </c>
      <c r="B8" t="s">
        <v>154</v>
      </c>
      <c r="C8">
        <v>7.7</v>
      </c>
      <c r="D8">
        <v>479</v>
      </c>
      <c r="E8" t="s">
        <v>44</v>
      </c>
      <c r="F8" s="1">
        <v>45204</v>
      </c>
      <c r="G8">
        <v>2246680</v>
      </c>
      <c r="H8">
        <v>127</v>
      </c>
      <c r="I8">
        <v>8500000</v>
      </c>
      <c r="J8" t="s">
        <v>155</v>
      </c>
      <c r="K8" t="s">
        <v>156</v>
      </c>
      <c r="L8" t="s">
        <v>157</v>
      </c>
      <c r="M8" t="s">
        <v>158</v>
      </c>
      <c r="N8">
        <v>4.4142999999999999</v>
      </c>
      <c r="O8" t="s">
        <v>159</v>
      </c>
      <c r="P8" t="s">
        <v>160</v>
      </c>
      <c r="Q8" t="s">
        <v>161</v>
      </c>
      <c r="R8" t="s">
        <v>162</v>
      </c>
      <c r="S8" t="s">
        <v>163</v>
      </c>
      <c r="T8" t="s">
        <v>164</v>
      </c>
      <c r="U8" t="s">
        <v>165</v>
      </c>
      <c r="V8" t="s">
        <v>166</v>
      </c>
      <c r="W8" t="s">
        <v>167</v>
      </c>
      <c r="X8" t="s">
        <v>168</v>
      </c>
      <c r="Y8" t="s">
        <v>169</v>
      </c>
      <c r="Z8">
        <v>7.7</v>
      </c>
      <c r="AA8">
        <v>37450</v>
      </c>
      <c r="AB8" t="s">
        <v>170</v>
      </c>
      <c r="AC8">
        <v>10</v>
      </c>
      <c r="AD8">
        <v>2023</v>
      </c>
      <c r="AE8">
        <v>40</v>
      </c>
      <c r="AF8" t="s">
        <v>171</v>
      </c>
      <c r="AG8">
        <v>-34</v>
      </c>
      <c r="AH8">
        <v>14.624964574021901</v>
      </c>
      <c r="AI8">
        <v>0.41785613068634198</v>
      </c>
      <c r="AJ8" t="s">
        <v>61</v>
      </c>
      <c r="AK8" t="s">
        <v>172</v>
      </c>
      <c r="AL8">
        <v>26</v>
      </c>
      <c r="AM8">
        <v>0</v>
      </c>
      <c r="AN8">
        <v>47</v>
      </c>
      <c r="AO8">
        <v>0</v>
      </c>
      <c r="AP8" t="s">
        <v>63</v>
      </c>
      <c r="AQ8" t="s">
        <v>63</v>
      </c>
    </row>
    <row r="9" spans="1:43" x14ac:dyDescent="0.2">
      <c r="A9">
        <v>843394</v>
      </c>
      <c r="B9" t="s">
        <v>173</v>
      </c>
      <c r="C9">
        <v>5.7</v>
      </c>
      <c r="D9">
        <v>87</v>
      </c>
      <c r="E9" t="s">
        <v>44</v>
      </c>
      <c r="F9" s="1">
        <v>45205</v>
      </c>
      <c r="G9">
        <v>282000</v>
      </c>
      <c r="H9">
        <v>118</v>
      </c>
      <c r="I9">
        <v>12000000</v>
      </c>
      <c r="J9" t="s">
        <v>174</v>
      </c>
      <c r="K9" t="s">
        <v>46</v>
      </c>
      <c r="L9" t="s">
        <v>173</v>
      </c>
      <c r="M9" t="s">
        <v>175</v>
      </c>
      <c r="N9">
        <v>3.4472</v>
      </c>
      <c r="O9" t="s">
        <v>176</v>
      </c>
      <c r="P9" t="s">
        <v>177</v>
      </c>
      <c r="Q9" t="s">
        <v>178</v>
      </c>
      <c r="R9" t="s">
        <v>179</v>
      </c>
      <c r="S9" t="s">
        <v>144</v>
      </c>
      <c r="T9" t="s">
        <v>180</v>
      </c>
      <c r="U9" t="s">
        <v>181</v>
      </c>
      <c r="V9" t="s">
        <v>182</v>
      </c>
      <c r="W9" t="s">
        <v>183</v>
      </c>
      <c r="X9" t="s">
        <v>184</v>
      </c>
      <c r="Y9" t="s">
        <v>185</v>
      </c>
      <c r="Z9">
        <v>6</v>
      </c>
      <c r="AA9">
        <v>8005</v>
      </c>
      <c r="AB9" t="s">
        <v>186</v>
      </c>
      <c r="AC9">
        <v>10</v>
      </c>
      <c r="AD9">
        <v>2023</v>
      </c>
      <c r="AE9">
        <v>40</v>
      </c>
      <c r="AF9" t="s">
        <v>187</v>
      </c>
      <c r="AG9">
        <v>-33</v>
      </c>
      <c r="AH9">
        <v>12.549665896013201</v>
      </c>
      <c r="AI9">
        <v>0.36910782047097801</v>
      </c>
      <c r="AJ9" t="s">
        <v>61</v>
      </c>
      <c r="AK9" t="s">
        <v>188</v>
      </c>
      <c r="AL9">
        <v>22</v>
      </c>
      <c r="AM9">
        <v>3</v>
      </c>
      <c r="AN9">
        <v>29</v>
      </c>
      <c r="AO9">
        <v>0.1</v>
      </c>
      <c r="AP9" t="s">
        <v>63</v>
      </c>
      <c r="AQ9" t="s">
        <v>63</v>
      </c>
    </row>
    <row r="10" spans="1:43" x14ac:dyDescent="0.2">
      <c r="A10">
        <v>939997</v>
      </c>
      <c r="B10" t="s">
        <v>189</v>
      </c>
      <c r="C10">
        <v>4.5</v>
      </c>
      <c r="D10">
        <v>38</v>
      </c>
      <c r="E10" t="s">
        <v>44</v>
      </c>
      <c r="F10" s="1">
        <v>45205</v>
      </c>
      <c r="G10">
        <v>1472114</v>
      </c>
      <c r="H10">
        <v>86</v>
      </c>
      <c r="I10">
        <v>8000000</v>
      </c>
      <c r="J10" t="s">
        <v>190</v>
      </c>
      <c r="K10" t="s">
        <v>46</v>
      </c>
      <c r="L10" t="s">
        <v>189</v>
      </c>
      <c r="M10" t="s">
        <v>191</v>
      </c>
      <c r="N10">
        <v>1.1968000000000001</v>
      </c>
      <c r="O10" t="s">
        <v>192</v>
      </c>
      <c r="P10" t="s">
        <v>193</v>
      </c>
      <c r="Q10" t="s">
        <v>194</v>
      </c>
      <c r="R10" t="s">
        <v>70</v>
      </c>
      <c r="S10" t="s">
        <v>144</v>
      </c>
      <c r="T10" t="s">
        <v>195</v>
      </c>
      <c r="U10" t="s">
        <v>196</v>
      </c>
      <c r="V10" t="s">
        <v>197</v>
      </c>
      <c r="W10" t="s">
        <v>198</v>
      </c>
      <c r="X10" t="s">
        <v>199</v>
      </c>
      <c r="Y10" t="s">
        <v>200</v>
      </c>
      <c r="Z10">
        <v>5.3</v>
      </c>
      <c r="AA10">
        <v>3963</v>
      </c>
      <c r="AB10" t="s">
        <v>201</v>
      </c>
      <c r="AC10">
        <v>10</v>
      </c>
      <c r="AD10">
        <v>2023</v>
      </c>
      <c r="AE10">
        <v>40</v>
      </c>
      <c r="AF10" t="s">
        <v>202</v>
      </c>
      <c r="AG10">
        <v>-33</v>
      </c>
      <c r="AH10">
        <v>14.2022107002193</v>
      </c>
      <c r="AI10">
        <v>0.41771207941821598</v>
      </c>
      <c r="AJ10" t="s">
        <v>61</v>
      </c>
      <c r="AK10" t="s">
        <v>203</v>
      </c>
      <c r="AL10">
        <v>6</v>
      </c>
      <c r="AM10">
        <v>1</v>
      </c>
      <c r="AN10">
        <v>13</v>
      </c>
      <c r="AO10">
        <v>0.08</v>
      </c>
      <c r="AP10" t="s">
        <v>63</v>
      </c>
      <c r="AQ10" t="s">
        <v>63</v>
      </c>
    </row>
    <row r="11" spans="1:43" x14ac:dyDescent="0.2">
      <c r="A11">
        <v>901362</v>
      </c>
      <c r="B11" t="s">
        <v>204</v>
      </c>
      <c r="C11">
        <v>7.3</v>
      </c>
      <c r="D11">
        <v>943</v>
      </c>
      <c r="E11" t="s">
        <v>44</v>
      </c>
      <c r="F11" s="1">
        <v>45211</v>
      </c>
      <c r="G11">
        <v>209646030</v>
      </c>
      <c r="H11">
        <v>91</v>
      </c>
      <c r="I11">
        <v>95000000</v>
      </c>
      <c r="J11" t="s">
        <v>205</v>
      </c>
      <c r="K11" t="s">
        <v>46</v>
      </c>
      <c r="L11" t="s">
        <v>204</v>
      </c>
      <c r="M11" t="s">
        <v>206</v>
      </c>
      <c r="N11">
        <v>9.0210000000000008</v>
      </c>
      <c r="O11" t="s">
        <v>207</v>
      </c>
      <c r="P11" t="s">
        <v>208</v>
      </c>
      <c r="Q11" t="s">
        <v>209</v>
      </c>
      <c r="R11" t="s">
        <v>70</v>
      </c>
      <c r="S11" t="s">
        <v>144</v>
      </c>
      <c r="T11" t="s">
        <v>210</v>
      </c>
      <c r="U11" t="s">
        <v>211</v>
      </c>
      <c r="W11" t="s">
        <v>212</v>
      </c>
      <c r="X11" t="s">
        <v>213</v>
      </c>
      <c r="Y11" t="s">
        <v>214</v>
      </c>
      <c r="Z11">
        <v>6</v>
      </c>
      <c r="AA11">
        <v>19207</v>
      </c>
      <c r="AB11" t="s">
        <v>215</v>
      </c>
      <c r="AC11">
        <v>10</v>
      </c>
      <c r="AD11">
        <v>2023</v>
      </c>
      <c r="AE11">
        <v>41</v>
      </c>
      <c r="AF11" t="s">
        <v>216</v>
      </c>
      <c r="AG11">
        <v>-27</v>
      </c>
      <c r="AH11">
        <v>19.160931099849201</v>
      </c>
      <c r="AI11">
        <v>0.68431896785175905</v>
      </c>
      <c r="AJ11" t="s">
        <v>61</v>
      </c>
      <c r="AK11" t="s">
        <v>217</v>
      </c>
      <c r="AL11">
        <v>52</v>
      </c>
      <c r="AM11">
        <v>1</v>
      </c>
      <c r="AN11">
        <v>57</v>
      </c>
      <c r="AO11">
        <v>0.02</v>
      </c>
      <c r="AP11" t="s">
        <v>63</v>
      </c>
      <c r="AQ11" t="s">
        <v>63</v>
      </c>
    </row>
    <row r="12" spans="1:43" x14ac:dyDescent="0.2">
      <c r="A12">
        <v>949229</v>
      </c>
      <c r="B12" t="s">
        <v>218</v>
      </c>
      <c r="C12">
        <v>6.8079999999999998</v>
      </c>
      <c r="D12">
        <v>107</v>
      </c>
      <c r="E12" t="s">
        <v>44</v>
      </c>
      <c r="F12" s="1">
        <v>45217</v>
      </c>
      <c r="G12">
        <v>71772785</v>
      </c>
      <c r="H12">
        <v>163</v>
      </c>
      <c r="I12">
        <v>42219285</v>
      </c>
      <c r="J12" t="s">
        <v>219</v>
      </c>
      <c r="K12" t="s">
        <v>220</v>
      </c>
      <c r="L12" t="s">
        <v>221</v>
      </c>
      <c r="M12" t="s">
        <v>222</v>
      </c>
      <c r="N12">
        <v>4.5918999999999999</v>
      </c>
      <c r="O12" t="s">
        <v>223</v>
      </c>
      <c r="P12" t="s">
        <v>224</v>
      </c>
      <c r="Q12" t="s">
        <v>225</v>
      </c>
      <c r="R12" t="s">
        <v>107</v>
      </c>
      <c r="S12" t="s">
        <v>226</v>
      </c>
      <c r="T12" t="s">
        <v>227</v>
      </c>
      <c r="U12" t="s">
        <v>228</v>
      </c>
      <c r="V12" t="s">
        <v>229</v>
      </c>
      <c r="W12" t="s">
        <v>230</v>
      </c>
      <c r="X12" t="s">
        <v>231</v>
      </c>
      <c r="Y12" t="s">
        <v>232</v>
      </c>
      <c r="Z12">
        <v>7.2</v>
      </c>
      <c r="AA12">
        <v>72040</v>
      </c>
      <c r="AB12" t="s">
        <v>233</v>
      </c>
      <c r="AC12">
        <v>10</v>
      </c>
      <c r="AD12">
        <v>2023</v>
      </c>
      <c r="AE12">
        <v>42</v>
      </c>
      <c r="AF12" t="s">
        <v>234</v>
      </c>
      <c r="AG12">
        <v>-21</v>
      </c>
      <c r="AH12">
        <v>18.089015937100601</v>
      </c>
      <c r="AI12">
        <v>0.82222799714093897</v>
      </c>
      <c r="AJ12" t="s">
        <v>61</v>
      </c>
      <c r="AK12" t="s">
        <v>235</v>
      </c>
      <c r="AL12">
        <v>13</v>
      </c>
      <c r="AM12">
        <v>4</v>
      </c>
      <c r="AN12">
        <v>21</v>
      </c>
      <c r="AO12">
        <v>0.19</v>
      </c>
      <c r="AP12" t="s">
        <v>63</v>
      </c>
      <c r="AQ12" t="s">
        <v>63</v>
      </c>
    </row>
    <row r="13" spans="1:43" x14ac:dyDescent="0.2">
      <c r="A13">
        <v>1058694</v>
      </c>
      <c r="B13" t="s">
        <v>236</v>
      </c>
      <c r="C13">
        <v>8.4</v>
      </c>
      <c r="D13">
        <v>478</v>
      </c>
      <c r="E13" t="s">
        <v>44</v>
      </c>
      <c r="F13" s="1">
        <v>45218</v>
      </c>
      <c r="G13">
        <v>21761164</v>
      </c>
      <c r="H13">
        <v>126</v>
      </c>
      <c r="I13">
        <v>10000000</v>
      </c>
      <c r="J13" t="s">
        <v>237</v>
      </c>
      <c r="K13" t="s">
        <v>238</v>
      </c>
      <c r="L13" t="s">
        <v>236</v>
      </c>
      <c r="M13" t="s">
        <v>239</v>
      </c>
      <c r="N13">
        <v>3.3233000000000001</v>
      </c>
      <c r="O13" t="s">
        <v>240</v>
      </c>
      <c r="P13" t="s">
        <v>241</v>
      </c>
      <c r="Q13" t="s">
        <v>242</v>
      </c>
      <c r="R13" t="s">
        <v>243</v>
      </c>
      <c r="S13" t="s">
        <v>244</v>
      </c>
      <c r="T13" t="s">
        <v>245</v>
      </c>
      <c r="U13" t="s">
        <v>246</v>
      </c>
      <c r="V13" t="s">
        <v>247</v>
      </c>
      <c r="W13" t="s">
        <v>248</v>
      </c>
      <c r="X13" t="s">
        <v>249</v>
      </c>
      <c r="Y13" t="s">
        <v>250</v>
      </c>
      <c r="Z13">
        <v>7.8</v>
      </c>
      <c r="AA13">
        <v>7307</v>
      </c>
      <c r="AB13" t="s">
        <v>251</v>
      </c>
      <c r="AC13">
        <v>10</v>
      </c>
      <c r="AD13">
        <v>2023</v>
      </c>
      <c r="AE13">
        <v>42</v>
      </c>
      <c r="AF13" t="s">
        <v>252</v>
      </c>
      <c r="AG13">
        <v>-20</v>
      </c>
      <c r="AH13">
        <v>16.895637517121799</v>
      </c>
      <c r="AI13">
        <v>0.80455416748199104</v>
      </c>
      <c r="AJ13" t="s">
        <v>61</v>
      </c>
      <c r="AK13" t="s">
        <v>253</v>
      </c>
      <c r="AL13">
        <v>13</v>
      </c>
      <c r="AM13">
        <v>3</v>
      </c>
      <c r="AN13">
        <v>48</v>
      </c>
      <c r="AO13">
        <v>0.06</v>
      </c>
      <c r="AP13" t="s">
        <v>63</v>
      </c>
      <c r="AQ13" t="s">
        <v>63</v>
      </c>
    </row>
    <row r="14" spans="1:43" x14ac:dyDescent="0.2">
      <c r="A14">
        <v>763118</v>
      </c>
      <c r="B14" t="s">
        <v>254</v>
      </c>
      <c r="C14">
        <v>2.7</v>
      </c>
      <c r="D14">
        <v>7</v>
      </c>
      <c r="E14" t="s">
        <v>44</v>
      </c>
      <c r="F14" s="1">
        <v>45219</v>
      </c>
      <c r="G14">
        <v>1700000</v>
      </c>
      <c r="H14">
        <v>135</v>
      </c>
      <c r="I14">
        <v>22000000</v>
      </c>
      <c r="J14" t="s">
        <v>255</v>
      </c>
      <c r="K14" t="s">
        <v>101</v>
      </c>
      <c r="L14" t="s">
        <v>256</v>
      </c>
      <c r="M14" t="s">
        <v>257</v>
      </c>
      <c r="N14">
        <v>3.6459999999999999</v>
      </c>
      <c r="O14" t="s">
        <v>258</v>
      </c>
      <c r="P14" t="s">
        <v>259</v>
      </c>
      <c r="Q14" t="s">
        <v>260</v>
      </c>
      <c r="R14" t="s">
        <v>107</v>
      </c>
      <c r="S14" t="s">
        <v>108</v>
      </c>
      <c r="T14" t="s">
        <v>261</v>
      </c>
      <c r="U14" t="s">
        <v>262</v>
      </c>
      <c r="V14" t="s">
        <v>263</v>
      </c>
      <c r="W14" t="s">
        <v>264</v>
      </c>
      <c r="X14" t="s">
        <v>265</v>
      </c>
      <c r="Y14" t="s">
        <v>266</v>
      </c>
      <c r="Z14">
        <v>2.6</v>
      </c>
      <c r="AA14">
        <v>10667</v>
      </c>
      <c r="AB14" t="s">
        <v>267</v>
      </c>
      <c r="AC14">
        <v>10</v>
      </c>
      <c r="AD14">
        <v>2023</v>
      </c>
      <c r="AE14">
        <v>42</v>
      </c>
      <c r="AF14" t="s">
        <v>268</v>
      </c>
      <c r="AG14">
        <v>-19</v>
      </c>
      <c r="AH14">
        <v>14.346139397261499</v>
      </c>
      <c r="AI14">
        <v>0.71730696986307796</v>
      </c>
      <c r="AJ14" t="s">
        <v>61</v>
      </c>
      <c r="AK14" t="s">
        <v>269</v>
      </c>
      <c r="AL14">
        <v>10</v>
      </c>
      <c r="AM14">
        <v>0</v>
      </c>
      <c r="AN14">
        <v>12</v>
      </c>
      <c r="AO14">
        <v>0</v>
      </c>
      <c r="AP14" t="s">
        <v>63</v>
      </c>
      <c r="AQ14" t="s">
        <v>63</v>
      </c>
    </row>
    <row r="15" spans="1:43" x14ac:dyDescent="0.2">
      <c r="A15">
        <v>1001241</v>
      </c>
      <c r="B15" t="s">
        <v>270</v>
      </c>
      <c r="C15">
        <v>4.4000000000000004</v>
      </c>
      <c r="D15">
        <v>7</v>
      </c>
      <c r="E15" t="s">
        <v>44</v>
      </c>
      <c r="F15" s="1">
        <v>45219</v>
      </c>
      <c r="G15">
        <v>321687</v>
      </c>
      <c r="H15">
        <v>150</v>
      </c>
      <c r="I15">
        <v>3012048</v>
      </c>
      <c r="J15" t="s">
        <v>271</v>
      </c>
      <c r="K15" t="s">
        <v>101</v>
      </c>
      <c r="L15" t="s">
        <v>272</v>
      </c>
      <c r="M15" t="s">
        <v>273</v>
      </c>
      <c r="N15">
        <v>4.3630000000000004</v>
      </c>
      <c r="O15" t="s">
        <v>274</v>
      </c>
      <c r="P15" t="s">
        <v>275</v>
      </c>
      <c r="Q15" t="s">
        <v>276</v>
      </c>
      <c r="R15" t="s">
        <v>107</v>
      </c>
      <c r="S15" t="s">
        <v>108</v>
      </c>
      <c r="T15" t="s">
        <v>277</v>
      </c>
      <c r="U15" t="s">
        <v>278</v>
      </c>
      <c r="V15" t="s">
        <v>279</v>
      </c>
      <c r="W15" t="s">
        <v>280</v>
      </c>
      <c r="X15" t="s">
        <v>281</v>
      </c>
      <c r="Y15" t="s">
        <v>282</v>
      </c>
      <c r="Z15">
        <v>5</v>
      </c>
      <c r="AA15">
        <v>12993</v>
      </c>
      <c r="AB15" t="s">
        <v>283</v>
      </c>
      <c r="AC15">
        <v>10</v>
      </c>
      <c r="AD15">
        <v>2023</v>
      </c>
      <c r="AE15">
        <v>42</v>
      </c>
      <c r="AF15" t="s">
        <v>284</v>
      </c>
      <c r="AG15">
        <v>-19</v>
      </c>
      <c r="AH15">
        <v>12.681337410697299</v>
      </c>
      <c r="AI15">
        <v>0.63406687053486899</v>
      </c>
      <c r="AJ15" t="s">
        <v>61</v>
      </c>
      <c r="AK15" t="s">
        <v>285</v>
      </c>
      <c r="AL15">
        <v>5</v>
      </c>
      <c r="AM15">
        <v>0</v>
      </c>
      <c r="AN15">
        <v>6</v>
      </c>
      <c r="AO15">
        <v>0</v>
      </c>
      <c r="AP15" t="s">
        <v>63</v>
      </c>
      <c r="AQ15" t="s">
        <v>63</v>
      </c>
    </row>
    <row r="16" spans="1:43" x14ac:dyDescent="0.2">
      <c r="A16">
        <v>1058078</v>
      </c>
      <c r="B16" t="s">
        <v>286</v>
      </c>
      <c r="C16">
        <v>5.9260000000000002</v>
      </c>
      <c r="D16">
        <v>95</v>
      </c>
      <c r="E16" t="s">
        <v>44</v>
      </c>
      <c r="F16" s="1">
        <v>45219</v>
      </c>
      <c r="G16">
        <v>633385</v>
      </c>
      <c r="H16">
        <v>93</v>
      </c>
      <c r="I16">
        <v>2250000</v>
      </c>
      <c r="J16" t="s">
        <v>287</v>
      </c>
      <c r="K16" t="s">
        <v>288</v>
      </c>
      <c r="L16" t="s">
        <v>289</v>
      </c>
      <c r="M16" t="s">
        <v>290</v>
      </c>
      <c r="N16">
        <v>1.8323</v>
      </c>
      <c r="O16" t="s">
        <v>291</v>
      </c>
      <c r="P16" t="s">
        <v>292</v>
      </c>
      <c r="Q16" t="s">
        <v>293</v>
      </c>
      <c r="R16" t="s">
        <v>294</v>
      </c>
      <c r="S16" t="s">
        <v>295</v>
      </c>
      <c r="T16" t="s">
        <v>296</v>
      </c>
      <c r="U16" t="s">
        <v>297</v>
      </c>
      <c r="W16" t="s">
        <v>298</v>
      </c>
      <c r="X16" t="s">
        <v>299</v>
      </c>
      <c r="Y16" t="s">
        <v>300</v>
      </c>
      <c r="Z16">
        <v>4.7</v>
      </c>
      <c r="AA16">
        <v>1822</v>
      </c>
      <c r="AB16" t="s">
        <v>301</v>
      </c>
      <c r="AC16">
        <v>10</v>
      </c>
      <c r="AD16">
        <v>2023</v>
      </c>
      <c r="AE16">
        <v>42</v>
      </c>
      <c r="AF16" t="s">
        <v>302</v>
      </c>
      <c r="AG16">
        <v>-19</v>
      </c>
      <c r="AH16">
        <v>13.3588353099058</v>
      </c>
      <c r="AI16">
        <v>0.66794176549529305</v>
      </c>
      <c r="AJ16" t="s">
        <v>61</v>
      </c>
      <c r="AK16" t="s">
        <v>303</v>
      </c>
      <c r="AL16">
        <v>10</v>
      </c>
      <c r="AM16">
        <v>1</v>
      </c>
      <c r="AN16">
        <v>14</v>
      </c>
      <c r="AO16">
        <v>7.0000000000000007E-2</v>
      </c>
      <c r="AP16" t="s">
        <v>63</v>
      </c>
      <c r="AQ16" t="s">
        <v>63</v>
      </c>
    </row>
    <row r="17" spans="1:43" x14ac:dyDescent="0.2">
      <c r="A17">
        <v>507089</v>
      </c>
      <c r="B17" t="s">
        <v>304</v>
      </c>
      <c r="C17">
        <v>7.4</v>
      </c>
      <c r="D17">
        <v>4616</v>
      </c>
      <c r="E17" t="s">
        <v>44</v>
      </c>
      <c r="F17" s="1">
        <v>45224</v>
      </c>
      <c r="G17">
        <v>297144130</v>
      </c>
      <c r="H17">
        <v>110</v>
      </c>
      <c r="I17">
        <v>20000000</v>
      </c>
      <c r="J17" t="s">
        <v>305</v>
      </c>
      <c r="K17" t="s">
        <v>46</v>
      </c>
      <c r="L17" t="s">
        <v>304</v>
      </c>
      <c r="M17" t="s">
        <v>306</v>
      </c>
      <c r="N17">
        <v>14.533300000000001</v>
      </c>
      <c r="O17" t="s">
        <v>307</v>
      </c>
      <c r="P17" t="s">
        <v>308</v>
      </c>
      <c r="Q17" t="s">
        <v>309</v>
      </c>
      <c r="R17" t="s">
        <v>70</v>
      </c>
      <c r="S17" t="s">
        <v>144</v>
      </c>
      <c r="T17" t="s">
        <v>310</v>
      </c>
      <c r="U17" t="s">
        <v>311</v>
      </c>
      <c r="V17" t="s">
        <v>312</v>
      </c>
      <c r="W17" t="s">
        <v>313</v>
      </c>
      <c r="X17" t="s">
        <v>314</v>
      </c>
      <c r="Y17" t="s">
        <v>315</v>
      </c>
      <c r="Z17">
        <v>5.4</v>
      </c>
      <c r="AA17">
        <v>123458</v>
      </c>
      <c r="AB17" t="s">
        <v>316</v>
      </c>
      <c r="AC17">
        <v>10</v>
      </c>
      <c r="AD17">
        <v>2023</v>
      </c>
      <c r="AE17">
        <v>43</v>
      </c>
      <c r="AF17" t="s">
        <v>317</v>
      </c>
      <c r="AG17">
        <v>-14</v>
      </c>
      <c r="AH17">
        <v>19.509727868614299</v>
      </c>
      <c r="AI17">
        <v>1.30064852457429</v>
      </c>
      <c r="AJ17" t="s">
        <v>61</v>
      </c>
      <c r="AK17" t="s">
        <v>318</v>
      </c>
      <c r="AL17">
        <v>111</v>
      </c>
      <c r="AM17">
        <v>2</v>
      </c>
      <c r="AN17">
        <v>120</v>
      </c>
      <c r="AO17">
        <v>0.02</v>
      </c>
      <c r="AP17" t="s">
        <v>63</v>
      </c>
      <c r="AQ17" t="s">
        <v>63</v>
      </c>
    </row>
    <row r="18" spans="1:43" x14ac:dyDescent="0.2">
      <c r="A18">
        <v>779816</v>
      </c>
      <c r="B18" t="s">
        <v>319</v>
      </c>
      <c r="C18">
        <v>7.8289999999999997</v>
      </c>
      <c r="D18">
        <v>202</v>
      </c>
      <c r="E18" t="s">
        <v>44</v>
      </c>
      <c r="F18" s="1">
        <v>45224</v>
      </c>
      <c r="G18">
        <v>8799528</v>
      </c>
      <c r="H18">
        <v>121</v>
      </c>
      <c r="I18">
        <v>20000000</v>
      </c>
      <c r="J18" t="s">
        <v>320</v>
      </c>
      <c r="K18" t="s">
        <v>46</v>
      </c>
      <c r="L18" t="s">
        <v>319</v>
      </c>
      <c r="M18" t="s">
        <v>321</v>
      </c>
      <c r="N18">
        <v>6.4785000000000004</v>
      </c>
      <c r="O18" t="s">
        <v>322</v>
      </c>
      <c r="P18" t="s">
        <v>241</v>
      </c>
      <c r="Q18" t="s">
        <v>323</v>
      </c>
      <c r="R18" t="s">
        <v>70</v>
      </c>
      <c r="S18" t="s">
        <v>324</v>
      </c>
      <c r="T18" t="s">
        <v>325</v>
      </c>
      <c r="U18" t="s">
        <v>326</v>
      </c>
      <c r="V18" t="s">
        <v>327</v>
      </c>
      <c r="W18" t="s">
        <v>328</v>
      </c>
      <c r="X18" t="s">
        <v>329</v>
      </c>
      <c r="Y18" t="s">
        <v>330</v>
      </c>
      <c r="Z18">
        <v>7.3</v>
      </c>
      <c r="AA18">
        <v>7711</v>
      </c>
      <c r="AB18" t="s">
        <v>331</v>
      </c>
      <c r="AC18">
        <v>10</v>
      </c>
      <c r="AD18">
        <v>2023</v>
      </c>
      <c r="AE18">
        <v>43</v>
      </c>
      <c r="AF18" t="s">
        <v>332</v>
      </c>
      <c r="AG18">
        <v>-14</v>
      </c>
      <c r="AH18">
        <v>15.9902087552887</v>
      </c>
      <c r="AI18">
        <v>1.06601391701925</v>
      </c>
      <c r="AJ18" t="s">
        <v>61</v>
      </c>
      <c r="AK18" t="s">
        <v>333</v>
      </c>
      <c r="AL18">
        <v>25</v>
      </c>
      <c r="AM18">
        <v>2</v>
      </c>
      <c r="AN18">
        <v>31</v>
      </c>
      <c r="AO18">
        <v>0.06</v>
      </c>
      <c r="AP18" t="s">
        <v>63</v>
      </c>
      <c r="AQ18" t="s">
        <v>63</v>
      </c>
    </row>
    <row r="19" spans="1:43" x14ac:dyDescent="0.2">
      <c r="A19">
        <v>840430</v>
      </c>
      <c r="B19" t="s">
        <v>334</v>
      </c>
      <c r="C19">
        <v>7.7</v>
      </c>
      <c r="D19">
        <v>2204</v>
      </c>
      <c r="E19" t="s">
        <v>44</v>
      </c>
      <c r="F19" s="1">
        <v>45226</v>
      </c>
      <c r="G19">
        <v>42513270</v>
      </c>
      <c r="H19">
        <v>133</v>
      </c>
      <c r="I19">
        <v>13000000</v>
      </c>
      <c r="J19" t="s">
        <v>335</v>
      </c>
      <c r="K19" t="s">
        <v>46</v>
      </c>
      <c r="L19" t="s">
        <v>334</v>
      </c>
      <c r="M19" t="s">
        <v>336</v>
      </c>
      <c r="N19">
        <v>4.5242000000000004</v>
      </c>
      <c r="O19" t="s">
        <v>337</v>
      </c>
      <c r="P19" t="s">
        <v>105</v>
      </c>
      <c r="Q19" t="s">
        <v>338</v>
      </c>
      <c r="R19" t="s">
        <v>70</v>
      </c>
      <c r="S19" t="s">
        <v>144</v>
      </c>
      <c r="T19" t="s">
        <v>339</v>
      </c>
      <c r="U19" t="s">
        <v>340</v>
      </c>
      <c r="V19" t="s">
        <v>341</v>
      </c>
      <c r="W19" t="s">
        <v>342</v>
      </c>
      <c r="X19" t="s">
        <v>343</v>
      </c>
      <c r="Y19" t="s">
        <v>344</v>
      </c>
      <c r="Z19">
        <v>7.9</v>
      </c>
      <c r="AA19">
        <v>211609</v>
      </c>
      <c r="AB19" t="s">
        <v>345</v>
      </c>
      <c r="AC19">
        <v>10</v>
      </c>
      <c r="AD19">
        <v>2023</v>
      </c>
      <c r="AE19">
        <v>43</v>
      </c>
      <c r="AF19" t="s">
        <v>346</v>
      </c>
      <c r="AG19">
        <v>-12</v>
      </c>
      <c r="AH19">
        <v>17.565326843975502</v>
      </c>
      <c r="AI19">
        <v>1.35117898799811</v>
      </c>
      <c r="AJ19" t="s">
        <v>61</v>
      </c>
      <c r="AK19" t="s">
        <v>347</v>
      </c>
      <c r="AL19">
        <v>36</v>
      </c>
      <c r="AM19">
        <v>1</v>
      </c>
      <c r="AN19">
        <v>74</v>
      </c>
      <c r="AO19">
        <v>0.01</v>
      </c>
      <c r="AP19" t="s">
        <v>63</v>
      </c>
      <c r="AQ19" t="s">
        <v>63</v>
      </c>
    </row>
    <row r="20" spans="1:43" x14ac:dyDescent="0.2">
      <c r="A20">
        <v>936002</v>
      </c>
      <c r="B20" t="s">
        <v>348</v>
      </c>
      <c r="C20">
        <v>4.9000000000000004</v>
      </c>
      <c r="D20">
        <v>9</v>
      </c>
      <c r="E20" t="s">
        <v>44</v>
      </c>
      <c r="F20" s="1">
        <v>45226</v>
      </c>
      <c r="G20">
        <v>21524</v>
      </c>
      <c r="H20">
        <v>89</v>
      </c>
      <c r="I20">
        <v>625000</v>
      </c>
      <c r="J20" t="s">
        <v>349</v>
      </c>
      <c r="K20" t="s">
        <v>46</v>
      </c>
      <c r="L20" t="s">
        <v>348</v>
      </c>
      <c r="M20" t="s">
        <v>350</v>
      </c>
      <c r="N20">
        <v>0.59819999999999995</v>
      </c>
      <c r="O20" t="s">
        <v>351</v>
      </c>
      <c r="P20" t="s">
        <v>292</v>
      </c>
      <c r="Q20" t="s">
        <v>352</v>
      </c>
      <c r="R20" t="s">
        <v>353</v>
      </c>
      <c r="S20" t="s">
        <v>144</v>
      </c>
      <c r="T20" t="s">
        <v>354</v>
      </c>
      <c r="U20" t="s">
        <v>355</v>
      </c>
      <c r="V20" t="s">
        <v>356</v>
      </c>
      <c r="W20" t="s">
        <v>357</v>
      </c>
      <c r="X20" t="s">
        <v>358</v>
      </c>
      <c r="Y20" t="s">
        <v>359</v>
      </c>
      <c r="Z20">
        <v>4.5</v>
      </c>
      <c r="AA20">
        <v>638</v>
      </c>
      <c r="AB20" t="s">
        <v>360</v>
      </c>
      <c r="AC20">
        <v>10</v>
      </c>
      <c r="AD20">
        <v>2023</v>
      </c>
      <c r="AE20">
        <v>43</v>
      </c>
      <c r="AF20" t="s">
        <v>361</v>
      </c>
      <c r="AG20">
        <v>-12</v>
      </c>
      <c r="AH20">
        <v>9.9769703292959306</v>
      </c>
      <c r="AI20">
        <v>0.76745925609968701</v>
      </c>
      <c r="AJ20" t="s">
        <v>61</v>
      </c>
      <c r="AK20" t="s">
        <v>362</v>
      </c>
      <c r="AL20">
        <v>2</v>
      </c>
      <c r="AM20">
        <v>0</v>
      </c>
      <c r="AN20">
        <v>6</v>
      </c>
      <c r="AO20">
        <v>0</v>
      </c>
      <c r="AP20" t="s">
        <v>63</v>
      </c>
      <c r="AQ20" t="s">
        <v>63</v>
      </c>
    </row>
    <row r="21" spans="1:43" x14ac:dyDescent="0.2">
      <c r="A21">
        <v>1020006</v>
      </c>
      <c r="B21" t="s">
        <v>363</v>
      </c>
      <c r="C21">
        <v>6.8</v>
      </c>
      <c r="D21">
        <v>989</v>
      </c>
      <c r="E21" t="s">
        <v>44</v>
      </c>
      <c r="F21" s="1">
        <v>45226</v>
      </c>
      <c r="G21">
        <v>30140906</v>
      </c>
      <c r="H21">
        <v>113</v>
      </c>
      <c r="I21">
        <v>20000000</v>
      </c>
      <c r="J21" t="s">
        <v>364</v>
      </c>
      <c r="K21" t="s">
        <v>46</v>
      </c>
      <c r="L21" t="s">
        <v>363</v>
      </c>
      <c r="M21" t="s">
        <v>365</v>
      </c>
      <c r="N21">
        <v>3.3788999999999998</v>
      </c>
      <c r="O21" t="s">
        <v>366</v>
      </c>
      <c r="P21" t="s">
        <v>367</v>
      </c>
      <c r="Q21" t="s">
        <v>368</v>
      </c>
      <c r="R21" t="s">
        <v>369</v>
      </c>
      <c r="S21" t="s">
        <v>144</v>
      </c>
      <c r="T21" t="s">
        <v>370</v>
      </c>
      <c r="U21" t="s">
        <v>371</v>
      </c>
      <c r="V21" t="s">
        <v>372</v>
      </c>
      <c r="W21" t="s">
        <v>373</v>
      </c>
      <c r="X21" t="s">
        <v>374</v>
      </c>
      <c r="Y21" t="s">
        <v>375</v>
      </c>
      <c r="Z21">
        <v>6.5</v>
      </c>
      <c r="AA21">
        <v>50554</v>
      </c>
      <c r="AB21" t="s">
        <v>376</v>
      </c>
      <c r="AC21">
        <v>10</v>
      </c>
      <c r="AD21">
        <v>2023</v>
      </c>
      <c r="AE21">
        <v>43</v>
      </c>
      <c r="AF21" t="s">
        <v>377</v>
      </c>
      <c r="AG21">
        <v>-12</v>
      </c>
      <c r="AH21">
        <v>17.221393843609601</v>
      </c>
      <c r="AI21">
        <v>1.32472260335458</v>
      </c>
      <c r="AJ21" t="s">
        <v>61</v>
      </c>
      <c r="AK21" t="s">
        <v>378</v>
      </c>
      <c r="AL21">
        <v>38</v>
      </c>
      <c r="AM21">
        <v>2</v>
      </c>
      <c r="AN21">
        <v>64</v>
      </c>
      <c r="AO21">
        <v>0.03</v>
      </c>
      <c r="AP21" t="s">
        <v>63</v>
      </c>
      <c r="AQ21" t="s">
        <v>63</v>
      </c>
    </row>
    <row r="22" spans="1:43" x14ac:dyDescent="0.2">
      <c r="A22">
        <v>792614</v>
      </c>
      <c r="B22" t="s">
        <v>379</v>
      </c>
      <c r="C22">
        <v>6.3470000000000004</v>
      </c>
      <c r="D22">
        <v>88</v>
      </c>
      <c r="E22" t="s">
        <v>44</v>
      </c>
      <c r="F22" s="1">
        <v>45231</v>
      </c>
      <c r="G22">
        <v>2726128</v>
      </c>
      <c r="H22">
        <v>100</v>
      </c>
      <c r="I22">
        <v>6700000</v>
      </c>
      <c r="J22" t="s">
        <v>380</v>
      </c>
      <c r="K22" t="s">
        <v>120</v>
      </c>
      <c r="L22" t="s">
        <v>381</v>
      </c>
      <c r="M22" t="s">
        <v>382</v>
      </c>
      <c r="N22">
        <v>1.8586</v>
      </c>
      <c r="O22" t="s">
        <v>383</v>
      </c>
      <c r="P22" t="s">
        <v>384</v>
      </c>
      <c r="Q22" t="s">
        <v>385</v>
      </c>
      <c r="R22" t="s">
        <v>386</v>
      </c>
      <c r="S22" t="s">
        <v>127</v>
      </c>
      <c r="T22" t="s">
        <v>387</v>
      </c>
      <c r="U22" t="s">
        <v>388</v>
      </c>
      <c r="V22" t="s">
        <v>389</v>
      </c>
      <c r="W22" t="s">
        <v>390</v>
      </c>
      <c r="X22" t="s">
        <v>391</v>
      </c>
      <c r="Y22" t="s">
        <v>392</v>
      </c>
      <c r="Z22">
        <v>6.3</v>
      </c>
      <c r="AA22">
        <v>1940</v>
      </c>
      <c r="AB22" t="s">
        <v>393</v>
      </c>
      <c r="AC22">
        <v>11</v>
      </c>
      <c r="AD22">
        <v>2023</v>
      </c>
      <c r="AE22">
        <v>44</v>
      </c>
      <c r="AF22" t="s">
        <v>394</v>
      </c>
      <c r="AG22">
        <v>-7</v>
      </c>
      <c r="AH22">
        <v>14.818393212202601</v>
      </c>
      <c r="AI22">
        <v>1.85229915152532</v>
      </c>
      <c r="AJ22" t="s">
        <v>61</v>
      </c>
      <c r="AK22" t="s">
        <v>395</v>
      </c>
      <c r="AL22">
        <v>18</v>
      </c>
      <c r="AM22">
        <v>1</v>
      </c>
      <c r="AN22">
        <v>23</v>
      </c>
      <c r="AO22">
        <v>0.04</v>
      </c>
      <c r="AP22" t="s">
        <v>63</v>
      </c>
      <c r="AQ22" t="s">
        <v>63</v>
      </c>
    </row>
    <row r="23" spans="1:43" x14ac:dyDescent="0.2">
      <c r="A23">
        <v>970948</v>
      </c>
      <c r="B23" t="s">
        <v>396</v>
      </c>
      <c r="C23">
        <v>4.7</v>
      </c>
      <c r="D23">
        <v>74</v>
      </c>
      <c r="E23" t="s">
        <v>44</v>
      </c>
      <c r="F23" s="1">
        <v>45232</v>
      </c>
      <c r="G23">
        <v>3370345</v>
      </c>
      <c r="H23">
        <v>104</v>
      </c>
      <c r="I23">
        <v>3000000</v>
      </c>
      <c r="J23" t="s">
        <v>397</v>
      </c>
      <c r="K23" t="s">
        <v>46</v>
      </c>
      <c r="L23" t="s">
        <v>396</v>
      </c>
      <c r="M23" t="s">
        <v>398</v>
      </c>
      <c r="N23">
        <v>2.7530999999999999</v>
      </c>
      <c r="O23" t="s">
        <v>399</v>
      </c>
      <c r="P23" t="s">
        <v>400</v>
      </c>
      <c r="Q23" t="s">
        <v>401</v>
      </c>
      <c r="R23" t="s">
        <v>70</v>
      </c>
      <c r="S23" t="s">
        <v>144</v>
      </c>
      <c r="T23" t="s">
        <v>402</v>
      </c>
      <c r="U23" t="s">
        <v>403</v>
      </c>
      <c r="V23" t="s">
        <v>404</v>
      </c>
      <c r="W23" t="s">
        <v>405</v>
      </c>
      <c r="X23" t="s">
        <v>406</v>
      </c>
      <c r="Y23" t="s">
        <v>407</v>
      </c>
      <c r="Z23">
        <v>4.9000000000000004</v>
      </c>
      <c r="AA23">
        <v>5195</v>
      </c>
      <c r="AB23" t="s">
        <v>408</v>
      </c>
      <c r="AC23">
        <v>11</v>
      </c>
      <c r="AD23">
        <v>2023</v>
      </c>
      <c r="AE23">
        <v>44</v>
      </c>
      <c r="AF23" t="s">
        <v>409</v>
      </c>
      <c r="AG23">
        <v>-6</v>
      </c>
      <c r="AH23">
        <v>15.030525967681401</v>
      </c>
      <c r="AI23">
        <v>2.1472179953830599</v>
      </c>
      <c r="AJ23" t="s">
        <v>61</v>
      </c>
      <c r="AK23" t="s">
        <v>410</v>
      </c>
      <c r="AL23">
        <v>10</v>
      </c>
      <c r="AM23">
        <v>2</v>
      </c>
      <c r="AN23">
        <v>14</v>
      </c>
      <c r="AO23">
        <v>0.14000000000000001</v>
      </c>
      <c r="AP23" t="s">
        <v>63</v>
      </c>
      <c r="AQ23" t="s">
        <v>63</v>
      </c>
    </row>
    <row r="24" spans="1:43" x14ac:dyDescent="0.2">
      <c r="A24">
        <v>940721</v>
      </c>
      <c r="B24" t="s">
        <v>411</v>
      </c>
      <c r="C24">
        <v>7.6</v>
      </c>
      <c r="D24">
        <v>2866</v>
      </c>
      <c r="E24" t="s">
        <v>44</v>
      </c>
      <c r="F24" s="1">
        <v>45233</v>
      </c>
      <c r="G24">
        <v>113676322</v>
      </c>
      <c r="H24">
        <v>124</v>
      </c>
      <c r="I24">
        <v>15000000</v>
      </c>
      <c r="J24" t="s">
        <v>412</v>
      </c>
      <c r="K24" t="s">
        <v>413</v>
      </c>
      <c r="L24" t="s">
        <v>414</v>
      </c>
      <c r="M24" t="s">
        <v>415</v>
      </c>
      <c r="N24">
        <v>10.8248</v>
      </c>
      <c r="O24" t="s">
        <v>416</v>
      </c>
      <c r="P24" t="s">
        <v>417</v>
      </c>
      <c r="Q24" t="s">
        <v>418</v>
      </c>
      <c r="R24" t="s">
        <v>419</v>
      </c>
      <c r="S24" t="s">
        <v>420</v>
      </c>
      <c r="T24" t="s">
        <v>421</v>
      </c>
      <c r="U24" t="s">
        <v>422</v>
      </c>
      <c r="V24" t="s">
        <v>423</v>
      </c>
      <c r="W24" t="s">
        <v>422</v>
      </c>
      <c r="X24" t="s">
        <v>424</v>
      </c>
      <c r="Y24" t="s">
        <v>425</v>
      </c>
      <c r="Z24">
        <v>7.7</v>
      </c>
      <c r="AA24">
        <v>179943</v>
      </c>
      <c r="AB24" t="s">
        <v>426</v>
      </c>
      <c r="AC24">
        <v>11</v>
      </c>
      <c r="AD24">
        <v>2023</v>
      </c>
      <c r="AE24">
        <v>44</v>
      </c>
      <c r="AF24" t="s">
        <v>427</v>
      </c>
      <c r="AG24">
        <v>-5</v>
      </c>
      <c r="AH24">
        <v>18.548865696050498</v>
      </c>
      <c r="AI24">
        <v>3.0914776160084201</v>
      </c>
      <c r="AJ24" t="s">
        <v>61</v>
      </c>
      <c r="AK24" t="s">
        <v>428</v>
      </c>
      <c r="AL24">
        <v>35</v>
      </c>
      <c r="AM24">
        <v>7</v>
      </c>
      <c r="AN24">
        <v>73</v>
      </c>
      <c r="AO24">
        <v>0.1</v>
      </c>
      <c r="AP24" t="s">
        <v>63</v>
      </c>
      <c r="AQ24" t="s">
        <v>63</v>
      </c>
    </row>
    <row r="25" spans="1:43" x14ac:dyDescent="0.2">
      <c r="A25">
        <v>823482</v>
      </c>
      <c r="B25" t="s">
        <v>429</v>
      </c>
      <c r="C25">
        <v>6.6479999999999997</v>
      </c>
      <c r="D25">
        <v>1142</v>
      </c>
      <c r="E25" t="s">
        <v>44</v>
      </c>
      <c r="F25" s="1">
        <v>45240</v>
      </c>
      <c r="G25">
        <v>14114415</v>
      </c>
      <c r="H25">
        <v>102</v>
      </c>
      <c r="I25">
        <v>10000000</v>
      </c>
      <c r="J25" t="s">
        <v>430</v>
      </c>
      <c r="K25" t="s">
        <v>46</v>
      </c>
      <c r="L25" t="s">
        <v>429</v>
      </c>
      <c r="M25" t="s">
        <v>431</v>
      </c>
      <c r="N25">
        <v>2.6859000000000002</v>
      </c>
      <c r="O25" t="s">
        <v>432</v>
      </c>
      <c r="P25" t="s">
        <v>433</v>
      </c>
      <c r="Q25" t="s">
        <v>434</v>
      </c>
      <c r="R25" t="s">
        <v>70</v>
      </c>
      <c r="S25" t="s">
        <v>435</v>
      </c>
      <c r="T25" t="s">
        <v>436</v>
      </c>
      <c r="U25" t="s">
        <v>437</v>
      </c>
      <c r="V25" t="s">
        <v>438</v>
      </c>
      <c r="W25" t="s">
        <v>437</v>
      </c>
      <c r="X25" t="s">
        <v>439</v>
      </c>
      <c r="Y25" t="s">
        <v>440</v>
      </c>
      <c r="Z25">
        <v>6.8</v>
      </c>
      <c r="AA25">
        <v>90180</v>
      </c>
      <c r="AB25" t="s">
        <v>441</v>
      </c>
      <c r="AC25">
        <v>11</v>
      </c>
      <c r="AD25">
        <v>2023</v>
      </c>
      <c r="AE25">
        <v>45</v>
      </c>
      <c r="AF25" t="s">
        <v>442</v>
      </c>
      <c r="AG25">
        <v>2</v>
      </c>
      <c r="AH25">
        <v>16.462707244389399</v>
      </c>
      <c r="AI25">
        <v>5.4875690814631302</v>
      </c>
      <c r="AJ25" t="s">
        <v>61</v>
      </c>
      <c r="AK25" t="s">
        <v>443</v>
      </c>
      <c r="AL25">
        <v>36</v>
      </c>
      <c r="AM25">
        <v>1</v>
      </c>
      <c r="AN25">
        <v>67</v>
      </c>
      <c r="AO25">
        <v>0.01</v>
      </c>
      <c r="AP25" t="s">
        <v>63</v>
      </c>
      <c r="AQ25" t="s">
        <v>63</v>
      </c>
    </row>
    <row r="26" spans="1:43" x14ac:dyDescent="0.2">
      <c r="A26">
        <v>720557</v>
      </c>
      <c r="B26" t="s">
        <v>444</v>
      </c>
      <c r="C26">
        <v>5.8</v>
      </c>
      <c r="D26">
        <v>51</v>
      </c>
      <c r="E26" t="s">
        <v>44</v>
      </c>
      <c r="F26" s="1">
        <v>45242</v>
      </c>
      <c r="G26">
        <v>56490000</v>
      </c>
      <c r="H26">
        <v>155</v>
      </c>
      <c r="I26">
        <v>36320000</v>
      </c>
      <c r="J26" t="s">
        <v>445</v>
      </c>
      <c r="K26" t="s">
        <v>101</v>
      </c>
      <c r="L26" t="s">
        <v>444</v>
      </c>
      <c r="M26" t="s">
        <v>446</v>
      </c>
      <c r="N26">
        <v>4.5144000000000002</v>
      </c>
      <c r="O26" t="s">
        <v>447</v>
      </c>
      <c r="P26" t="s">
        <v>448</v>
      </c>
      <c r="Q26" t="s">
        <v>449</v>
      </c>
      <c r="R26" t="s">
        <v>450</v>
      </c>
      <c r="S26" t="s">
        <v>451</v>
      </c>
      <c r="T26" t="s">
        <v>452</v>
      </c>
      <c r="U26" t="s">
        <v>453</v>
      </c>
      <c r="V26" t="s">
        <v>454</v>
      </c>
      <c r="W26" t="s">
        <v>455</v>
      </c>
      <c r="X26" t="s">
        <v>456</v>
      </c>
      <c r="Y26" t="s">
        <v>457</v>
      </c>
      <c r="Z26">
        <v>5.7</v>
      </c>
      <c r="AA26">
        <v>55900</v>
      </c>
      <c r="AB26" t="s">
        <v>458</v>
      </c>
      <c r="AC26">
        <v>11</v>
      </c>
      <c r="AD26">
        <v>2023</v>
      </c>
      <c r="AE26">
        <v>45</v>
      </c>
      <c r="AF26" t="s">
        <v>459</v>
      </c>
      <c r="AG26">
        <v>4</v>
      </c>
      <c r="AH26">
        <v>17.849574207003599</v>
      </c>
      <c r="AI26">
        <v>3.5699148414007298</v>
      </c>
      <c r="AJ26" t="s">
        <v>61</v>
      </c>
      <c r="AK26" t="s">
        <v>460</v>
      </c>
      <c r="AL26">
        <v>15</v>
      </c>
      <c r="AM26">
        <v>2</v>
      </c>
      <c r="AN26">
        <v>18</v>
      </c>
      <c r="AO26">
        <v>0.11</v>
      </c>
      <c r="AP26" t="s">
        <v>63</v>
      </c>
      <c r="AQ26" t="s">
        <v>63</v>
      </c>
    </row>
    <row r="27" spans="1:43" x14ac:dyDescent="0.2">
      <c r="A27">
        <v>1022796</v>
      </c>
      <c r="B27" t="s">
        <v>461</v>
      </c>
      <c r="C27">
        <v>6.3</v>
      </c>
      <c r="D27">
        <v>1684</v>
      </c>
      <c r="E27" t="s">
        <v>44</v>
      </c>
      <c r="F27" s="1">
        <v>45243</v>
      </c>
      <c r="G27">
        <v>254997360</v>
      </c>
      <c r="H27">
        <v>95</v>
      </c>
      <c r="I27">
        <v>175000000</v>
      </c>
      <c r="J27" t="s">
        <v>462</v>
      </c>
      <c r="K27" t="s">
        <v>46</v>
      </c>
      <c r="L27" t="s">
        <v>461</v>
      </c>
      <c r="M27" t="s">
        <v>463</v>
      </c>
      <c r="N27">
        <v>8.4936000000000007</v>
      </c>
      <c r="O27" t="s">
        <v>464</v>
      </c>
      <c r="P27" t="s">
        <v>465</v>
      </c>
      <c r="Q27" t="s">
        <v>466</v>
      </c>
      <c r="R27" t="s">
        <v>70</v>
      </c>
      <c r="S27" t="s">
        <v>144</v>
      </c>
      <c r="T27" t="s">
        <v>467</v>
      </c>
      <c r="U27" t="s">
        <v>468</v>
      </c>
      <c r="W27" t="s">
        <v>469</v>
      </c>
      <c r="X27" t="s">
        <v>470</v>
      </c>
      <c r="Y27" t="s">
        <v>471</v>
      </c>
      <c r="Z27">
        <v>5.6</v>
      </c>
      <c r="AA27">
        <v>48709</v>
      </c>
      <c r="AB27" t="s">
        <v>472</v>
      </c>
      <c r="AC27">
        <v>11</v>
      </c>
      <c r="AD27">
        <v>2023</v>
      </c>
      <c r="AE27">
        <v>46</v>
      </c>
      <c r="AF27" t="s">
        <v>473</v>
      </c>
      <c r="AG27">
        <v>5</v>
      </c>
      <c r="AH27">
        <v>19.356763754049499</v>
      </c>
      <c r="AI27">
        <v>3.22612729234159</v>
      </c>
      <c r="AJ27" t="s">
        <v>61</v>
      </c>
      <c r="AK27" t="s">
        <v>474</v>
      </c>
      <c r="AL27">
        <v>62</v>
      </c>
      <c r="AM27">
        <v>3</v>
      </c>
      <c r="AN27">
        <v>72</v>
      </c>
      <c r="AO27">
        <v>0.04</v>
      </c>
      <c r="AP27" t="s">
        <v>63</v>
      </c>
      <c r="AQ27" t="s">
        <v>63</v>
      </c>
    </row>
    <row r="28" spans="1:43" x14ac:dyDescent="0.2">
      <c r="A28">
        <v>695721</v>
      </c>
      <c r="B28" t="s">
        <v>475</v>
      </c>
      <c r="C28">
        <v>6.9989999999999997</v>
      </c>
      <c r="D28">
        <v>3250</v>
      </c>
      <c r="E28" t="s">
        <v>44</v>
      </c>
      <c r="F28" s="1">
        <v>45245</v>
      </c>
      <c r="G28">
        <v>337371917</v>
      </c>
      <c r="H28">
        <v>157</v>
      </c>
      <c r="I28">
        <v>100000000</v>
      </c>
      <c r="J28" t="s">
        <v>476</v>
      </c>
      <c r="K28" t="s">
        <v>46</v>
      </c>
      <c r="L28" t="s">
        <v>475</v>
      </c>
      <c r="M28" t="s">
        <v>477</v>
      </c>
      <c r="N28">
        <v>6.4161000000000001</v>
      </c>
      <c r="O28" t="s">
        <v>478</v>
      </c>
      <c r="P28" t="s">
        <v>479</v>
      </c>
      <c r="Q28" t="s">
        <v>480</v>
      </c>
      <c r="R28" t="s">
        <v>481</v>
      </c>
      <c r="S28" t="s">
        <v>144</v>
      </c>
      <c r="T28" t="s">
        <v>482</v>
      </c>
      <c r="U28" t="s">
        <v>483</v>
      </c>
      <c r="V28" t="s">
        <v>484</v>
      </c>
      <c r="W28" t="s">
        <v>485</v>
      </c>
      <c r="X28" t="s">
        <v>486</v>
      </c>
      <c r="Y28" t="s">
        <v>487</v>
      </c>
      <c r="Z28">
        <v>6.6</v>
      </c>
      <c r="AA28">
        <v>171683</v>
      </c>
      <c r="AB28" t="s">
        <v>488</v>
      </c>
      <c r="AC28">
        <v>11</v>
      </c>
      <c r="AD28">
        <v>2023</v>
      </c>
      <c r="AE28">
        <v>46</v>
      </c>
      <c r="AF28" t="s">
        <v>489</v>
      </c>
      <c r="AG28">
        <v>7</v>
      </c>
      <c r="AH28">
        <v>19.636696494025401</v>
      </c>
      <c r="AI28">
        <v>2.45458706175318</v>
      </c>
      <c r="AJ28" t="s">
        <v>61</v>
      </c>
      <c r="AK28" t="s">
        <v>490</v>
      </c>
      <c r="AL28">
        <v>50</v>
      </c>
      <c r="AM28">
        <v>0</v>
      </c>
      <c r="AN28">
        <v>54</v>
      </c>
      <c r="AO28">
        <v>0</v>
      </c>
      <c r="AP28" t="s">
        <v>63</v>
      </c>
      <c r="AQ28" t="s">
        <v>63</v>
      </c>
    </row>
    <row r="29" spans="1:43" x14ac:dyDescent="0.2">
      <c r="A29">
        <v>889818</v>
      </c>
      <c r="B29" t="s">
        <v>491</v>
      </c>
      <c r="C29">
        <v>6.4</v>
      </c>
      <c r="D29">
        <v>22</v>
      </c>
      <c r="E29" t="s">
        <v>44</v>
      </c>
      <c r="F29" s="1">
        <v>45245</v>
      </c>
      <c r="G29">
        <v>29498</v>
      </c>
      <c r="H29">
        <v>90</v>
      </c>
      <c r="I29">
        <v>1046000</v>
      </c>
      <c r="J29" t="s">
        <v>492</v>
      </c>
      <c r="K29" t="s">
        <v>120</v>
      </c>
      <c r="L29" t="s">
        <v>493</v>
      </c>
      <c r="M29" t="s">
        <v>494</v>
      </c>
      <c r="N29">
        <v>2.0720000000000001</v>
      </c>
      <c r="O29" t="s">
        <v>495</v>
      </c>
      <c r="P29" t="s">
        <v>241</v>
      </c>
      <c r="Q29" t="s">
        <v>496</v>
      </c>
      <c r="R29" t="s">
        <v>497</v>
      </c>
      <c r="S29" t="s">
        <v>498</v>
      </c>
      <c r="T29" t="s">
        <v>499</v>
      </c>
      <c r="U29" t="s">
        <v>500</v>
      </c>
      <c r="V29" t="s">
        <v>501</v>
      </c>
      <c r="W29" t="s">
        <v>500</v>
      </c>
      <c r="X29" t="s">
        <v>502</v>
      </c>
      <c r="Y29" t="s">
        <v>503</v>
      </c>
      <c r="Z29">
        <v>6</v>
      </c>
      <c r="AA29">
        <v>1242</v>
      </c>
      <c r="AB29" t="s">
        <v>504</v>
      </c>
      <c r="AC29">
        <v>11</v>
      </c>
      <c r="AD29">
        <v>2023</v>
      </c>
      <c r="AE29">
        <v>46</v>
      </c>
      <c r="AF29" t="s">
        <v>505</v>
      </c>
      <c r="AG29">
        <v>7</v>
      </c>
      <c r="AH29">
        <v>10.2921116434482</v>
      </c>
      <c r="AI29">
        <v>1.2865139554310301</v>
      </c>
      <c r="AJ29" t="s">
        <v>61</v>
      </c>
      <c r="AL29">
        <v>0</v>
      </c>
      <c r="AM29">
        <v>0</v>
      </c>
      <c r="AN29">
        <v>0</v>
      </c>
      <c r="AO29">
        <v>0</v>
      </c>
      <c r="AP29" t="s">
        <v>63</v>
      </c>
      <c r="AQ29" t="s">
        <v>506</v>
      </c>
    </row>
    <row r="30" spans="1:43" x14ac:dyDescent="0.2">
      <c r="A30">
        <v>621587</v>
      </c>
      <c r="B30" t="s">
        <v>507</v>
      </c>
      <c r="C30">
        <v>6.4</v>
      </c>
      <c r="D30">
        <v>534</v>
      </c>
      <c r="E30" t="s">
        <v>44</v>
      </c>
      <c r="F30" s="1">
        <v>45246</v>
      </c>
      <c r="G30">
        <v>18062279</v>
      </c>
      <c r="H30">
        <v>104</v>
      </c>
      <c r="I30">
        <v>14000000</v>
      </c>
      <c r="J30" t="s">
        <v>508</v>
      </c>
      <c r="K30" t="s">
        <v>46</v>
      </c>
      <c r="L30" t="s">
        <v>507</v>
      </c>
      <c r="M30" t="s">
        <v>509</v>
      </c>
      <c r="N30">
        <v>1.7163999999999999</v>
      </c>
      <c r="O30" t="s">
        <v>510</v>
      </c>
      <c r="P30" t="s">
        <v>105</v>
      </c>
      <c r="Q30" t="s">
        <v>511</v>
      </c>
      <c r="R30" t="s">
        <v>512</v>
      </c>
      <c r="S30" t="s">
        <v>144</v>
      </c>
      <c r="T30" t="s">
        <v>513</v>
      </c>
      <c r="U30" t="s">
        <v>514</v>
      </c>
      <c r="V30" t="s">
        <v>515</v>
      </c>
      <c r="W30" t="s">
        <v>516</v>
      </c>
      <c r="X30" t="s">
        <v>517</v>
      </c>
      <c r="Y30" t="s">
        <v>518</v>
      </c>
      <c r="Z30">
        <v>6.5</v>
      </c>
      <c r="AA30">
        <v>30327</v>
      </c>
      <c r="AB30" t="s">
        <v>519</v>
      </c>
      <c r="AC30">
        <v>11</v>
      </c>
      <c r="AD30">
        <v>2023</v>
      </c>
      <c r="AE30">
        <v>46</v>
      </c>
      <c r="AF30" t="s">
        <v>520</v>
      </c>
      <c r="AG30">
        <v>8</v>
      </c>
      <c r="AH30">
        <v>16.7093363438319</v>
      </c>
      <c r="AI30">
        <v>1.85659292709243</v>
      </c>
      <c r="AJ30" t="s">
        <v>61</v>
      </c>
      <c r="AK30" t="s">
        <v>521</v>
      </c>
      <c r="AL30">
        <v>38</v>
      </c>
      <c r="AM30">
        <v>1</v>
      </c>
      <c r="AN30">
        <v>44</v>
      </c>
      <c r="AO30">
        <v>0.02</v>
      </c>
      <c r="AP30" t="s">
        <v>63</v>
      </c>
      <c r="AQ30" t="s">
        <v>63</v>
      </c>
    </row>
    <row r="31" spans="1:43" x14ac:dyDescent="0.2">
      <c r="A31">
        <v>839369</v>
      </c>
      <c r="B31" t="s">
        <v>522</v>
      </c>
      <c r="C31">
        <v>6.6</v>
      </c>
      <c r="D31">
        <v>959</v>
      </c>
      <c r="E31" t="s">
        <v>44</v>
      </c>
      <c r="F31" s="1">
        <v>45246</v>
      </c>
      <c r="G31">
        <v>4232370</v>
      </c>
      <c r="H31">
        <v>117</v>
      </c>
      <c r="I31">
        <v>20000000</v>
      </c>
      <c r="J31" t="s">
        <v>523</v>
      </c>
      <c r="K31" t="s">
        <v>46</v>
      </c>
      <c r="L31" t="s">
        <v>522</v>
      </c>
      <c r="M31" t="s">
        <v>524</v>
      </c>
      <c r="N31">
        <v>2.7315</v>
      </c>
      <c r="O31" t="s">
        <v>525</v>
      </c>
      <c r="P31" t="s">
        <v>241</v>
      </c>
      <c r="Q31" t="s">
        <v>526</v>
      </c>
      <c r="R31" t="s">
        <v>70</v>
      </c>
      <c r="S31" t="s">
        <v>144</v>
      </c>
      <c r="T31" t="s">
        <v>527</v>
      </c>
      <c r="U31" t="s">
        <v>528</v>
      </c>
      <c r="V31" t="s">
        <v>529</v>
      </c>
      <c r="W31" t="s">
        <v>530</v>
      </c>
      <c r="X31" t="s">
        <v>531</v>
      </c>
      <c r="Y31" t="s">
        <v>532</v>
      </c>
      <c r="Z31">
        <v>6.7</v>
      </c>
      <c r="AA31">
        <v>71236</v>
      </c>
      <c r="AB31" t="s">
        <v>533</v>
      </c>
      <c r="AC31">
        <v>11</v>
      </c>
      <c r="AD31">
        <v>2023</v>
      </c>
      <c r="AE31">
        <v>46</v>
      </c>
      <c r="AF31" t="s">
        <v>534</v>
      </c>
      <c r="AG31">
        <v>8</v>
      </c>
      <c r="AH31">
        <v>15.2582729140843</v>
      </c>
      <c r="AI31">
        <v>1.69536365712047</v>
      </c>
      <c r="AJ31" t="s">
        <v>61</v>
      </c>
      <c r="AK31" t="s">
        <v>535</v>
      </c>
      <c r="AL31">
        <v>29</v>
      </c>
      <c r="AM31">
        <v>9</v>
      </c>
      <c r="AN31">
        <v>71</v>
      </c>
      <c r="AO31">
        <v>0.13</v>
      </c>
      <c r="AP31" t="s">
        <v>63</v>
      </c>
      <c r="AQ31" t="s">
        <v>63</v>
      </c>
    </row>
    <row r="32" spans="1:43" hidden="1" x14ac:dyDescent="0.2">
      <c r="A32">
        <v>930564</v>
      </c>
      <c r="B32" t="s">
        <v>536</v>
      </c>
      <c r="C32">
        <v>6.9649999999999999</v>
      </c>
      <c r="D32">
        <v>2681</v>
      </c>
      <c r="E32" t="s">
        <v>44</v>
      </c>
      <c r="F32" s="1">
        <v>45246</v>
      </c>
      <c r="G32">
        <v>21013738</v>
      </c>
      <c r="H32">
        <v>131</v>
      </c>
      <c r="I32">
        <v>20000000</v>
      </c>
      <c r="J32" t="s">
        <v>537</v>
      </c>
      <c r="K32" t="s">
        <v>46</v>
      </c>
      <c r="L32" t="s">
        <v>536</v>
      </c>
      <c r="M32" t="s">
        <v>538</v>
      </c>
      <c r="N32">
        <v>7.3719999999999999</v>
      </c>
      <c r="O32" t="s">
        <v>539</v>
      </c>
      <c r="P32" t="s">
        <v>540</v>
      </c>
      <c r="Q32" t="s">
        <v>541</v>
      </c>
      <c r="R32" t="s">
        <v>542</v>
      </c>
      <c r="S32" t="s">
        <v>144</v>
      </c>
      <c r="T32" t="s">
        <v>543</v>
      </c>
      <c r="U32" t="s">
        <v>544</v>
      </c>
      <c r="V32" t="s">
        <v>545</v>
      </c>
      <c r="W32" t="s">
        <v>544</v>
      </c>
      <c r="X32" t="s">
        <v>546</v>
      </c>
      <c r="Y32" t="s">
        <v>547</v>
      </c>
      <c r="Z32">
        <v>7</v>
      </c>
      <c r="AA32">
        <v>253488</v>
      </c>
      <c r="AB32" t="s">
        <v>548</v>
      </c>
      <c r="AC32">
        <v>11</v>
      </c>
      <c r="AD32">
        <v>2023</v>
      </c>
      <c r="AE32">
        <v>46</v>
      </c>
      <c r="AF32" t="s">
        <v>549</v>
      </c>
      <c r="AG32">
        <v>8</v>
      </c>
      <c r="AH32">
        <v>16.8606870198624</v>
      </c>
      <c r="AI32">
        <v>1.8734096688736099</v>
      </c>
      <c r="AJ32" t="s">
        <v>61</v>
      </c>
      <c r="AK32" t="s">
        <v>550</v>
      </c>
      <c r="AL32">
        <v>5</v>
      </c>
      <c r="AM32">
        <v>15</v>
      </c>
      <c r="AN32">
        <v>40</v>
      </c>
      <c r="AO32">
        <v>0.38</v>
      </c>
      <c r="AP32" t="s">
        <v>506</v>
      </c>
      <c r="AQ32" t="s">
        <v>63</v>
      </c>
    </row>
    <row r="33" spans="1:43" x14ac:dyDescent="0.2">
      <c r="A33">
        <v>1071215</v>
      </c>
      <c r="B33" t="s">
        <v>551</v>
      </c>
      <c r="C33">
        <v>6.5</v>
      </c>
      <c r="D33">
        <v>1448</v>
      </c>
      <c r="E33" t="s">
        <v>44</v>
      </c>
      <c r="F33" s="1">
        <v>45246</v>
      </c>
      <c r="G33">
        <v>46553280</v>
      </c>
      <c r="H33">
        <v>106</v>
      </c>
      <c r="I33">
        <v>15000000</v>
      </c>
      <c r="J33" t="s">
        <v>552</v>
      </c>
      <c r="K33" t="s">
        <v>46</v>
      </c>
      <c r="L33" t="s">
        <v>551</v>
      </c>
      <c r="M33" t="s">
        <v>553</v>
      </c>
      <c r="N33">
        <v>14.9343</v>
      </c>
      <c r="O33" t="s">
        <v>554</v>
      </c>
      <c r="P33" t="s">
        <v>68</v>
      </c>
      <c r="Q33" t="s">
        <v>555</v>
      </c>
      <c r="R33" t="s">
        <v>70</v>
      </c>
      <c r="S33" t="s">
        <v>144</v>
      </c>
      <c r="T33" t="s">
        <v>556</v>
      </c>
      <c r="U33" t="s">
        <v>557</v>
      </c>
      <c r="V33" t="s">
        <v>558</v>
      </c>
      <c r="W33" t="s">
        <v>559</v>
      </c>
      <c r="X33" t="s">
        <v>560</v>
      </c>
      <c r="Y33" t="s">
        <v>561</v>
      </c>
      <c r="Z33">
        <v>6.2</v>
      </c>
      <c r="AA33">
        <v>77095</v>
      </c>
      <c r="AB33" t="s">
        <v>562</v>
      </c>
      <c r="AC33">
        <v>11</v>
      </c>
      <c r="AD33">
        <v>2023</v>
      </c>
      <c r="AE33">
        <v>46</v>
      </c>
      <c r="AF33" t="s">
        <v>563</v>
      </c>
      <c r="AG33">
        <v>8</v>
      </c>
      <c r="AH33">
        <v>17.656108042554699</v>
      </c>
      <c r="AI33">
        <v>1.9617897825060799</v>
      </c>
      <c r="AJ33" t="s">
        <v>61</v>
      </c>
      <c r="AK33" t="s">
        <v>564</v>
      </c>
      <c r="AL33">
        <v>38</v>
      </c>
      <c r="AM33">
        <v>1</v>
      </c>
      <c r="AN33">
        <v>43</v>
      </c>
      <c r="AO33">
        <v>0.02</v>
      </c>
      <c r="AP33" t="s">
        <v>63</v>
      </c>
      <c r="AQ33" t="s">
        <v>63</v>
      </c>
    </row>
    <row r="34" spans="1:43" x14ac:dyDescent="0.2">
      <c r="A34">
        <v>586810</v>
      </c>
      <c r="B34" t="s">
        <v>565</v>
      </c>
      <c r="C34">
        <v>7.5</v>
      </c>
      <c r="D34">
        <v>435</v>
      </c>
      <c r="E34" t="s">
        <v>44</v>
      </c>
      <c r="F34" s="1">
        <v>45252</v>
      </c>
      <c r="G34">
        <v>1455713</v>
      </c>
      <c r="H34">
        <v>89</v>
      </c>
      <c r="I34">
        <v>7900000</v>
      </c>
      <c r="J34" t="s">
        <v>566</v>
      </c>
      <c r="K34" t="s">
        <v>120</v>
      </c>
      <c r="L34" t="s">
        <v>565</v>
      </c>
      <c r="M34" t="s">
        <v>567</v>
      </c>
      <c r="N34">
        <v>2.2423000000000002</v>
      </c>
      <c r="O34" t="s">
        <v>568</v>
      </c>
      <c r="P34" t="s">
        <v>569</v>
      </c>
      <c r="Q34" t="s">
        <v>570</v>
      </c>
      <c r="R34" t="s">
        <v>571</v>
      </c>
      <c r="S34" t="s">
        <v>127</v>
      </c>
      <c r="T34" t="s">
        <v>572</v>
      </c>
      <c r="U34" t="s">
        <v>573</v>
      </c>
      <c r="W34" t="s">
        <v>574</v>
      </c>
      <c r="X34" t="s">
        <v>575</v>
      </c>
      <c r="Y34" t="s">
        <v>576</v>
      </c>
      <c r="Z34">
        <v>7.5</v>
      </c>
      <c r="AA34">
        <v>13340</v>
      </c>
      <c r="AB34" t="s">
        <v>577</v>
      </c>
      <c r="AC34">
        <v>11</v>
      </c>
      <c r="AD34">
        <v>2023</v>
      </c>
      <c r="AE34">
        <v>47</v>
      </c>
      <c r="AF34" t="s">
        <v>578</v>
      </c>
      <c r="AG34">
        <v>14</v>
      </c>
      <c r="AH34">
        <v>14.1910070598727</v>
      </c>
      <c r="AI34">
        <v>0.94606713732484804</v>
      </c>
      <c r="AJ34" t="s">
        <v>61</v>
      </c>
      <c r="AK34" t="s">
        <v>579</v>
      </c>
      <c r="AL34">
        <v>11</v>
      </c>
      <c r="AM34">
        <v>2</v>
      </c>
      <c r="AN34">
        <v>26</v>
      </c>
      <c r="AO34">
        <v>0.08</v>
      </c>
      <c r="AP34" t="s">
        <v>63</v>
      </c>
      <c r="AQ34" t="s">
        <v>63</v>
      </c>
    </row>
    <row r="35" spans="1:43" x14ac:dyDescent="0.2">
      <c r="A35">
        <v>1016683</v>
      </c>
      <c r="B35" t="s">
        <v>580</v>
      </c>
      <c r="C35">
        <v>8.1</v>
      </c>
      <c r="D35">
        <v>37</v>
      </c>
      <c r="E35" t="s">
        <v>44</v>
      </c>
      <c r="F35" s="1">
        <v>45260</v>
      </c>
      <c r="G35">
        <v>1645196</v>
      </c>
      <c r="H35">
        <v>127</v>
      </c>
      <c r="I35">
        <v>5500000</v>
      </c>
      <c r="J35" t="s">
        <v>581</v>
      </c>
      <c r="K35" t="s">
        <v>582</v>
      </c>
      <c r="L35" t="s">
        <v>580</v>
      </c>
      <c r="M35" t="s">
        <v>583</v>
      </c>
      <c r="N35">
        <v>3.4074</v>
      </c>
      <c r="O35" t="s">
        <v>584</v>
      </c>
      <c r="P35" t="s">
        <v>585</v>
      </c>
      <c r="Q35" t="s">
        <v>586</v>
      </c>
      <c r="R35" t="s">
        <v>587</v>
      </c>
      <c r="S35" t="s">
        <v>588</v>
      </c>
      <c r="T35" t="s">
        <v>589</v>
      </c>
      <c r="U35" t="s">
        <v>590</v>
      </c>
      <c r="V35" t="s">
        <v>591</v>
      </c>
      <c r="W35" t="s">
        <v>592</v>
      </c>
      <c r="X35" t="s">
        <v>593</v>
      </c>
      <c r="Y35" t="s">
        <v>594</v>
      </c>
      <c r="Z35">
        <v>6.8</v>
      </c>
      <c r="AA35">
        <v>3886</v>
      </c>
      <c r="AB35" t="s">
        <v>595</v>
      </c>
      <c r="AC35">
        <v>11</v>
      </c>
      <c r="AD35">
        <v>2023</v>
      </c>
      <c r="AE35">
        <v>48</v>
      </c>
      <c r="AF35" t="s">
        <v>596</v>
      </c>
      <c r="AG35">
        <v>22</v>
      </c>
      <c r="AH35">
        <v>14.313370691850199</v>
      </c>
      <c r="AI35">
        <v>0.62232046486305304</v>
      </c>
      <c r="AJ35" t="s">
        <v>61</v>
      </c>
      <c r="AK35" t="s">
        <v>597</v>
      </c>
      <c r="AL35">
        <v>2</v>
      </c>
      <c r="AM35">
        <v>2</v>
      </c>
      <c r="AN35">
        <v>7</v>
      </c>
      <c r="AO35">
        <v>0.28999999999999998</v>
      </c>
      <c r="AP35" t="s">
        <v>63</v>
      </c>
      <c r="AQ35" t="s">
        <v>63</v>
      </c>
    </row>
    <row r="36" spans="1:43" x14ac:dyDescent="0.2">
      <c r="A36">
        <v>1108658</v>
      </c>
      <c r="B36" t="s">
        <v>598</v>
      </c>
      <c r="C36">
        <v>6.4</v>
      </c>
      <c r="D36">
        <v>81</v>
      </c>
      <c r="E36" t="s">
        <v>44</v>
      </c>
      <c r="F36" s="1">
        <v>45260</v>
      </c>
      <c r="G36">
        <v>12238643</v>
      </c>
      <c r="H36">
        <v>113</v>
      </c>
      <c r="I36">
        <v>6500000</v>
      </c>
      <c r="J36" t="s">
        <v>599</v>
      </c>
      <c r="K36" t="s">
        <v>46</v>
      </c>
      <c r="L36" t="s">
        <v>598</v>
      </c>
      <c r="M36" t="s">
        <v>600</v>
      </c>
      <c r="N36">
        <v>2.2606999999999999</v>
      </c>
      <c r="O36" t="s">
        <v>601</v>
      </c>
      <c r="P36" t="s">
        <v>602</v>
      </c>
      <c r="Q36" t="s">
        <v>603</v>
      </c>
      <c r="R36" t="s">
        <v>70</v>
      </c>
      <c r="S36" t="s">
        <v>144</v>
      </c>
      <c r="T36" t="s">
        <v>604</v>
      </c>
      <c r="U36" t="s">
        <v>605</v>
      </c>
      <c r="V36" t="s">
        <v>606</v>
      </c>
      <c r="W36" t="s">
        <v>607</v>
      </c>
      <c r="X36" t="s">
        <v>608</v>
      </c>
      <c r="Y36" t="s">
        <v>609</v>
      </c>
      <c r="Z36">
        <v>5.5</v>
      </c>
      <c r="AA36">
        <v>6138</v>
      </c>
      <c r="AB36" t="s">
        <v>610</v>
      </c>
      <c r="AC36">
        <v>11</v>
      </c>
      <c r="AD36">
        <v>2023</v>
      </c>
      <c r="AE36">
        <v>48</v>
      </c>
      <c r="AF36" t="s">
        <v>611</v>
      </c>
      <c r="AG36">
        <v>22</v>
      </c>
      <c r="AH36">
        <v>16.320109044597601</v>
      </c>
      <c r="AI36">
        <v>0.70956995846076898</v>
      </c>
      <c r="AJ36" t="s">
        <v>61</v>
      </c>
      <c r="AK36" t="s">
        <v>612</v>
      </c>
      <c r="AL36">
        <v>8</v>
      </c>
      <c r="AM36">
        <v>1</v>
      </c>
      <c r="AN36">
        <v>11</v>
      </c>
      <c r="AO36">
        <v>0.09</v>
      </c>
      <c r="AP36" t="s">
        <v>63</v>
      </c>
      <c r="AQ36" t="s">
        <v>63</v>
      </c>
    </row>
    <row r="37" spans="1:43" x14ac:dyDescent="0.2">
      <c r="A37">
        <v>664341</v>
      </c>
      <c r="B37" t="s">
        <v>613</v>
      </c>
      <c r="C37">
        <v>5.9</v>
      </c>
      <c r="D37">
        <v>331</v>
      </c>
      <c r="E37" t="s">
        <v>44</v>
      </c>
      <c r="F37" s="1">
        <v>45261</v>
      </c>
      <c r="G37">
        <v>1560142</v>
      </c>
      <c r="H37">
        <v>98</v>
      </c>
      <c r="I37">
        <v>16000000</v>
      </c>
      <c r="J37" t="s">
        <v>614</v>
      </c>
      <c r="K37" t="s">
        <v>46</v>
      </c>
      <c r="L37" t="s">
        <v>613</v>
      </c>
      <c r="M37" t="s">
        <v>615</v>
      </c>
      <c r="N37">
        <v>5.8921999999999999</v>
      </c>
      <c r="O37" t="s">
        <v>616</v>
      </c>
      <c r="P37" t="s">
        <v>617</v>
      </c>
      <c r="Q37" t="s">
        <v>618</v>
      </c>
      <c r="R37" t="s">
        <v>542</v>
      </c>
      <c r="S37" t="s">
        <v>144</v>
      </c>
      <c r="T37" t="s">
        <v>619</v>
      </c>
      <c r="U37" t="s">
        <v>620</v>
      </c>
      <c r="V37" t="s">
        <v>621</v>
      </c>
      <c r="W37" t="s">
        <v>622</v>
      </c>
      <c r="X37" t="s">
        <v>623</v>
      </c>
      <c r="Y37" t="s">
        <v>624</v>
      </c>
      <c r="Z37">
        <v>5.9</v>
      </c>
      <c r="AA37">
        <v>18877</v>
      </c>
      <c r="AB37" t="s">
        <v>625</v>
      </c>
      <c r="AC37">
        <v>12</v>
      </c>
      <c r="AD37">
        <v>2023</v>
      </c>
      <c r="AE37">
        <v>48</v>
      </c>
      <c r="AF37" t="s">
        <v>626</v>
      </c>
      <c r="AG37">
        <v>23</v>
      </c>
      <c r="AH37">
        <v>14.260288041691201</v>
      </c>
      <c r="AI37">
        <v>0.59417866840380196</v>
      </c>
      <c r="AJ37" t="s">
        <v>61</v>
      </c>
      <c r="AK37" t="s">
        <v>627</v>
      </c>
      <c r="AL37">
        <v>5</v>
      </c>
      <c r="AM37">
        <v>5</v>
      </c>
      <c r="AN37">
        <v>27</v>
      </c>
      <c r="AO37">
        <v>0.19</v>
      </c>
      <c r="AP37" t="s">
        <v>63</v>
      </c>
      <c r="AQ37" t="s">
        <v>63</v>
      </c>
    </row>
    <row r="38" spans="1:43" x14ac:dyDescent="0.2">
      <c r="A38">
        <v>781732</v>
      </c>
      <c r="B38" t="s">
        <v>628</v>
      </c>
      <c r="C38">
        <v>6.2</v>
      </c>
      <c r="D38">
        <v>149</v>
      </c>
      <c r="E38" t="s">
        <v>44</v>
      </c>
      <c r="F38" s="1">
        <v>45261</v>
      </c>
      <c r="G38">
        <v>108300000</v>
      </c>
      <c r="H38">
        <v>201</v>
      </c>
      <c r="I38">
        <v>13000000</v>
      </c>
      <c r="J38" t="s">
        <v>629</v>
      </c>
      <c r="K38" t="s">
        <v>101</v>
      </c>
      <c r="L38" t="s">
        <v>628</v>
      </c>
      <c r="M38" t="s">
        <v>630</v>
      </c>
      <c r="N38">
        <v>6.3564999999999996</v>
      </c>
      <c r="O38" t="s">
        <v>631</v>
      </c>
      <c r="P38" t="s">
        <v>632</v>
      </c>
      <c r="Q38" t="s">
        <v>633</v>
      </c>
      <c r="R38" t="s">
        <v>107</v>
      </c>
      <c r="S38" t="s">
        <v>108</v>
      </c>
      <c r="T38" t="s">
        <v>634</v>
      </c>
      <c r="U38" t="s">
        <v>635</v>
      </c>
      <c r="V38" t="s">
        <v>636</v>
      </c>
      <c r="W38" t="s">
        <v>637</v>
      </c>
      <c r="X38" t="s">
        <v>638</v>
      </c>
      <c r="Y38" t="s">
        <v>639</v>
      </c>
      <c r="Z38">
        <v>6.2</v>
      </c>
      <c r="AA38">
        <v>111093</v>
      </c>
      <c r="AB38" t="s">
        <v>640</v>
      </c>
      <c r="AC38">
        <v>12</v>
      </c>
      <c r="AD38">
        <v>2023</v>
      </c>
      <c r="AE38">
        <v>48</v>
      </c>
      <c r="AF38" t="s">
        <v>641</v>
      </c>
      <c r="AG38">
        <v>23</v>
      </c>
      <c r="AH38">
        <v>18.500415721204799</v>
      </c>
      <c r="AI38">
        <v>0.77085065505020101</v>
      </c>
      <c r="AJ38" t="s">
        <v>61</v>
      </c>
      <c r="AK38" t="s">
        <v>642</v>
      </c>
      <c r="AL38">
        <v>10</v>
      </c>
      <c r="AM38">
        <v>2</v>
      </c>
      <c r="AN38">
        <v>14</v>
      </c>
      <c r="AO38">
        <v>0.14000000000000001</v>
      </c>
      <c r="AP38" t="s">
        <v>63</v>
      </c>
      <c r="AQ38" t="s">
        <v>63</v>
      </c>
    </row>
    <row r="39" spans="1:43" x14ac:dyDescent="0.2">
      <c r="A39">
        <v>1027982</v>
      </c>
      <c r="B39" t="s">
        <v>643</v>
      </c>
      <c r="C39">
        <v>7.6</v>
      </c>
      <c r="D39">
        <v>35</v>
      </c>
      <c r="E39" t="s">
        <v>44</v>
      </c>
      <c r="F39" s="1">
        <v>45261</v>
      </c>
      <c r="G39">
        <v>1363827</v>
      </c>
      <c r="H39">
        <v>115</v>
      </c>
      <c r="I39">
        <v>653000</v>
      </c>
      <c r="J39" t="s">
        <v>644</v>
      </c>
      <c r="K39" t="s">
        <v>645</v>
      </c>
      <c r="L39" t="s">
        <v>646</v>
      </c>
      <c r="M39" t="s">
        <v>647</v>
      </c>
      <c r="N39">
        <v>3.5491999999999999</v>
      </c>
      <c r="O39" t="s">
        <v>648</v>
      </c>
      <c r="P39" t="s">
        <v>649</v>
      </c>
      <c r="Q39" t="s">
        <v>650</v>
      </c>
      <c r="R39" t="s">
        <v>651</v>
      </c>
      <c r="S39" t="s">
        <v>652</v>
      </c>
      <c r="T39" t="s">
        <v>653</v>
      </c>
      <c r="U39" t="s">
        <v>654</v>
      </c>
      <c r="V39" t="s">
        <v>655</v>
      </c>
      <c r="W39" t="s">
        <v>654</v>
      </c>
      <c r="X39" t="s">
        <v>656</v>
      </c>
      <c r="Y39" t="s">
        <v>657</v>
      </c>
      <c r="Z39">
        <v>7.2</v>
      </c>
      <c r="AA39">
        <v>1976</v>
      </c>
      <c r="AB39" t="s">
        <v>658</v>
      </c>
      <c r="AC39">
        <v>12</v>
      </c>
      <c r="AD39">
        <v>2023</v>
      </c>
      <c r="AE39">
        <v>48</v>
      </c>
      <c r="AF39" t="s">
        <v>659</v>
      </c>
      <c r="AG39">
        <v>23</v>
      </c>
      <c r="AH39">
        <v>14.1258060097275</v>
      </c>
      <c r="AI39">
        <v>0.588575250405315</v>
      </c>
      <c r="AJ39" t="s">
        <v>61</v>
      </c>
      <c r="AK39" t="s">
        <v>660</v>
      </c>
      <c r="AL39">
        <v>10</v>
      </c>
      <c r="AM39">
        <v>4</v>
      </c>
      <c r="AN39">
        <v>26</v>
      </c>
      <c r="AO39">
        <v>0.15</v>
      </c>
      <c r="AP39" t="s">
        <v>63</v>
      </c>
      <c r="AQ39" t="s">
        <v>63</v>
      </c>
    </row>
    <row r="40" spans="1:43" x14ac:dyDescent="0.2">
      <c r="A40">
        <v>787699</v>
      </c>
      <c r="B40" t="s">
        <v>661</v>
      </c>
      <c r="C40">
        <v>7.1</v>
      </c>
      <c r="D40">
        <v>4105</v>
      </c>
      <c r="E40" t="s">
        <v>44</v>
      </c>
      <c r="F40" s="1">
        <v>45266</v>
      </c>
      <c r="G40">
        <v>634502312</v>
      </c>
      <c r="H40">
        <v>117</v>
      </c>
      <c r="I40">
        <v>125000000</v>
      </c>
      <c r="J40" t="s">
        <v>662</v>
      </c>
      <c r="K40" t="s">
        <v>46</v>
      </c>
      <c r="L40" t="s">
        <v>661</v>
      </c>
      <c r="M40" t="s">
        <v>663</v>
      </c>
      <c r="N40">
        <v>9.7874999999999996</v>
      </c>
      <c r="O40" t="s">
        <v>664</v>
      </c>
      <c r="P40" t="s">
        <v>665</v>
      </c>
      <c r="Q40" t="s">
        <v>666</v>
      </c>
      <c r="R40" t="s">
        <v>542</v>
      </c>
      <c r="S40" t="s">
        <v>144</v>
      </c>
      <c r="T40" t="s">
        <v>667</v>
      </c>
      <c r="U40" t="s">
        <v>668</v>
      </c>
      <c r="V40" t="s">
        <v>669</v>
      </c>
      <c r="W40" t="s">
        <v>670</v>
      </c>
      <c r="X40" t="s">
        <v>671</v>
      </c>
      <c r="Y40" t="s">
        <v>672</v>
      </c>
      <c r="Z40">
        <v>6.9</v>
      </c>
      <c r="AA40">
        <v>184107</v>
      </c>
      <c r="AB40" t="s">
        <v>673</v>
      </c>
      <c r="AC40">
        <v>12</v>
      </c>
      <c r="AD40">
        <v>2023</v>
      </c>
      <c r="AE40">
        <v>49</v>
      </c>
      <c r="AF40" t="s">
        <v>674</v>
      </c>
      <c r="AG40">
        <v>28</v>
      </c>
      <c r="AH40">
        <v>20.268351490502098</v>
      </c>
      <c r="AI40">
        <v>0.69890867208628005</v>
      </c>
      <c r="AJ40" t="s">
        <v>61</v>
      </c>
      <c r="AK40" t="s">
        <v>675</v>
      </c>
      <c r="AL40">
        <v>50</v>
      </c>
      <c r="AM40">
        <v>2</v>
      </c>
      <c r="AN40">
        <v>56</v>
      </c>
      <c r="AO40">
        <v>0.04</v>
      </c>
      <c r="AP40" t="s">
        <v>63</v>
      </c>
      <c r="AQ40" t="s">
        <v>63</v>
      </c>
    </row>
    <row r="41" spans="1:43" x14ac:dyDescent="0.2">
      <c r="A41">
        <v>838240</v>
      </c>
      <c r="B41" t="s">
        <v>676</v>
      </c>
      <c r="C41">
        <v>7.9950000000000001</v>
      </c>
      <c r="D41">
        <v>722</v>
      </c>
      <c r="E41" t="s">
        <v>44</v>
      </c>
      <c r="F41" s="1">
        <v>45266</v>
      </c>
      <c r="G41">
        <v>4656348</v>
      </c>
      <c r="H41">
        <v>102</v>
      </c>
      <c r="I41">
        <v>5300000</v>
      </c>
      <c r="J41" t="s">
        <v>677</v>
      </c>
      <c r="K41" t="s">
        <v>238</v>
      </c>
      <c r="L41" t="s">
        <v>676</v>
      </c>
      <c r="M41" t="s">
        <v>678</v>
      </c>
      <c r="N41">
        <v>11.600199999999999</v>
      </c>
      <c r="O41" t="s">
        <v>679</v>
      </c>
      <c r="P41" t="s">
        <v>680</v>
      </c>
      <c r="Q41" t="s">
        <v>681</v>
      </c>
      <c r="R41" t="s">
        <v>682</v>
      </c>
      <c r="S41" t="s">
        <v>683</v>
      </c>
      <c r="T41" t="s">
        <v>684</v>
      </c>
      <c r="U41" t="s">
        <v>685</v>
      </c>
      <c r="W41" t="s">
        <v>686</v>
      </c>
      <c r="X41" t="s">
        <v>687</v>
      </c>
      <c r="Y41" t="s">
        <v>688</v>
      </c>
      <c r="Z41">
        <v>7.6</v>
      </c>
      <c r="AA41">
        <v>23105</v>
      </c>
      <c r="AB41" t="s">
        <v>689</v>
      </c>
      <c r="AC41">
        <v>12</v>
      </c>
      <c r="AD41">
        <v>2023</v>
      </c>
      <c r="AE41">
        <v>49</v>
      </c>
      <c r="AF41" t="s">
        <v>690</v>
      </c>
      <c r="AG41">
        <v>28</v>
      </c>
      <c r="AH41">
        <v>15.353742222628901</v>
      </c>
      <c r="AI41">
        <v>0.52943938698720505</v>
      </c>
      <c r="AJ41" t="s">
        <v>61</v>
      </c>
      <c r="AK41" t="s">
        <v>691</v>
      </c>
      <c r="AL41">
        <v>30</v>
      </c>
      <c r="AM41">
        <v>0</v>
      </c>
      <c r="AN41">
        <v>76</v>
      </c>
      <c r="AO41">
        <v>0</v>
      </c>
      <c r="AP41" t="s">
        <v>63</v>
      </c>
      <c r="AQ41" t="s">
        <v>63</v>
      </c>
    </row>
    <row r="42" spans="1:43" x14ac:dyDescent="0.2">
      <c r="A42">
        <v>940551</v>
      </c>
      <c r="B42" t="s">
        <v>692</v>
      </c>
      <c r="C42">
        <v>7.4</v>
      </c>
      <c r="D42">
        <v>2116</v>
      </c>
      <c r="E42" t="s">
        <v>44</v>
      </c>
      <c r="F42" s="1">
        <v>45266</v>
      </c>
      <c r="G42">
        <v>298776052</v>
      </c>
      <c r="H42">
        <v>82</v>
      </c>
      <c r="I42">
        <v>72000000</v>
      </c>
      <c r="J42" t="s">
        <v>693</v>
      </c>
      <c r="K42" t="s">
        <v>46</v>
      </c>
      <c r="L42" t="s">
        <v>692</v>
      </c>
      <c r="M42" t="s">
        <v>694</v>
      </c>
      <c r="N42">
        <v>15.0618</v>
      </c>
      <c r="O42" t="s">
        <v>695</v>
      </c>
      <c r="P42" t="s">
        <v>696</v>
      </c>
      <c r="Q42" t="s">
        <v>697</v>
      </c>
      <c r="R42" t="s">
        <v>70</v>
      </c>
      <c r="S42" t="s">
        <v>144</v>
      </c>
      <c r="T42" t="s">
        <v>698</v>
      </c>
      <c r="U42" t="s">
        <v>699</v>
      </c>
      <c r="W42" t="s">
        <v>700</v>
      </c>
      <c r="X42" t="s">
        <v>701</v>
      </c>
      <c r="Y42" t="s">
        <v>702</v>
      </c>
      <c r="Z42">
        <v>6.6</v>
      </c>
      <c r="AA42">
        <v>43746</v>
      </c>
      <c r="AB42" t="s">
        <v>703</v>
      </c>
      <c r="AC42">
        <v>12</v>
      </c>
      <c r="AD42">
        <v>2023</v>
      </c>
      <c r="AE42">
        <v>49</v>
      </c>
      <c r="AF42" t="s">
        <v>704</v>
      </c>
      <c r="AG42">
        <v>28</v>
      </c>
      <c r="AH42">
        <v>19.515204864102198</v>
      </c>
      <c r="AI42">
        <v>0.67293809876214705</v>
      </c>
      <c r="AJ42" t="s">
        <v>61</v>
      </c>
      <c r="AK42" t="s">
        <v>705</v>
      </c>
      <c r="AL42">
        <v>46</v>
      </c>
      <c r="AM42">
        <v>1</v>
      </c>
      <c r="AN42">
        <v>54</v>
      </c>
      <c r="AO42">
        <v>0.02</v>
      </c>
      <c r="AP42" t="s">
        <v>63</v>
      </c>
      <c r="AQ42" t="s">
        <v>63</v>
      </c>
    </row>
    <row r="43" spans="1:43" x14ac:dyDescent="0.2">
      <c r="A43">
        <v>792307</v>
      </c>
      <c r="B43" t="s">
        <v>706</v>
      </c>
      <c r="C43">
        <v>7.7</v>
      </c>
      <c r="D43">
        <v>5052</v>
      </c>
      <c r="E43" t="s">
        <v>44</v>
      </c>
      <c r="F43" s="1">
        <v>45267</v>
      </c>
      <c r="G43">
        <v>117607117</v>
      </c>
      <c r="H43">
        <v>141</v>
      </c>
      <c r="I43">
        <v>35000000</v>
      </c>
      <c r="J43" t="s">
        <v>707</v>
      </c>
      <c r="K43" t="s">
        <v>46</v>
      </c>
      <c r="L43" t="s">
        <v>706</v>
      </c>
      <c r="M43" t="s">
        <v>708</v>
      </c>
      <c r="N43">
        <v>12.1951</v>
      </c>
      <c r="O43" t="s">
        <v>709</v>
      </c>
      <c r="P43" t="s">
        <v>710</v>
      </c>
      <c r="Q43" t="s">
        <v>711</v>
      </c>
      <c r="R43" t="s">
        <v>712</v>
      </c>
      <c r="S43" t="s">
        <v>713</v>
      </c>
      <c r="T43" t="s">
        <v>714</v>
      </c>
      <c r="U43" t="s">
        <v>715</v>
      </c>
      <c r="V43" t="s">
        <v>716</v>
      </c>
      <c r="W43" t="s">
        <v>717</v>
      </c>
      <c r="X43" t="s">
        <v>718</v>
      </c>
      <c r="Y43" t="s">
        <v>719</v>
      </c>
      <c r="Z43">
        <v>7.8</v>
      </c>
      <c r="AA43">
        <v>358895</v>
      </c>
      <c r="AB43" t="s">
        <v>720</v>
      </c>
      <c r="AC43">
        <v>12</v>
      </c>
      <c r="AD43">
        <v>2023</v>
      </c>
      <c r="AE43">
        <v>49</v>
      </c>
      <c r="AF43" t="s">
        <v>721</v>
      </c>
      <c r="AG43">
        <v>29</v>
      </c>
      <c r="AH43">
        <v>18.582860118807901</v>
      </c>
      <c r="AI43">
        <v>0.61942867062693197</v>
      </c>
      <c r="AJ43" t="s">
        <v>61</v>
      </c>
      <c r="AK43" t="s">
        <v>722</v>
      </c>
      <c r="AL43">
        <v>41</v>
      </c>
      <c r="AM43">
        <v>4</v>
      </c>
      <c r="AN43">
        <v>91</v>
      </c>
      <c r="AO43">
        <v>0.04</v>
      </c>
      <c r="AP43" t="s">
        <v>63</v>
      </c>
      <c r="AQ43" t="s">
        <v>63</v>
      </c>
    </row>
    <row r="44" spans="1:43" x14ac:dyDescent="0.2">
      <c r="A44">
        <v>845111</v>
      </c>
      <c r="B44" t="s">
        <v>723</v>
      </c>
      <c r="C44">
        <v>6.4169999999999998</v>
      </c>
      <c r="D44">
        <v>763</v>
      </c>
      <c r="E44" t="s">
        <v>44</v>
      </c>
      <c r="F44" s="1">
        <v>45273</v>
      </c>
      <c r="G44">
        <v>21730766</v>
      </c>
      <c r="H44">
        <v>115</v>
      </c>
      <c r="I44">
        <v>39000000</v>
      </c>
      <c r="J44" t="s">
        <v>724</v>
      </c>
      <c r="K44" t="s">
        <v>120</v>
      </c>
      <c r="L44" t="s">
        <v>725</v>
      </c>
      <c r="M44" t="s">
        <v>726</v>
      </c>
      <c r="N44">
        <v>3.5448</v>
      </c>
      <c r="O44" t="s">
        <v>727</v>
      </c>
      <c r="P44" t="s">
        <v>728</v>
      </c>
      <c r="Q44" t="s">
        <v>729</v>
      </c>
      <c r="R44" t="s">
        <v>730</v>
      </c>
      <c r="S44" t="s">
        <v>435</v>
      </c>
      <c r="T44" t="s">
        <v>731</v>
      </c>
      <c r="U44" t="s">
        <v>732</v>
      </c>
      <c r="V44" t="s">
        <v>733</v>
      </c>
      <c r="W44" t="s">
        <v>734</v>
      </c>
      <c r="X44" t="s">
        <v>735</v>
      </c>
      <c r="Y44" t="s">
        <v>736</v>
      </c>
      <c r="Z44">
        <v>6.4</v>
      </c>
      <c r="AA44">
        <v>11615</v>
      </c>
      <c r="AB44" t="s">
        <v>737</v>
      </c>
      <c r="AC44">
        <v>12</v>
      </c>
      <c r="AD44">
        <v>2023</v>
      </c>
      <c r="AE44">
        <v>50</v>
      </c>
      <c r="AF44" t="s">
        <v>738</v>
      </c>
      <c r="AG44">
        <v>35</v>
      </c>
      <c r="AH44">
        <v>16.894239648434301</v>
      </c>
      <c r="AI44">
        <v>0.46928443467873199</v>
      </c>
      <c r="AJ44" t="s">
        <v>61</v>
      </c>
      <c r="AK44" t="s">
        <v>739</v>
      </c>
      <c r="AL44">
        <v>30</v>
      </c>
      <c r="AM44">
        <v>2</v>
      </c>
      <c r="AN44">
        <v>46</v>
      </c>
      <c r="AO44">
        <v>0.04</v>
      </c>
      <c r="AP44" t="s">
        <v>63</v>
      </c>
      <c r="AQ44" t="s">
        <v>63</v>
      </c>
    </row>
    <row r="45" spans="1:43" x14ac:dyDescent="0.2">
      <c r="A45">
        <v>365620</v>
      </c>
      <c r="B45" t="s">
        <v>740</v>
      </c>
      <c r="C45">
        <v>6.4</v>
      </c>
      <c r="D45">
        <v>1158</v>
      </c>
      <c r="E45" t="s">
        <v>44</v>
      </c>
      <c r="F45" s="1">
        <v>45274</v>
      </c>
      <c r="G45">
        <v>39220516</v>
      </c>
      <c r="H45">
        <v>131</v>
      </c>
      <c r="I45">
        <v>95000000</v>
      </c>
      <c r="J45" t="s">
        <v>741</v>
      </c>
      <c r="K45" t="s">
        <v>46</v>
      </c>
      <c r="L45" t="s">
        <v>740</v>
      </c>
      <c r="M45" t="s">
        <v>742</v>
      </c>
      <c r="N45">
        <v>3.8411</v>
      </c>
      <c r="O45" t="s">
        <v>743</v>
      </c>
      <c r="P45" t="s">
        <v>585</v>
      </c>
      <c r="Q45" t="s">
        <v>744</v>
      </c>
      <c r="R45" t="s">
        <v>745</v>
      </c>
      <c r="S45" t="s">
        <v>144</v>
      </c>
      <c r="T45" t="s">
        <v>746</v>
      </c>
      <c r="U45" t="s">
        <v>747</v>
      </c>
      <c r="V45" t="s">
        <v>748</v>
      </c>
      <c r="W45" t="s">
        <v>749</v>
      </c>
      <c r="X45" t="s">
        <v>750</v>
      </c>
      <c r="Y45" t="s">
        <v>751</v>
      </c>
      <c r="Z45">
        <v>6.4</v>
      </c>
      <c r="AA45">
        <v>65162</v>
      </c>
      <c r="AB45" t="s">
        <v>752</v>
      </c>
      <c r="AC45">
        <v>12</v>
      </c>
      <c r="AD45">
        <v>2023</v>
      </c>
      <c r="AE45">
        <v>50</v>
      </c>
      <c r="AF45" t="s">
        <v>753</v>
      </c>
      <c r="AG45">
        <v>36</v>
      </c>
      <c r="AH45">
        <v>17.4847105606955</v>
      </c>
      <c r="AI45">
        <v>0.47255974488366398</v>
      </c>
      <c r="AJ45" t="s">
        <v>61</v>
      </c>
      <c r="AK45" t="s">
        <v>754</v>
      </c>
      <c r="AL45">
        <v>40</v>
      </c>
      <c r="AM45">
        <v>6</v>
      </c>
      <c r="AN45">
        <v>55</v>
      </c>
      <c r="AO45">
        <v>0.11</v>
      </c>
      <c r="AP45" t="s">
        <v>63</v>
      </c>
      <c r="AQ45" t="s">
        <v>63</v>
      </c>
    </row>
    <row r="46" spans="1:43" x14ac:dyDescent="0.2">
      <c r="A46">
        <v>927107</v>
      </c>
      <c r="B46" t="s">
        <v>755</v>
      </c>
      <c r="C46">
        <v>5.8</v>
      </c>
      <c r="D46">
        <v>347</v>
      </c>
      <c r="E46" t="s">
        <v>44</v>
      </c>
      <c r="F46" s="1">
        <v>45274</v>
      </c>
      <c r="G46">
        <v>899683</v>
      </c>
      <c r="H46">
        <v>110</v>
      </c>
      <c r="I46">
        <v>23900000</v>
      </c>
      <c r="J46" t="s">
        <v>756</v>
      </c>
      <c r="K46" t="s">
        <v>46</v>
      </c>
      <c r="L46" t="s">
        <v>755</v>
      </c>
      <c r="M46" t="s">
        <v>757</v>
      </c>
      <c r="N46">
        <v>4.8148999999999997</v>
      </c>
      <c r="O46" t="s">
        <v>758</v>
      </c>
      <c r="P46" t="s">
        <v>259</v>
      </c>
      <c r="Q46" t="s">
        <v>759</v>
      </c>
      <c r="R46" t="s">
        <v>70</v>
      </c>
      <c r="S46" t="s">
        <v>435</v>
      </c>
      <c r="T46" t="s">
        <v>760</v>
      </c>
      <c r="U46" t="s">
        <v>761</v>
      </c>
      <c r="V46" t="s">
        <v>762</v>
      </c>
      <c r="W46" t="s">
        <v>763</v>
      </c>
      <c r="X46" t="s">
        <v>764</v>
      </c>
      <c r="Y46" t="s">
        <v>765</v>
      </c>
      <c r="Z46">
        <v>5.2</v>
      </c>
      <c r="AA46">
        <v>13516</v>
      </c>
      <c r="AB46" t="s">
        <v>766</v>
      </c>
      <c r="AC46">
        <v>12</v>
      </c>
      <c r="AD46">
        <v>2023</v>
      </c>
      <c r="AE46">
        <v>50</v>
      </c>
      <c r="AF46" t="s">
        <v>767</v>
      </c>
      <c r="AG46">
        <v>36</v>
      </c>
      <c r="AH46">
        <v>13.7097988695413</v>
      </c>
      <c r="AI46">
        <v>0.37053510458219902</v>
      </c>
      <c r="AJ46" t="s">
        <v>61</v>
      </c>
      <c r="AK46" t="s">
        <v>768</v>
      </c>
      <c r="AL46">
        <v>26</v>
      </c>
      <c r="AM46">
        <v>6</v>
      </c>
      <c r="AN46">
        <v>37</v>
      </c>
      <c r="AO46">
        <v>0.16</v>
      </c>
      <c r="AP46" t="s">
        <v>63</v>
      </c>
      <c r="AQ46" t="s">
        <v>63</v>
      </c>
    </row>
    <row r="47" spans="1:43" x14ac:dyDescent="0.2">
      <c r="A47">
        <v>572802</v>
      </c>
      <c r="B47" t="s">
        <v>769</v>
      </c>
      <c r="C47">
        <v>6.5730000000000004</v>
      </c>
      <c r="D47">
        <v>3240</v>
      </c>
      <c r="E47" t="s">
        <v>44</v>
      </c>
      <c r="F47" s="1">
        <v>45280</v>
      </c>
      <c r="G47">
        <v>440181226</v>
      </c>
      <c r="H47">
        <v>124</v>
      </c>
      <c r="I47">
        <v>205000000</v>
      </c>
      <c r="J47" t="s">
        <v>770</v>
      </c>
      <c r="K47" t="s">
        <v>46</v>
      </c>
      <c r="L47" t="s">
        <v>769</v>
      </c>
      <c r="M47" t="s">
        <v>771</v>
      </c>
      <c r="N47">
        <v>13.7662</v>
      </c>
      <c r="O47" t="s">
        <v>772</v>
      </c>
      <c r="P47" t="s">
        <v>773</v>
      </c>
      <c r="Q47" t="s">
        <v>774</v>
      </c>
      <c r="R47" t="s">
        <v>70</v>
      </c>
      <c r="S47" t="s">
        <v>775</v>
      </c>
      <c r="T47" t="s">
        <v>776</v>
      </c>
      <c r="U47" t="s">
        <v>777</v>
      </c>
      <c r="V47" t="s">
        <v>778</v>
      </c>
      <c r="W47" t="s">
        <v>779</v>
      </c>
      <c r="X47" t="s">
        <v>780</v>
      </c>
      <c r="Y47" t="s">
        <v>781</v>
      </c>
      <c r="Z47">
        <v>5.6</v>
      </c>
      <c r="AA47">
        <v>112902</v>
      </c>
      <c r="AB47" t="s">
        <v>782</v>
      </c>
      <c r="AC47">
        <v>12</v>
      </c>
      <c r="AD47">
        <v>2023</v>
      </c>
      <c r="AE47">
        <v>51</v>
      </c>
      <c r="AF47" t="s">
        <v>783</v>
      </c>
      <c r="AG47">
        <v>42</v>
      </c>
      <c r="AH47">
        <v>19.9026970796229</v>
      </c>
      <c r="AI47">
        <v>0.46285342045634698</v>
      </c>
      <c r="AJ47" t="s">
        <v>61</v>
      </c>
      <c r="AK47" t="s">
        <v>784</v>
      </c>
      <c r="AL47">
        <v>65</v>
      </c>
      <c r="AM47">
        <v>1</v>
      </c>
      <c r="AN47">
        <v>66</v>
      </c>
      <c r="AO47">
        <v>0.02</v>
      </c>
      <c r="AP47" t="s">
        <v>63</v>
      </c>
      <c r="AQ47" t="s">
        <v>63</v>
      </c>
    </row>
    <row r="48" spans="1:43" x14ac:dyDescent="0.2">
      <c r="A48">
        <v>660360</v>
      </c>
      <c r="B48" t="s">
        <v>785</v>
      </c>
      <c r="C48">
        <v>6.4</v>
      </c>
      <c r="D48">
        <v>149</v>
      </c>
      <c r="E48" t="s">
        <v>44</v>
      </c>
      <c r="F48" s="1">
        <v>45280</v>
      </c>
      <c r="G48">
        <v>34210966</v>
      </c>
      <c r="H48">
        <v>153</v>
      </c>
      <c r="I48">
        <v>40000000</v>
      </c>
      <c r="J48" t="s">
        <v>786</v>
      </c>
      <c r="K48" t="s">
        <v>787</v>
      </c>
      <c r="L48" t="s">
        <v>788</v>
      </c>
      <c r="M48" t="s">
        <v>789</v>
      </c>
      <c r="N48">
        <v>2.5663999999999998</v>
      </c>
      <c r="O48" t="s">
        <v>790</v>
      </c>
      <c r="P48" t="s">
        <v>791</v>
      </c>
      <c r="Q48" t="s">
        <v>792</v>
      </c>
      <c r="R48" t="s">
        <v>793</v>
      </c>
      <c r="S48" t="s">
        <v>794</v>
      </c>
      <c r="T48" t="s">
        <v>795</v>
      </c>
      <c r="U48" t="s">
        <v>796</v>
      </c>
      <c r="V48" t="s">
        <v>797</v>
      </c>
      <c r="W48" t="s">
        <v>798</v>
      </c>
      <c r="X48" t="s">
        <v>799</v>
      </c>
      <c r="Y48" t="s">
        <v>800</v>
      </c>
      <c r="Z48">
        <v>6.3</v>
      </c>
      <c r="AA48">
        <v>1187</v>
      </c>
      <c r="AB48" t="s">
        <v>801</v>
      </c>
      <c r="AC48">
        <v>12</v>
      </c>
      <c r="AD48">
        <v>2023</v>
      </c>
      <c r="AE48">
        <v>51</v>
      </c>
      <c r="AF48" t="s">
        <v>802</v>
      </c>
      <c r="AG48">
        <v>42</v>
      </c>
      <c r="AH48">
        <v>17.348056823143001</v>
      </c>
      <c r="AI48">
        <v>0.40344318193355799</v>
      </c>
      <c r="AJ48" t="s">
        <v>61</v>
      </c>
      <c r="AK48" t="s">
        <v>803</v>
      </c>
      <c r="AL48">
        <v>8</v>
      </c>
      <c r="AM48">
        <v>2</v>
      </c>
      <c r="AN48">
        <v>16</v>
      </c>
      <c r="AO48">
        <v>0.12</v>
      </c>
      <c r="AP48" t="s">
        <v>63</v>
      </c>
      <c r="AQ48" t="s">
        <v>63</v>
      </c>
    </row>
    <row r="49" spans="1:43" x14ac:dyDescent="0.2">
      <c r="A49">
        <v>770906</v>
      </c>
      <c r="B49" t="s">
        <v>804</v>
      </c>
      <c r="C49">
        <v>6.7</v>
      </c>
      <c r="D49">
        <v>97</v>
      </c>
      <c r="E49" t="s">
        <v>44</v>
      </c>
      <c r="F49" s="1">
        <v>45281</v>
      </c>
      <c r="G49">
        <v>87229100</v>
      </c>
      <c r="H49">
        <v>175</v>
      </c>
      <c r="I49">
        <v>34000000</v>
      </c>
      <c r="J49" t="s">
        <v>805</v>
      </c>
      <c r="K49" t="s">
        <v>806</v>
      </c>
      <c r="L49" t="s">
        <v>807</v>
      </c>
      <c r="M49" t="s">
        <v>808</v>
      </c>
      <c r="N49">
        <v>7.6364000000000001</v>
      </c>
      <c r="O49" t="s">
        <v>809</v>
      </c>
      <c r="P49" t="s">
        <v>632</v>
      </c>
      <c r="Q49" t="s">
        <v>810</v>
      </c>
      <c r="R49" t="s">
        <v>107</v>
      </c>
      <c r="S49" t="s">
        <v>811</v>
      </c>
      <c r="T49" t="s">
        <v>812</v>
      </c>
      <c r="U49" t="s">
        <v>813</v>
      </c>
      <c r="W49" t="s">
        <v>813</v>
      </c>
      <c r="X49" t="s">
        <v>814</v>
      </c>
      <c r="Y49" t="s">
        <v>815</v>
      </c>
      <c r="Z49">
        <v>6.6</v>
      </c>
      <c r="AA49">
        <v>77219</v>
      </c>
      <c r="AB49" t="s">
        <v>816</v>
      </c>
      <c r="AC49">
        <v>12</v>
      </c>
      <c r="AD49">
        <v>2023</v>
      </c>
      <c r="AE49">
        <v>51</v>
      </c>
      <c r="AF49" t="s">
        <v>817</v>
      </c>
      <c r="AG49">
        <v>43</v>
      </c>
      <c r="AH49">
        <v>18.2840485602689</v>
      </c>
      <c r="AI49">
        <v>0.41554655818793002</v>
      </c>
      <c r="AJ49" t="s">
        <v>61</v>
      </c>
      <c r="AK49" t="s">
        <v>818</v>
      </c>
      <c r="AL49">
        <v>11</v>
      </c>
      <c r="AM49">
        <v>1</v>
      </c>
      <c r="AN49">
        <v>19</v>
      </c>
      <c r="AO49">
        <v>0.05</v>
      </c>
      <c r="AP49" t="s">
        <v>63</v>
      </c>
      <c r="AQ49" t="s">
        <v>63</v>
      </c>
    </row>
    <row r="50" spans="1:43" x14ac:dyDescent="0.2">
      <c r="A50">
        <v>850165</v>
      </c>
      <c r="B50" t="s">
        <v>819</v>
      </c>
      <c r="C50">
        <v>7.5</v>
      </c>
      <c r="D50">
        <v>1104</v>
      </c>
      <c r="E50" t="s">
        <v>44</v>
      </c>
      <c r="F50" s="1">
        <v>45281</v>
      </c>
      <c r="G50">
        <v>40130232</v>
      </c>
      <c r="H50">
        <v>132</v>
      </c>
      <c r="I50">
        <v>15900000</v>
      </c>
      <c r="J50" t="s">
        <v>820</v>
      </c>
      <c r="K50" t="s">
        <v>46</v>
      </c>
      <c r="L50" t="s">
        <v>819</v>
      </c>
      <c r="M50" t="s">
        <v>821</v>
      </c>
      <c r="N50">
        <v>3.9468999999999999</v>
      </c>
      <c r="O50" t="s">
        <v>822</v>
      </c>
      <c r="P50" t="s">
        <v>585</v>
      </c>
      <c r="Q50" t="s">
        <v>823</v>
      </c>
      <c r="R50" t="s">
        <v>542</v>
      </c>
      <c r="S50" t="s">
        <v>144</v>
      </c>
      <c r="T50" t="s">
        <v>824</v>
      </c>
      <c r="U50" t="s">
        <v>825</v>
      </c>
      <c r="V50" t="s">
        <v>826</v>
      </c>
      <c r="W50" t="s">
        <v>825</v>
      </c>
      <c r="X50" t="s">
        <v>827</v>
      </c>
      <c r="Y50" t="s">
        <v>624</v>
      </c>
      <c r="Z50">
        <v>7.6</v>
      </c>
      <c r="AA50">
        <v>113228</v>
      </c>
      <c r="AB50" t="s">
        <v>828</v>
      </c>
      <c r="AC50">
        <v>12</v>
      </c>
      <c r="AD50">
        <v>2023</v>
      </c>
      <c r="AE50">
        <v>51</v>
      </c>
      <c r="AF50" t="s">
        <v>829</v>
      </c>
      <c r="AG50">
        <v>43</v>
      </c>
      <c r="AH50">
        <v>17.507640548356299</v>
      </c>
      <c r="AI50">
        <v>0.397900921553552</v>
      </c>
      <c r="AJ50" t="s">
        <v>61</v>
      </c>
      <c r="AK50" t="s">
        <v>830</v>
      </c>
      <c r="AL50">
        <v>33</v>
      </c>
      <c r="AM50">
        <v>3</v>
      </c>
      <c r="AN50">
        <v>44</v>
      </c>
      <c r="AO50">
        <v>7.0000000000000007E-2</v>
      </c>
      <c r="AP50" t="s">
        <v>63</v>
      </c>
      <c r="AQ50" t="s">
        <v>63</v>
      </c>
    </row>
    <row r="51" spans="1:43" x14ac:dyDescent="0.2">
      <c r="A51">
        <v>960876</v>
      </c>
      <c r="B51" t="s">
        <v>831</v>
      </c>
      <c r="C51">
        <v>6.2</v>
      </c>
      <c r="D51">
        <v>84</v>
      </c>
      <c r="E51" t="s">
        <v>44</v>
      </c>
      <c r="F51" s="1">
        <v>45281</v>
      </c>
      <c r="G51">
        <v>501000000</v>
      </c>
      <c r="H51">
        <v>159</v>
      </c>
      <c r="I51">
        <v>239000000</v>
      </c>
      <c r="J51" t="s">
        <v>832</v>
      </c>
      <c r="K51" t="s">
        <v>101</v>
      </c>
      <c r="L51" t="s">
        <v>833</v>
      </c>
      <c r="M51" t="s">
        <v>834</v>
      </c>
      <c r="N51">
        <v>2.4508000000000001</v>
      </c>
      <c r="O51" t="s">
        <v>835</v>
      </c>
      <c r="P51" t="s">
        <v>836</v>
      </c>
      <c r="Q51" t="s">
        <v>837</v>
      </c>
      <c r="R51" t="s">
        <v>107</v>
      </c>
      <c r="S51" t="s">
        <v>838</v>
      </c>
      <c r="T51" t="s">
        <v>839</v>
      </c>
      <c r="U51" t="s">
        <v>840</v>
      </c>
      <c r="V51" t="s">
        <v>841</v>
      </c>
      <c r="W51" t="s">
        <v>842</v>
      </c>
      <c r="X51" t="s">
        <v>843</v>
      </c>
      <c r="Y51" t="s">
        <v>844</v>
      </c>
      <c r="Z51">
        <v>6.5</v>
      </c>
      <c r="AA51">
        <v>84228</v>
      </c>
      <c r="AB51" t="s">
        <v>845</v>
      </c>
      <c r="AC51">
        <v>12</v>
      </c>
      <c r="AD51">
        <v>2023</v>
      </c>
      <c r="AE51">
        <v>51</v>
      </c>
      <c r="AF51" t="s">
        <v>846</v>
      </c>
      <c r="AG51">
        <v>43</v>
      </c>
      <c r="AH51">
        <v>20.032116661045102</v>
      </c>
      <c r="AI51">
        <v>0.45527537866011603</v>
      </c>
      <c r="AJ51" t="s">
        <v>61</v>
      </c>
      <c r="AK51" t="s">
        <v>847</v>
      </c>
      <c r="AL51">
        <v>14</v>
      </c>
      <c r="AM51">
        <v>2</v>
      </c>
      <c r="AN51">
        <v>19</v>
      </c>
      <c r="AO51">
        <v>0.11</v>
      </c>
      <c r="AP51" t="s">
        <v>63</v>
      </c>
      <c r="AQ51" t="s">
        <v>63</v>
      </c>
    </row>
    <row r="52" spans="1:43" x14ac:dyDescent="0.2">
      <c r="A52">
        <v>1072790</v>
      </c>
      <c r="B52" t="s">
        <v>848</v>
      </c>
      <c r="C52">
        <v>6.8</v>
      </c>
      <c r="D52">
        <v>2783</v>
      </c>
      <c r="E52" t="s">
        <v>44</v>
      </c>
      <c r="F52" s="1">
        <v>45281</v>
      </c>
      <c r="G52">
        <v>214891370</v>
      </c>
      <c r="H52">
        <v>103</v>
      </c>
      <c r="I52">
        <v>25000000</v>
      </c>
      <c r="J52" t="s">
        <v>849</v>
      </c>
      <c r="K52" t="s">
        <v>46</v>
      </c>
      <c r="L52" t="s">
        <v>848</v>
      </c>
      <c r="M52" t="s">
        <v>850</v>
      </c>
      <c r="N52">
        <v>9.9314</v>
      </c>
      <c r="O52" t="s">
        <v>851</v>
      </c>
      <c r="P52" t="s">
        <v>400</v>
      </c>
      <c r="Q52" t="s">
        <v>852</v>
      </c>
      <c r="R52" t="s">
        <v>70</v>
      </c>
      <c r="S52" t="s">
        <v>144</v>
      </c>
      <c r="T52" t="s">
        <v>853</v>
      </c>
      <c r="U52" t="s">
        <v>854</v>
      </c>
      <c r="V52" t="s">
        <v>855</v>
      </c>
      <c r="W52" t="s">
        <v>856</v>
      </c>
      <c r="X52" t="s">
        <v>857</v>
      </c>
      <c r="Y52" t="s">
        <v>858</v>
      </c>
      <c r="Z52">
        <v>6.1</v>
      </c>
      <c r="AA52">
        <v>160443</v>
      </c>
      <c r="AB52" t="s">
        <v>859</v>
      </c>
      <c r="AC52">
        <v>12</v>
      </c>
      <c r="AD52">
        <v>2023</v>
      </c>
      <c r="AE52">
        <v>51</v>
      </c>
      <c r="AF52" t="s">
        <v>860</v>
      </c>
      <c r="AG52">
        <v>43</v>
      </c>
      <c r="AH52">
        <v>19.185643207246699</v>
      </c>
      <c r="AI52">
        <v>0.43603734561924401</v>
      </c>
      <c r="AJ52" t="s">
        <v>61</v>
      </c>
      <c r="AK52" t="s">
        <v>861</v>
      </c>
      <c r="AL52">
        <v>39</v>
      </c>
      <c r="AM52">
        <v>1</v>
      </c>
      <c r="AN52">
        <v>42</v>
      </c>
      <c r="AO52">
        <v>0.02</v>
      </c>
      <c r="AP52" t="s">
        <v>63</v>
      </c>
      <c r="AQ52" t="s">
        <v>63</v>
      </c>
    </row>
    <row r="53" spans="1:43" x14ac:dyDescent="0.2">
      <c r="A53">
        <v>994108</v>
      </c>
      <c r="B53" t="s">
        <v>862</v>
      </c>
      <c r="C53">
        <v>7.4130000000000003</v>
      </c>
      <c r="D53">
        <v>918</v>
      </c>
      <c r="E53" t="s">
        <v>44</v>
      </c>
      <c r="F53" s="1">
        <v>45282</v>
      </c>
      <c r="G53">
        <v>14864960</v>
      </c>
      <c r="H53">
        <v>105</v>
      </c>
      <c r="I53">
        <v>5000000</v>
      </c>
      <c r="J53" t="s">
        <v>863</v>
      </c>
      <c r="K53" t="s">
        <v>46</v>
      </c>
      <c r="L53" t="s">
        <v>862</v>
      </c>
      <c r="M53" t="s">
        <v>864</v>
      </c>
      <c r="N53">
        <v>5.9116999999999997</v>
      </c>
      <c r="O53" t="s">
        <v>865</v>
      </c>
      <c r="P53" t="s">
        <v>866</v>
      </c>
      <c r="Q53" t="s">
        <v>867</v>
      </c>
      <c r="R53" t="s">
        <v>542</v>
      </c>
      <c r="S53" t="s">
        <v>144</v>
      </c>
      <c r="T53" t="s">
        <v>868</v>
      </c>
      <c r="U53" t="s">
        <v>869</v>
      </c>
      <c r="V53" t="s">
        <v>870</v>
      </c>
      <c r="W53" t="s">
        <v>871</v>
      </c>
      <c r="X53" t="s">
        <v>872</v>
      </c>
      <c r="Y53" t="s">
        <v>873</v>
      </c>
      <c r="Z53">
        <v>7.6</v>
      </c>
      <c r="AA53">
        <v>75472</v>
      </c>
      <c r="AB53" t="s">
        <v>874</v>
      </c>
      <c r="AC53">
        <v>12</v>
      </c>
      <c r="AD53">
        <v>2023</v>
      </c>
      <c r="AE53">
        <v>51</v>
      </c>
      <c r="AF53" t="s">
        <v>875</v>
      </c>
      <c r="AG53">
        <v>44</v>
      </c>
      <c r="AH53">
        <v>16.5145173907983</v>
      </c>
      <c r="AI53">
        <v>0.36698927535107501</v>
      </c>
      <c r="AJ53" t="s">
        <v>61</v>
      </c>
      <c r="AK53" t="s">
        <v>876</v>
      </c>
      <c r="AL53">
        <v>21</v>
      </c>
      <c r="AM53">
        <v>2</v>
      </c>
      <c r="AN53">
        <v>59</v>
      </c>
      <c r="AO53">
        <v>0.03</v>
      </c>
      <c r="AP53" t="s">
        <v>63</v>
      </c>
      <c r="AQ53" t="s">
        <v>63</v>
      </c>
    </row>
    <row r="54" spans="1:43" x14ac:dyDescent="0.2">
      <c r="A54" t="s">
        <v>877</v>
      </c>
      <c r="AH54">
        <f>SUBTOTAL(109,Table1[strength])</f>
        <v>838.45996505415508</v>
      </c>
      <c r="AQ54">
        <f>SUBTOTAL(103,Table1[error])</f>
        <v>51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The_Marvels_attributes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2026-02-17T17:23:47Z</dcterms:created>
  <dcterms:modified xsi:type="dcterms:W3CDTF">2026-02-17T18:07:03Z</dcterms:modified>
</cp:coreProperties>
</file>