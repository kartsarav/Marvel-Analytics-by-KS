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kitkat/github projects/Marvel-Analytics-by-KS/movie-release-optimization/data/processing/filter 3/xlsx/attributed/"/>
    </mc:Choice>
  </mc:AlternateContent>
  <xr:revisionPtr revIDLastSave="0" documentId="13_ncr:1_{5D497347-525E-D446-9744-F5A5FD00C2C3}" xr6:coauthVersionLast="47" xr6:coauthVersionMax="47" xr10:uidLastSave="{00000000-0000-0000-0000-000000000000}"/>
  <bookViews>
    <workbookView xWindow="380" yWindow="80" windowWidth="28040" windowHeight="17180" xr2:uid="{C7653B9F-EE79-9D49-83B1-3FF373EFCDAF}"/>
  </bookViews>
  <sheets>
    <sheet name="Eternals_attribut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39" i="1" l="1"/>
  <c r="AQ39" i="1"/>
</calcChain>
</file>

<file path=xl/sharedStrings.xml><?xml version="1.0" encoding="utf-8"?>
<sst xmlns="http://schemas.openxmlformats.org/spreadsheetml/2006/main" count="892" uniqueCount="633">
  <si>
    <t>id</t>
  </si>
  <si>
    <t>title</t>
  </si>
  <si>
    <t>vote_average</t>
  </si>
  <si>
    <t>vote_count</t>
  </si>
  <si>
    <t>status</t>
  </si>
  <si>
    <t>release_date</t>
  </si>
  <si>
    <t>revenue</t>
  </si>
  <si>
    <t>runtime</t>
  </si>
  <si>
    <t>budget</t>
  </si>
  <si>
    <t>imdb_id</t>
  </si>
  <si>
    <t>original_language</t>
  </si>
  <si>
    <t>original_title</t>
  </si>
  <si>
    <t>overview</t>
  </si>
  <si>
    <t>popularity</t>
  </si>
  <si>
    <t>tagline</t>
  </si>
  <si>
    <t>genres</t>
  </si>
  <si>
    <t>production_companies</t>
  </si>
  <si>
    <t>production_countries</t>
  </si>
  <si>
    <t>spoken_languages</t>
  </si>
  <si>
    <t>cast</t>
  </si>
  <si>
    <t>director</t>
  </si>
  <si>
    <t>director_of_photography</t>
  </si>
  <si>
    <t>writers</t>
  </si>
  <si>
    <t>producers</t>
  </si>
  <si>
    <t>music_composer</t>
  </si>
  <si>
    <t>imdb_rating</t>
  </si>
  <si>
    <t>imdb_votes</t>
  </si>
  <si>
    <t>poster_path</t>
  </si>
  <si>
    <t>release_month</t>
  </si>
  <si>
    <t>release_year</t>
  </si>
  <si>
    <t>iso_week</t>
  </si>
  <si>
    <t>title_clean</t>
  </si>
  <si>
    <t>distance</t>
  </si>
  <si>
    <t>strength</t>
  </si>
  <si>
    <t>score</t>
  </si>
  <si>
    <t>marvel_movie</t>
  </si>
  <si>
    <t>attributes</t>
  </si>
  <si>
    <t>blank</t>
  </si>
  <si>
    <t>internet</t>
  </si>
  <si>
    <t>total</t>
  </si>
  <si>
    <t>internet_ratio</t>
  </si>
  <si>
    <t>internet_dominance</t>
  </si>
  <si>
    <t>error</t>
  </si>
  <si>
    <t>Dear Evan Hansen</t>
  </si>
  <si>
    <t>Released</t>
  </si>
  <si>
    <t>tt9357050</t>
  </si>
  <si>
    <t>en</t>
  </si>
  <si>
    <t>Evan Hansen, a high schooler with social anxiety, unintentionally gets caught up in a lie after the family of a classmate who committed suicide mistakes one of Hansen‚Äö√Ñ√¥s letters for their son‚Äö√Ñ√¥s suicide note.</t>
  </si>
  <si>
    <t>An honest and original story for those lost and then found.</t>
  </si>
  <si>
    <t>Drama</t>
  </si>
  <si>
    <t>universal pictures, marc platt productions, perfect world pictures, dentsu</t>
  </si>
  <si>
    <t>Japan, United States of America</t>
  </si>
  <si>
    <t>English</t>
  </si>
  <si>
    <t>DeMarius R. Copes, Dru Reel, Tommy Kane, Ben Platt, Shane Berengue, Julianne Moore, Colton Ryan, Amy Adams, Robin Segal Skolnik, Grace Lu, Kaitlynn Boyle, Ryan Basch, Amandla Stenberg, Gerald Caesar, Aymee Garcia, Nik Dodani, Tanushree Sekhri, Dominic Lauren, Naomi Rubin, Christopher Shea Hale, Avery Bederman, Gloria Bishop, Austin Scott Hunter, Zachary Willis, Maccie Margaret Chbosky, Danny Pino, Nathan W. Collins, Julia Chen Myers, Lio Mehiel, Amelia McArthur, Luis Waldstein-McCabe, Hadiya Eshe', Seth Fuentes, Swift Rice, Kaitlyn Dever, Kristin Clark, Zoey Luna, Marvin Leon, Mariana Alvarez, DaeSun Cupid, Isaac Powell, Liz Kate, Ceci Balagot, Tess Aubert, Deanna Crawford, Chris TC Edge, Raquel McPeek Rodriguez, J. Quinton Johnson, Luke Bambrick, Marcel Logan, Cameron J. Armstrong</t>
  </si>
  <si>
    <t>Stephen Chbosky</t>
  </si>
  <si>
    <t>Brandon Trost</t>
  </si>
  <si>
    <t>Benj Pasek, Steven Levenson, Justin Paul</t>
  </si>
  <si>
    <t>Marc Platt, Benj Pasek, Justin Paul, Michael Bederman, Steven Levenson, Adam Siegel</t>
  </si>
  <si>
    <t>Dan Romer, Benj Pasek, Justin Paul</t>
  </si>
  <si>
    <t>/hKjBQhsnCMt86kPKpPwV4meeFPo.jpg</t>
  </si>
  <si>
    <t>dear evan hansen</t>
  </si>
  <si>
    <t>eternals</t>
  </si>
  <si>
    <t>toronto international film festival (1), blank (27), los angeles premiere (1), dvd premiere (2), rome film festival (1), internet (4), closing film (1), tokyo international film festival (1), sydney film festival (1), madrid (1), premiere (1), tv release (1)</t>
  </si>
  <si>
    <t>no</t>
  </si>
  <si>
    <t>No Time to Die</t>
  </si>
  <si>
    <t>tt2382320</t>
  </si>
  <si>
    <t>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t>
  </si>
  <si>
    <t>The mission that changes everything begins‚Äö√Ñ¬∂</t>
  </si>
  <si>
    <t>Action, Thriller, Adventure</t>
  </si>
  <si>
    <t>eon productions, metro-goldwyn-mayer</t>
  </si>
  <si>
    <t>United Kingdom, United States of America</t>
  </si>
  <si>
    <t>Espa‚àö¬±ol, Fran‚àö√üais, P‚Äî√â‚Äî√Ö‚Äî√Ö‚Äì‚à´‚Äì‚àè‚ÄìœÄ, English, Italiano</t>
  </si>
  <si>
    <t>Eliot Sumner, Andrei Nova, Ross Donnelly, Christoph Waltz, Ralph Fiennes, Lisa-Dorah Sonnet, Chi Chan, Toby Sauerback, David Dencik, Svitlana Karabut, Daniel Craig, Gemmar Mcfarlane, Adnan Rashed, Rami Malek, Amy Morgan, Lizzie Winkler, Mathilde Bourbin, Michael Mercer, Gediminas Adomaitis, Giansalvatore Duca, Rod Hunt, Davina Moon, Pio Amato, Mattia Lacovone, Ernest Gromov, Rory Kinnear, Dali Benssalah, Priyanga Burford, Leighton Laing, L‚àö¬©a Seydoux, Naomie Harris, Jeffrey Wright, Nicola Olivieri, Joe Grossi, Brigitte Millar, Philip Philmar, Steve Barnett, Michael G. Wilson, Mark Addison, Lashana Lynch, Rae Lim, John Farrer, Winston Ellis, Dennis Good, Kimo Armstrong, Hugh Dennis, Tuncay Gunes, Douglas Bunn, Andy Cheung, Coline Defaud, Michael Herne, Raymond Waring, Clem So, Julian Ferro, Ana de Armas, Gordon Alexander, Billy Magnussen, Javone Prince, Lourdes Faberes, Paul O'Kelly, Hayden Phillips, David Olawale Ayinde, Ben Whishaw</t>
  </si>
  <si>
    <t>Cary Joji Fukunaga</t>
  </si>
  <si>
    <t>Linus Sandgren</t>
  </si>
  <si>
    <t>Robert Wade, Phoebe Waller-Bridge, Cary Joji Fukunaga, Ian Fleming, Neal Purvis</t>
  </si>
  <si>
    <t>Barbara Broccoli, Chris Brigham, Michael G. Wilson</t>
  </si>
  <si>
    <t>Hans Zimmer</t>
  </si>
  <si>
    <t>/iUgygt3fscRoKWCV1d0C7FbM9TP.jpg</t>
  </si>
  <si>
    <t>no time to die</t>
  </si>
  <si>
    <t>zurich film festival (1), premiere (3), london (1), blank (65), french speaking region (1), monte carlo (1), limited (1), stockholm international film festival (1), closing night film (1), energacamerimage international film festival (1), re-release (1), imax (1), internet (1)</t>
  </si>
  <si>
    <t>Venom: Let There Be Carnage</t>
  </si>
  <si>
    <t>tt7097896</t>
  </si>
  <si>
    <t>After finding a host body in investigative reporter Eddie Brock, the alien symbiote must face a new enemy, Carnage, the alter ego of serial killer Cletus Kasady.</t>
  </si>
  <si>
    <t>You are what you eat.</t>
  </si>
  <si>
    <t>Science Fiction, Action, Adventure</t>
  </si>
  <si>
    <t>columbia pictures, pascal pictures, matt tolmach productions, arad productions</t>
  </si>
  <si>
    <t>United States of America</t>
  </si>
  <si>
    <t>Espa‚àö¬±ol, English</t>
  </si>
  <si>
    <t>Reid Scott, Michelle Williams, Tiffanie Thomas, Vaughn Johseph, Jack Bandeira, Scroobius Pip, Stephen Graham, Otis Winston, James D. Weston II, Louis J Rhone, Jason McNab, Shaliz Afshar, Joshua Eldridge-Smith, Sean Delaney, Woody Harrelson, Eric Sigmundsson, Sam Robinson, Naomie Harris, Che Amaro, Peggy Lu, Brian Copeland, Rob Bowen, Greg Lockett, Miguel Angel Arreguin, Simon Connolly, Rachel Handshaw, Larry Olubamiwo, Rosie Marcel, Beau Sargent, Stewart Alexander, Akie Kotabe, Little Simz, Chabris Napier-Lawrence, Rocky Capella, Sonny Ashbourne Serkis, Amrou Al-Kadhi, Ed Kear, Ashlen Aquila, J.K. Simmons, Tom Holland, Reece Shearsmith, Elliot Cable, Kristen Simoes, Amanda Foster, Olumide Olorunfemi, Sian Webber, Christopher Godwin, Laurence Spellman, Jose Palma, Tom Hardy, David Zepeda, Michelle Greenidge, Jamal Ajala, Emma Lau</t>
  </si>
  <si>
    <t>Andy Serkis</t>
  </si>
  <si>
    <t>Robert Richardson</t>
  </si>
  <si>
    <t>Kelly Marcel, Mark Bagley, Tom DeFalco, Tom Hardy, David Michelinie, Todd McFarlane</t>
  </si>
  <si>
    <t>Kelly Marcel, Ruben Fleischer, Matt Tolmach, Amy Pascal, Hutch Parker, Tom Hardy, Barry H. Waldman, Avi Arad, Jonathan Cavendish</t>
  </si>
  <si>
    <t>Marco Beltrami</t>
  </si>
  <si>
    <t>/pzKsRuKLFmYrW5Q0q8E8G78Tcgo.jpg</t>
  </si>
  <si>
    <t>venom: let there be carnage</t>
  </si>
  <si>
    <t>london (1), premiere (1), blank (61), limited (1), internet (1), dvd premiere (1)</t>
  </si>
  <si>
    <t>The Battle at Lake Changjin</t>
  </si>
  <si>
    <t>tt13462900</t>
  </si>
  <si>
    <t>zh</t>
  </si>
  <si>
    <t>√à√Ø√∏√ä¬•‚Ä¢√äœÄ√±</t>
  </si>
  <si>
    <t>Korean War, winter 1950. In the frozen and snowy area of Changjin Lake, a bloody battle is about to begin between the elite troops of the United States and China.</t>
  </si>
  <si>
    <t>Do they fall out of the goddamn sky?</t>
  </si>
  <si>
    <t>Drama, War</t>
  </si>
  <si>
    <t>bona film group, shanghai film group, df pictures, alibaba pictures group, china film group corporation, distribution workshop, huaxia film distribution, just creative studio</t>
  </si>
  <si>
    <t>China, Hong Kong</t>
  </si>
  <si>
    <t>√ä√¥√Ü√à√Ñ√∂√ã√ò√π, English</t>
  </si>
  <si>
    <t>Yan Peng, Zhang Zhiqin, Tian Zheng, Liu Jintong, Chu Shuanzhong, Zhou Xiaobin, He Qiang, Wang Yanyang, Andy Friend, Zhu Yawen, Zhang Yue, Jia Xinggang, Wang Tonghui, Wu Weidong, Lin Jinglai, Zhang Lei, Jerry Lee, Liu Jin, Na Zhidong, Chen Zexuan, Zhang Zhikun, Han Bowei, Wang Hongtao, Tang Linsen, √Ç‚â†√¥√Ç√µŒ©√Ç‚àè√ñ, Zhuang Xiaolong, Li Bo, Zhang Xiu, Zhang Ningjiang, Kyrylo Shulga, Zhu Guangming, Gang Yi, Guo Jian, Yang Yiwei, Liu Sha, Xie Jingda, Huang Xiaohang, Quanbin Wang, Lu Wei, Zac Wang, Liu Xinjie, Tiger Xu, Cheng Yi, Elvis Han, √äŒ©√≤√Ç¬±√Ø√Ç¬±√Ø, Sun Boyang, Geng Le, Wang Guanqi, Zhang Yiming, √Ç√ñ√£√à√°√•√ä√±√ò√ä√¢√≤√Ç¬∫√≥¬¨‚àë√ä√¢√≤√Ç√¶‚àë¬¨‚àë√Ç√º√â√ä√±√°√ä√±√ò, Dai Lu, Ou Hao, Li Yize, Zhang Xiaojun, Rovaif Babar, Wang Zilong, Tang Guoqiang, √Å√©√£√Ç√Ö‚Ä¢, Yang Can, Shi Lei, Tang Zhiqiang, Cao Aorigele, √Å‚à´¬∂√Å√∏‚àû¬¨‚àë√Ç√ñ√£√à‚â§√Ö√Ç√ñœÄ, Duan Yihong, Lin Yongjian, Hu Jun, Wang Ning, Shi Haozheng, Shi Pengyuan, Li Xiaofeng, √à√º¬©√ä√±œÄ√ä√¥¬Æ, Diego Dati, Cai Xin, James Filbird, Zhao Yongzhan, Zhou Huilin, Zhang Xiaolei, Wu Jing, Zhang Hanyu, Zhang Chenyin, Wu Dongjian, He Yuefei, Hu Xueliang, Jackson Yee, Zhang Yubo, Wang Zhigang, Li Jun, Sun Yi, Li Mincheng, Yin Yuanzhang, √à¬™√©√ã√¢√¶√ã√≠√¥, Cheng Guodong, He Guangzhi, Huang Xuan, Liu Zhiwei, Jiang Xiaolin, √Ç√™¬•√ä√≤√©√ä√π‚â†, Xin Yubo, Cao Yang, Zhao Yihan, Li Zhuoyang, Wang Wufu, Song Yuchen, Lu Qi, Wu Tieliang, Matias Lorieri, Aimee Xu, √ä‚â•√Ø√ä√®√™</t>
  </si>
  <si>
    <t>Chen Kaige, Tsui Hark, Dante Lam Chiu-Yin</t>
  </si>
  <si>
    <t>Luo Pan, Tiger Gao, Horace Wong Wing-Hang, Peter Pau Tak-Hai, Ding Yu, Kenny Tse Chung-To</t>
  </si>
  <si>
    <t>Lan Xiaolong, Huang Jianxin</t>
  </si>
  <si>
    <t>Huang Jianxin, Chen Kaige, Yu Dong, Tsui Hark, Jiang Defu, Dante Lam Chiu-Yin, Shi Nansun, Chen Hong, Candy Leung Fung-Ying</t>
  </si>
  <si>
    <t>Elliot Leung Ho-Yat</t>
  </si>
  <si>
    <t>/iXvAlIo4DPLBiraC2KLu4977Wo2.jpg</t>
  </si>
  <si>
    <t>the battle at lake changjin</t>
  </si>
  <si>
    <t>beijing international film festival (1), premiere (2), blank (10), limited (2), internet (1), barcelona (2), madrid (2), subtitled version (3), technical premiere (1)</t>
  </si>
  <si>
    <t>Old Henry</t>
  </si>
  <si>
    <t>tt12731980</t>
  </si>
  <si>
    <t>A widowed farmer and his son warily take in a mysterious, injured man with a satchel of cash. When a posse of men claiming to be the law come for the money, the farmer must decide who to trust. Defending a siege of his homestead, the farmer reveals a talent for gun-slinging that surprises everyone calling his true identity into question.</t>
  </si>
  <si>
    <t>You can't bury the past.</t>
  </si>
  <si>
    <t>Western, Action, Drama</t>
  </si>
  <si>
    <t>shout! studios, hideout pictures, blue swan entertainment, vmi worldwide</t>
  </si>
  <si>
    <t>Scott Haze, Brad Carter, Richard Speight Jr., Stephen Dorff, Trace Adkins, Gavin Lewis, Kent Shelton, Tim Blake Nelson, Max Arciniega</t>
  </si>
  <si>
    <t>Potsy Ponciroli</t>
  </si>
  <si>
    <t>John Matysiak</t>
  </si>
  <si>
    <t>Alex Siskin, Trevor O'Neil, Jordan Fields, Richard Foos, Garson Foos, Michael Hagerty, Bob Emmer, Shannon Houchins</t>
  </si>
  <si>
    <t>Jordan Lehning</t>
  </si>
  <si>
    <t>/eE1SL0QoDsvAMqQly56IkRtlN1W.jpg</t>
  </si>
  <si>
    <t>old henry</t>
  </si>
  <si>
    <t>venice film festival (1), woodstock film festival (1), blank (5), internet (10), blu-ray release (2), dvd premiere (3), stockholm international film festival (1), tv premiere (1), midnight sun film festival (1)</t>
  </si>
  <si>
    <t>yes</t>
  </si>
  <si>
    <t>Eiffel</t>
  </si>
  <si>
    <t>tt10366514</t>
  </si>
  <si>
    <t>fr</t>
  </si>
  <si>
    <t>The French government is asking Gustave Eiffel to design something spectacular for the 1889 Paris World Fair, but he simply wants to design the subway‚Äö√Ñ√Æuntil he crosses paths with a mysterious woman from his past.</t>
  </si>
  <si>
    <t>You will never look at it the same way again.</t>
  </si>
  <si>
    <t>Romance, Drama</t>
  </si>
  <si>
    <t>path‚àö¬©, vvz production, constantin film, scope pictures, m6 films, m6</t>
  </si>
  <si>
    <t>Belgium, France, Germany</t>
  </si>
  <si>
    <t>Fran‚àö√üais</t>
  </si>
  <si>
    <t>St‚àö¬©phane Page, Armande Boulanger, Matthieu Piriou, Cl‚àö¬©mence Bou‚àö¬©, Herv‚àö¬© Masquelier, Josselin Baillarguet, Romain Duris, Aur‚àö¬©lien Luzeux, Philippe Richardin, Beno‚àö√Üt de Gaulejac, Joseph Rezwin, Philippe Sa‚àö√òd, J‚àö¬©r‚àö¬©mie Petrus, Alexandre Steiger, Julien Sarazin, Emma Mackey, Mich‚àö¬Æle Cl‚àö¬©ment, Juliette Blanche, Damien Zanoly, Pierre Le Baleur, Dominique Pozzetto, Fr‚àö¬©d‚àö¬©ric Merlo, Philippe H‚àö¬©risson, J‚àö¬©r‚àö¬©my Lopez, Aur‚àö¬©lia Frachon, Pierre Deladonchamps, Sophie Foug‚àö¬Ære, Andranic Manet, David Olivier Fischer</t>
  </si>
  <si>
    <t>Martin Bourboulon</t>
  </si>
  <si>
    <t>Matias Boucard</t>
  </si>
  <si>
    <t>Martin Brossollet, Caroline Bongrand, Martin Bourboulon, Tatiana De Rosnay, Natalie Carter, Thomas Bidegain</t>
  </si>
  <si>
    <t>J‚àö¬©r‚àö¬•me Seydoux, Vanessa van Zuylen, Marie de Cenival, Genevi‚àö¬Æve Lemal, Ardavan Safaee, Martin Moszkowicz</t>
  </si>
  <si>
    <t>Alexandre Desplat</t>
  </si>
  <si>
    <t>/mrHx1eQpG7d0Qz3PUkt1ceEP6YK.jpg</t>
  </si>
  <si>
    <t>eiffel</t>
  </si>
  <si>
    <t>alliance fran√ßaise french film festival (1), opening film (1), festival du film francophone d'angoul√™me (1), blank (26), festival international du film francophone de namur (1), m√°laga - alb√©niz (1), subtitled version (1), premiere (2), alicante (1), madrid (1), camerimage international film festival (1), french film festival (1), internet (6), tv release (1), limited (1)</t>
  </si>
  <si>
    <t>Pleasure</t>
  </si>
  <si>
    <t>tt8550054</t>
  </si>
  <si>
    <t>sv</t>
  </si>
  <si>
    <t>19 year old Linn‚àö¬©a leaves her small town in Sweden and heads for Los Angeles with the aim of becoming the world's next big porn star, but the road to her goal turns out to be bumpier than she imagined.</t>
  </si>
  <si>
    <t>In the pursuit of fame, she discovers the price of pleasure.</t>
  </si>
  <si>
    <t>film i v‚àö¬ßst, flamboyance films, lemming film, plattform produktion, svt, logical pictures, grand slam film production, sf studios</t>
  </si>
  <si>
    <t>France, Netherlands, Sweden</t>
  </si>
  <si>
    <t>English, svenska</t>
  </si>
  <si>
    <t>Juliette March, Sean Stearley, Ex Libris, Peter Warren, Kendra Spade, Mick Blue, Claudio Bergamin, Ken Melvoin-Berg, Rusty Nails, Casey Calvert, Bill Bailey, Tommy Pistol, Anthony Elias Contreras, Xander Corvus, Sofia Kappel, Steve Holmes, Kelvin Batiste Jr., Eric John Grossbeck, David Freeman, Tee Reel, Ruckus, Abella Danger, Marc Kramer, Danielle Alexandria, Victor Siegel, Chris Cock, Reza Azar, Parker Stuart, Jules Jordan, John Strong, Evelyn Claire, Eva Melander, Kasia Szarek, Mana Afshar, Timi Mason, Zelda Morrison, Dana DeArmond, Yoshi Nurijumi, Alice Grey, Gina Valentina, Nathan Bronson, Mark Spiegler, Maja Kin, Small Hands, Devin McGee, Derrick Pierce, Axel Braun, Ryan McLane, Charlotte Cross, Pryde Pierce, Jason Toler, Jay Allan, Ivy Sherwood, Jack Blaque, Ester Udd‚àö¬©n, Michael Thompson, Cammy Ellis, Chanel Preston, Aiden Starr, Lucy Hart</t>
  </si>
  <si>
    <t>Ninja Thyberg</t>
  </si>
  <si>
    <t>Sophie Winqvist</t>
  </si>
  <si>
    <t>Ninja Thyberg, Peter Modestij, Sissel Dalsgaard Thomsen, Daniela Dahl, Josefine Adolfsson, Isabel Nylund, Sofia Kappel</t>
  </si>
  <si>
    <t>Pape Boye, Markus Walt‚àö‚Ä¢, Eliza Jones, Violaine Pichon, Erik Hemmendorff</t>
  </si>
  <si>
    <t>Karl Frid</t>
  </si>
  <si>
    <t>/TcOsu6iO5prSJbDn9oIQgIW655.jpg</t>
  </si>
  <si>
    <t>pleasure</t>
  </si>
  <si>
    <t>sundance film festival (1), internet (7), unknown (1), g√∂teborg film festival (1), art film fest kosice (1), new femininity film festival (1), sundance film festival: london (1), motovun film festival (1), melbourne international film festival (1), karlovy vary international film festival (1), deauville american film festival (1), helsinki international film festival (1), zurich film festival (1), parool film fest (1), blank (12), limited (2), film fest gent (1), riga international film festival (1), leiden international film festival (1), sydney film festival (1), thessaloniki international film festival (1), weekend (1), tallinn black nights film festival (1), afi fest (1), dvd and blu-ray premiere (1), dvd premiere (3), buenos aires international festival of independent cinema (1), biografilm festival (1), blu-ray release (3), gender border film festival (1)</t>
  </si>
  <si>
    <t>Encanto</t>
  </si>
  <si>
    <t>tt2953050</t>
  </si>
  <si>
    <t>The tale of an extraordinary family, the Madrigals, who live hidden in the mountains of Colombia, in a magical house, in a vibrant town, in a wondrous, charmed place called an Encanto. The magic of the Encanto has blessed every child in the family‚Äö√Ñ√Æevery child except one, Mirabel. But when she discovers that the magic surrounding the Encanto is in danger, Mirabel decides that she, the only ordinary Madrigal, might just be her exceptional family's last hope.</t>
  </si>
  <si>
    <t>There's a little magic in all of us...almost all of us.</t>
  </si>
  <si>
    <t>Animation, Comedy, Family, Fantasy</t>
  </si>
  <si>
    <t>walt disney animation studios</t>
  </si>
  <si>
    <t>English, Espa‚àö¬±ol</t>
  </si>
  <si>
    <t>Rose Portillo, Olga Merediz, Diane Guerrero, Ravi Cabot-Conyers, Juan Castano, Jorge E. Ruiz Cano, Sarah-Nicole Robles, Mauro Castillo, Angie Cepeda, John Leguizamo, Rhenzy Feliz, Mar‚àö‚â†a Cecilia Botero, Hector Elias, Noemi Josefina Flores, Ezra Rudulph, Wilmer Valderrama, Brooklyn Skylar Rodriguez, Paisley Day Herrera, Jessica Darrow, Maluma, Adassa, Carolina Gait‚àö¬∞n, Alyssa Bella Candiani, Stephanie Beatriz, Alan Tudyk</t>
  </si>
  <si>
    <t>Byron Howard, Jared Bush</t>
  </si>
  <si>
    <t>Nancy Kruse, Charise Castro Smith, Jared Bush, Lin-Manuel Miranda, Jason Hand, Byron Howard</t>
  </si>
  <si>
    <t>Clark Spencer, Jennifer Lee, Yvett Merino Flores</t>
  </si>
  <si>
    <t>Germaine Franco</t>
  </si>
  <si>
    <t>/4j0PNHkMr5ax3IA8tjtxcmPU3QT.jpg</t>
  </si>
  <si>
    <t>encanto</t>
  </si>
  <si>
    <t>hollywood, california (1), premiere (2), madrid (1), blank (90), french speaking region (1), limited (2), 3d re-release (1), internet (2)</t>
  </si>
  <si>
    <t>The Last Duel</t>
  </si>
  <si>
    <t>tt4244994</t>
  </si>
  <si>
    <t>King Charles VI declares that Knight Jean de Carrouges settle his dispute with his squire, Jacques Le Gris, by challenging him to a duel.</t>
  </si>
  <si>
    <t>The true story of a woman who defied a nation and made history.</t>
  </si>
  <si>
    <t>History, Drama, Action</t>
  </si>
  <si>
    <t>20th century studios, pearl street films, scott free productions</t>
  </si>
  <si>
    <t>Fran‚àö√üais, English, Rom‚àö¬¢n∆í√â</t>
  </si>
  <si>
    <t>John Kavanagh, Shane Lynch, Stephen Brennan, Martin Gogarty, Alex Blanchard, Jim Roche, Chloe Harris, Marton Csokas, Oliver Cotton, Kyle English, Bryony Hannah, Tassia Martin, Florian Hutter, Ronan Leonard, Adam Nagaitis, Lorris Chevalier, Matt Damon, Adam Driver, Sam Hazeldine, Brian Manning, Zo‚àö¬© Bruneau, Sylvain Labl‚àö¬©e, Julian Firth, Ian Pirie, Ben Affleck, Daniel Horn, C‚àö¬©cilia Steiner, Gin Minelli, Sam Chemoul, Janet Grene, Brian F. Mulvey, Simone Collins, Chlo‚àö¬© Lindau, Adam Goodwin, Thomas Silberstein, Peter Hudson, Jodie Comer, Kevin McGahern, William Houston, Clive Russell, Tallulah Haddon, Peter Kirkby, Aur‚àö¬©lien Lorgnier, Michael McElhatton, Bosco Hogan, Elise Caprice, Quentin Ogier, Fady Naguib, Fiona Maherault Valinski, Kyle Hixon, Brontis Jodorowsky, Nathaniel Parker, Martin Vaughan Lewis, Dimitri Michelsen, Caoimhe O'Malley, Paul Bandey, Camille Mutin, Alexander Pattie, Zeljko Ivanek, Karl Hogan, Clare Dunne, Colin David Reese, Serena Kennedy, Mark Atkin, Christian Erickson, Harriet Walter, Alex Lawther</t>
  </si>
  <si>
    <t>Ridley Scott</t>
  </si>
  <si>
    <t>Dariusz Wolski</t>
  </si>
  <si>
    <t>Eric Jager, Matt Damon, Ben Affleck, Nicole Holofcener</t>
  </si>
  <si>
    <t>Ridley Scott, Kevin Halloran, Jennifer Fox, Ben Affleck, Drew Vinton, James Flynn, Kevin J. Walsh, Madison Ainley, Matt Damon, Morgan O'Sullivan, Nicole Holofcener</t>
  </si>
  <si>
    <t>Harry Gregson-Williams</t>
  </si>
  <si>
    <t>/zjrJE0fpzPvX8saJXj8VNfcjBoU.jpg</t>
  </si>
  <si>
    <t>the last duel</t>
  </si>
  <si>
    <t>venice film festival (1), premiere (2), zurich film festival (1), new york city, new york (1), film fest gent (1), blank (49), chicago international film festival (1), internet (1), limited (1), blu-ray release (1)</t>
  </si>
  <si>
    <t>Halloween Kills</t>
  </si>
  <si>
    <t>tt10665338</t>
  </si>
  <si>
    <t>Michael manages to free himself from Laurie Strode's trap to resume his ritual bloodbath. As she fights for her life from injuries from their last encounter, she inspires her daughter Karen, her granddaughter Allyson, and all of Haddonfield to rise up against the unstoppable monster.</t>
  </si>
  <si>
    <t>Evil dies tonight.</t>
  </si>
  <si>
    <t>Horror, Thriller</t>
  </si>
  <si>
    <t>blumhouse productions, miramax, rough house pictures, trancas international films</t>
  </si>
  <si>
    <t>Brian Mays, Drew Scheid, Thomas Mann, Elaine Nalee, J. Gaven Wilde, Judy Greer, Salem Collins, Anthony Michael Hall, Michael Smallwood, Athena Levesque, Jonathan Bruce, James Northrup, Drew Broderick, Jibrail Nantambu, Mike Dupree, Scott MacArthur, Nancy Stephens, Ashley Pynn, Lauren Williams, Trenell Mooring, Damien Lee, Tatiyana Hill, Will Patton, Dylan Arnold, Ni'amoni Bagley, Nicholas Pryor, Brian F. Durkin, Willie Raysor, Craig Newkirk, Kelvin Hargrove, Lenny Clarke, Colin Mahan, Steven Foertsch, Carmela McNeal, Bob Odenkirk, Tristian Eggerling, Omar J. Dorsey, Jim Cummings, Robert Longstreet, Charles Cyphers, Arianna Levesque, Charlie Benton, Veronica Russell, Andi Matichak, Naomi Ansano, James Jude Courtney, Holli Saperstein, Shane Donovan Lewis, Jessica Arden Napier, Ella Dorsch, Ryan Lewis, Nancy Kyes, Kyle Richards, Aaron Ashlock, Michael Mercaldi, Josh Turner, Jamie Lee Curtis, Giselle Witt, Nick Castle, Jacob Keohane, P. J. Soles, Shayla Bagir, Troy Rudeseal, Christian Michael Pates, Michael McDonald, Ross Bacon, Diva Tyler, Angela Emerson, Jennifer Trudrung, Andrea Levesque, Salem Murphy, Jason Garay, Airon Armstrong, Mark Versnick, Beth Felice, Tom Jones Jr.</t>
  </si>
  <si>
    <t>David Gordon Green</t>
  </si>
  <si>
    <t>Michael Simmonds</t>
  </si>
  <si>
    <t>Danny McBride, Debra Hill, John Carpenter, David Gordon Green, Scott Teems</t>
  </si>
  <si>
    <t>Danny McBride, Jamie Lee Curtis, Couper Samuelson, Malek Akkad, Jason Blum, John Carpenter, David Gordon Green, Ryan Freimann, Jeanette Volturno, Bill Block</t>
  </si>
  <si>
    <t>John Carpenter, Cody Carpenter, Daniel Davies</t>
  </si>
  <si>
    <t>/4CclCDyQXBBgz62Qtp3CoflQE5g.jpg</t>
  </si>
  <si>
    <t>halloween kills</t>
  </si>
  <si>
    <t>venice film festival (1), beyond fest (1), sitges film festival (1), blank (60), internet (3), la roche-sur-yon international film festival (1), blu-ray release (1), tv premiere (1)</t>
  </si>
  <si>
    <t>The School of the Magical Animals</t>
  </si>
  <si>
    <t>tt11455260</t>
  </si>
  <si>
    <t>de</t>
  </si>
  <si>
    <t>Die Schule der magischen Tiere</t>
  </si>
  <si>
    <t>Ida Kronenberg must transfer to a new school, where she soon realizes the students are unkind to each other. However, that all changes when a new teacher, Miss Cornfield, begins to educate them on the value of friendship and magic.</t>
  </si>
  <si>
    <t>A magical adventure</t>
  </si>
  <si>
    <t>Family, Adventure, Fantasy</t>
  </si>
  <si>
    <t>kordes &amp; kordes film, wega film, clever production, schubert international filmproduktions, leonine studios</t>
  </si>
  <si>
    <t>Austria, Germany</t>
  </si>
  <si>
    <t>Deutsch</t>
  </si>
  <si>
    <t>Max von der Groeben, Heiko Pinkowski, Marleen Lohse, Charlotte Hagenbucher, Thilo Fridolin Matthes, Loris Sichrovsky, Lauri Kr‚àö‚àÇck, Justus von Dohn‚àö¬∞nyi, Emilia Maier, Jakob Weing‚àö¬ßrtner, Leonard Artur Conrads, Sophie Rois, Lilith Julie Johna, Katharina Thalbach, Emil Mascheck, Levi Kazmaier, Nadja Uhl, Milan Peschel, Tristan Schreck, Rike Schmid</t>
  </si>
  <si>
    <t>Gregor Schnitzler</t>
  </si>
  <si>
    <t>Wolfgang Aichholzer</t>
  </si>
  <si>
    <t>Viola Schmidt, Oliver Sch‚àö¬∫tte, Alexander Dydyna, John Chambers, Margit Auer</t>
  </si>
  <si>
    <t>Fred Kogel, Meike Kordes, Alexandra Kordes, Josef Brandmaier</t>
  </si>
  <si>
    <t>Dominik Giesriegl</t>
  </si>
  <si>
    <t>/lJl7go7W9MG4yVOQ3qCLTWo6oe9.jpg</t>
  </si>
  <si>
    <t>the school of the magical animals</t>
  </si>
  <si>
    <t>busan international kids &amp; youth film festival (1), warsaw film festival (1), schlingel - international film festival for children and young audience (1), blank (14), dvd premiere (1), limited (1), internet (1)</t>
  </si>
  <si>
    <t>Last Night in Soho</t>
  </si>
  <si>
    <t>tt9639470</t>
  </si>
  <si>
    <t>A young girl, passionate about fashion design, is mysteriously able to enter the 1960s where she encounters her idol, a dazzling wannabe singer. But 1960s London is not what it seems, and time seems to be falling apart with shady consequences.</t>
  </si>
  <si>
    <t>A murder in the past. A mystery in the future.</t>
  </si>
  <si>
    <t>Horror, Mystery</t>
  </si>
  <si>
    <t>focus features, film4 productions, perfect world pictures, working title films, complete fiction</t>
  </si>
  <si>
    <t>United Kingdom, United States of America, China</t>
  </si>
  <si>
    <t>Connor Calland, Christopher Carrico, Wayne Cater, Aim‚àö¬©e Cassettari, Ian Harrod, Alan Mahon, Lisa McGrillis, Rita Tushingham, Ashley Shaw, Kent Goldfinch, Andrew Bicknell, Kassius Nelson, Celeste Dring, Terence Stamp, Margaret Nolan, Alan Ruscoe, Michael Ajao, Synn‚àö‚àève Karlsen, Al Roberts, Diana Rigg, Matt Smith, Elizabeth Berrington, Michael Mears, Rebecca Harrod, Jeanie Wishes, Paul Hamilton, Katrina Vasilieva, Anya Taylor-Joy, Sam Parks, Paul Brightwell, Richard O'Sullivan, Daniel Maggott, Michael Jibson, Tom Hartwell, Colin Mace, Richard Corgan, James Phelps, Ian Hartley, Lati Gbaja, Terence Frisch, Will Rogers, Derek Lea, Pauline McLynn, Adam Sopp, Oliver Phelps, Jessie Mei Li, Paul Riddell, Jacqui-Lee Pryce, Sam Claflin, Josh Zar‚àö¬©, Thomasin McKenzie, Beth Singh</t>
  </si>
  <si>
    <t>Edgar Wright</t>
  </si>
  <si>
    <t>Chung Chung-hoon</t>
  </si>
  <si>
    <t>Krysty Wilson-Cairns, Edgar Wright</t>
  </si>
  <si>
    <t>Daniel Battsek, Eric Fellner, Rachael Prior, Edgar Wright, Ollie Madden, Tim Bevan, James Biddle, Nira Park</t>
  </si>
  <si>
    <t>Steven Price</t>
  </si>
  <si>
    <t>/n1ZRmjlk1BJTY7aASqACfPAaLn2.jpg</t>
  </si>
  <si>
    <t>last night in soho</t>
  </si>
  <si>
    <t>venice film festival (1), toronto international film festival (1), milan (1), bogota international film festival (1), bfi london film festival (1), busan international film festival (1), sitges film festival (1), la roche-sur-yon international film festival (1), s√£o paulo international film festival (1), blank (54), academy museum of motion pictures (1), los angeles premiere (1), brisbane film festival (1), virginia film festival (1), leiden international film festival (1), guip√∫zcoa (1), semana de cine fant√°stico y de terror de san sebasti√°n (1), tokyo international film festival (1), braunschweig international film festival (1), barcelona (1), madrid (1), subtitled version (1), premiere (1), moma - the contenders (1), internet (1), shanghai international film festival (1)</t>
  </si>
  <si>
    <t>Antlers</t>
  </si>
  <si>
    <t>tt7740510</t>
  </si>
  <si>
    <t>A small-town Oregon teacher and her brother, the local sheriff, discover a young student is harbouring a dangerous secret that could have frightening consequences.</t>
  </si>
  <si>
    <t>Pray it desires not you.</t>
  </si>
  <si>
    <t>Drama, Horror, Mystery</t>
  </si>
  <si>
    <t>searchlight pictures, phantom four, double dare you, mirada studio, tsg entertainment</t>
  </si>
  <si>
    <t>Andy Thompson, Jesse Downs, Keri Russell, Glynis Davies, Katelyn Peterson, Charmaine Wilson, Dorian Kingi, Graham Greene, Amy Madigan, Scott Haze, Arlo Hajdu, Rory Cochrane, Jesse Plemons, Dendrie Taylor, Jeremy T. Thomas, Emily Delahunty, Cody Davis, Lyla Marlow, Sawyer Jones, Jay Brazeau</t>
  </si>
  <si>
    <t>Scott Cooper</t>
  </si>
  <si>
    <t>Florian Hoffmeister</t>
  </si>
  <si>
    <t>Nick Antosca, Henry Chaisson, Scott Cooper</t>
  </si>
  <si>
    <t>J. Miles Dale, Guillermo del Toro, Nick Antosca, Kevin Turen, David S. Goyer, Jim Rowe</t>
  </si>
  <si>
    <t>Javier Navarrete</t>
  </si>
  <si>
    <t>/cMch3tiexw3FdOEeZxMWVel61Xg.jpg</t>
  </si>
  <si>
    <t>antlers</t>
  </si>
  <si>
    <t>beyond fest (1), sitges film festival (1), la roche-sur-yon international film festival (1), chicago international film festival (1), celluloid screams (1), blank (45), terror-fi film festival (1), philadelphia international film festival (1), blu-ray release (1), internet (1)</t>
  </si>
  <si>
    <t>The Burning Sea</t>
  </si>
  <si>
    <t>tt12753120</t>
  </si>
  <si>
    <t>Nordsj‚àö‚àèen</t>
  </si>
  <si>
    <t>An oil platform dramatically goes down on the Norwegian coast, and researchers try to find out what happened when they realize this is just the start of something even more serious.</t>
  </si>
  <si>
    <t>The biggest disaster lies ahead of us.</t>
  </si>
  <si>
    <t>Action, Thriller, Drama</t>
  </si>
  <si>
    <t>fantefilm, chezville, nordisk film norway</t>
  </si>
  <si>
    <t>Norway</t>
  </si>
  <si>
    <t>Norsk</t>
  </si>
  <si>
    <t>Mathilde Austegard Yps‚àö‚àèy, Cengiz Al, Daniel Frikstad, Anneke von der Lippe, Amy Black Ndiaye, Heidi Sandbukten, Anders Baasmo Christiansen, Rolf Kristian Larsen, Nils Elias Olsen, Vidar Sandem, Christoffer Staib, Bj‚àö‚àèrn Floberg, Henrik Bjelland, Karina Knight, Kristine Kujath Thorp, Hibba Najeeb, Mariann Rostb‚àö‚àèl, Arild Sondre Sekse, Ane Skumsvoll</t>
  </si>
  <si>
    <t>John Andreas Andersen</t>
  </si>
  <si>
    <t>P‚àö‚Ä¢l Ulvik Rokseth</t>
  </si>
  <si>
    <t>Lars Gudmestad, Harald Rosenl‚àö‚àèw-Eeg</t>
  </si>
  <si>
    <t>Martin Sundland, Therese B‚àö‚àèhn, Catrin Gundersen</t>
  </si>
  <si>
    <t>Johannes Ringen, Johan S‚àö‚àÇderqvist</t>
  </si>
  <si>
    <t>/1bB7uV5ljDWKG2m5Z4cgWwDMAeY.jpg</t>
  </si>
  <si>
    <t>the burning sea</t>
  </si>
  <si>
    <t>rome film festival (1), blank (13), internet (9), limited (1), blu-ray, dvd (1), off camera film festival (1), dvd premiere (1), sydney film festival (1), blu-ray release (2), motelx - lisbon international horror film festival (1), tv release (1)</t>
  </si>
  <si>
    <t>Army of Thieves</t>
  </si>
  <si>
    <t>tt13024674</t>
  </si>
  <si>
    <t>A mysterious woman recruits bank teller Ludwig Dieter to lead a group of aspiring thieves on a top-secret heist during the early stages of the zombie apocalypse.</t>
  </si>
  <si>
    <t>While the zombies took over, one team took advantage.</t>
  </si>
  <si>
    <t>Action, Crime, Comedy</t>
  </si>
  <si>
    <t>pantaleon films, the stone quarry, film united</t>
  </si>
  <si>
    <t>Germany, United States of America</t>
  </si>
  <si>
    <t>Deutsch, Fran‚àö√üais, ¬∑√â‚Ä¢¬∑√â√™¬∑√â‚Ä†¬∑√â√≥¬∑√â¬£¬∑√â√∂¬∑√â√≤, ∆í√•esk‚àöŒ©, English</t>
  </si>
  <si>
    <t>Josef Jel‚àö‚â†nek, Kate‚âà√¥ina Pindejov‚àö¬∞, John Bubniak, Jim High, Ruby O. Fee, Jan Cajzl, Pavel Gajdo‚âà¬∞, Michael Pitthan, Dan Bradford, Stuart Martin, Luk‚àö¬∞‚âà¬∞ Duy Anh Tran, Frank Kusche, Zden∆í√µk Pech‚àö¬∞∆í√ßek, Sascha Graetz, Ond‚âà√¥ej Vetch‚àöŒ©, Jan Nemejovsk‚àöŒ©, Sin‚àö¬©ad Phelps, Jeff Fritz, Daniel Vano, Michaela Posp‚àö‚â†‚âà¬∞ilov‚àö¬∞, Nathalie Emmanuel, Bob Boudreaux, Oleg Kim, Lucie Gr‚àö¬∫n, Guz Khan, Charlie McGuire, Jonathan Cohen, Peter Hosking, Miroslav Pech‚àö¬∞∆í√ßek, Garrett Marcantel, Andreas Nowak, Tim Otis, Hana Frejkov‚àö¬∞, Christian Steyer, Tigran Hovakimyan, Nandi Sawyers-Hudson, David Bowles, Jon‚àö¬∞‚âà¬∞ Pet‚âà√¥‚àö‚â†k, Rebecca Connolly, Samba Goldin, Steve Wilkie, Dunja Hayali, Fanette Ronjat, Zden∆í√µk Dvo‚âà√¥‚àö¬∞∆í√ßek, Jenn Kirk, Jasmina Pe‚àö¬±a Milian, Violina Maria Rostami, Barbara Meier, Tonya Graves, Miroslav Lhotka, Samira Mekibes Meza, Amy Huck, Noemie Nakai, Ephraim Goldin, Damian Odess-Gillett, Melanie Rada, Leonard Treyde, Ted Otis, Ian Willoughby, Petr Kot‚àö‚â†k, Paul Coltofeanu, David Dvor‚âà¬∞∆í√ß‚àö‚â†k, Peter Stehl‚àö‚â†k, Matthias Schweigh‚àö‚àÇfer, Trish Osmond, Trent Garrett</t>
  </si>
  <si>
    <t>Matthias Schweigh‚àö‚àÇfer</t>
  </si>
  <si>
    <t>Bernhard Jasper</t>
  </si>
  <si>
    <t>Zack Snyder, Shay Hatten</t>
  </si>
  <si>
    <t>Misha Bukowski, Zack Snyder, Wesley Coller, Deborah Snyder, Christian Angermayer, Frank Kusche, Matthias Schweigh‚àö‚àÇfer, Dan Maag, Klemens Hallmann</t>
  </si>
  <si>
    <t>Steve Mazzaro, Hans Zimmer</t>
  </si>
  <si>
    <t>/4fVMognsmbogzkfY7DY0Bvn7h7Y.jpg</t>
  </si>
  <si>
    <t>army of thieves</t>
  </si>
  <si>
    <t>internet (39)</t>
  </si>
  <si>
    <t>Red Notice</t>
  </si>
  <si>
    <t>tt7991608</t>
  </si>
  <si>
    <t>An Interpol-issued Red Notice is a global alert to hunt and capture the world's most wanted. But when a daring heist brings together the FBI's top profiler and two rival criminals, there's no telling what will happen.</t>
  </si>
  <si>
    <t>Pro and cons.</t>
  </si>
  <si>
    <t>Action, Comedy, Crime</t>
  </si>
  <si>
    <t>flynn picture company, seven bucks productions, bad version</t>
  </si>
  <si>
    <t>English, Bahasa indonesia, Italiano, P‚Äî√â‚Äî√Ö‚Äî√Ö‚Äì‚à´‚Äì‚àè‚ÄìœÄ, Espa‚àö¬±ol</t>
  </si>
  <si>
    <t>Robert Mata, George Tsai, Joseph A. Garcia, Martin Harris, Ryan Reynolds, Yosef Podolski, Ethan Herschenfeld, Daniel Bernhardt, Jay Romero, Elbert Kim, Brenna Marie Narayan, Nick Arapoglou, Victoria Paige Watkins, Robert Clotworthy, Guy Nardulli, Seth Michaels, Chris Diamantopoulos, Ivan Mbakop, Ritu Arya, Vincenzo Amato, Alexander Perkins, Dwayne Johnson, Anthony Belevtsov, Gonzalo Escudero, Tom Choi, Sebastien Large, Andrew Hunter, Rafael Petardi, Steve Eifert, Robert Tinsley, Rawson Marshall Thurber, Ed Sheeran, Gal Gadot</t>
  </si>
  <si>
    <t>Rawson Marshall Thurber</t>
  </si>
  <si>
    <t>Markus F‚àö‚àÇrderer</t>
  </si>
  <si>
    <t>Dwayne Johnson, Hiram Garcia, David B. Householter, Scott Sheldon, Beau Flynn, Dany Garcia, Rawson Marshall Thurber, Wendy Jacobson</t>
  </si>
  <si>
    <t>Steve Jablonsky</t>
  </si>
  <si>
    <t>/lAXONuqg41NwUMuzMiFvicDET9Y.jpg</t>
  </si>
  <si>
    <t>red notice</t>
  </si>
  <si>
    <t>limited (4), blank (7), internet (35), camerimage international film festival (1)</t>
  </si>
  <si>
    <t>Spencer</t>
  </si>
  <si>
    <t>tt12536294</t>
  </si>
  <si>
    <t>During her Christmas holidays with the royal family at the Sandringham estate in Norfolk, England, Diana decides to leave her marriage to Prince Charles.</t>
  </si>
  <si>
    <t>Every fairy tale ends.</t>
  </si>
  <si>
    <t>Drama, History</t>
  </si>
  <si>
    <t>filmnation entertainment, komplizen film, shoebox films, fabula, fabula</t>
  </si>
  <si>
    <t>Chile, Germany, United Kingdom, United States of America</t>
  </si>
  <si>
    <t>James Gerard, Christin Schreiber, Olga Hellsing, James Harkness, Amy Manson, Stella Gonet, Wendy Patterson, Greta B‚àö¬∫cker, Jack Nielen, Sally Hawkins, John Keogh, Richard Sammel, Ben Plunkett-Reynolds, Matthias Wolkowski, Emma Darwall Smith, Kristen Stewart, Oriana Gordon, Kimia Schmidt, Sami Amber, Ian Ashpitel, Thomas Douglas, Freddie Spry, Camille Loup Moltzen, Mudassar Dar, Sean Harris, Jack Farthing, Michael Epp, Lore Stefanek, Libby Rodliffe, Niklas Kohrt, Peter Lee, Elizabeth Berrington, Timothy Spall, Laura Benson, Marianne Graffam, Henry Castello, Tom Hudson, Ryan Wichert</t>
  </si>
  <si>
    <t>Pablo Larra‚àö‚â†n</t>
  </si>
  <si>
    <t>Claire Mathon</t>
  </si>
  <si>
    <t>Steven Knight</t>
  </si>
  <si>
    <t>Isabell Wiegand, Paul Webster, Ryan Heller, Maria Zuckerman, Christina Zisa, Pablo Larra‚àö‚â†n, Jeff Deutchman, Michael Bloom, Maren Ade, Tom Quinn, Janine Jackowski, Juan de Dios Larra‚àö‚â†n, Jonas Dornbach, Steven Knight, Ben von Dobeneck, Sarah Nagel</t>
  </si>
  <si>
    <t>Jonny Greenwood</t>
  </si>
  <si>
    <t>/j0XxLH1QcOrnyxBLvMYWJZSzLfH.jpg</t>
  </si>
  <si>
    <t>spencer</t>
  </si>
  <si>
    <t>venice film festival (1), telluride film festival (1), toronto international film festival (1), zurich film festival (1), bfi london film festival (1), hamptons international film festival (1), heartland international film festival (1), mill valley film festival (1), film fest gent (1), san diego international film festival (1), independent film festival boston (1), newport beach international film festival (1), philadelphia international film festival (1), chicago international film festival (1), montclair film festival (1), vienna international film festival (1), leiden international film festival (1), austin film festival (1), scad savannah film festival (1), virginia film festival (1), blank (45), moma - the contenders (1), miami film festival (1), ljubljana international film festival (1), stockholm international film festival (1), madrid (1), premiere (1), international film festival of india (1), palm springs international film festival (1), internet (1), 4k version (1), shanghai international film festival (1)</t>
  </si>
  <si>
    <t>Sooryavanshi</t>
  </si>
  <si>
    <t>tt9531772</t>
  </si>
  <si>
    <t>hi</t>
  </si>
  <si>
    <t>‚Ä°¬ß‚àè‚Ä°‚Ä¢√á‚Ä°¬ß‚àû‚Ä°‚Ä¢√ß‚Ä°¬ß√ò‚Ä°¬ß¬µ‚Ä°¬ß√á‚Ä°¬ß‚àÇ‚Ä°‚Ä¢√Ñ</t>
  </si>
  <si>
    <t>A fearless, faithful albeit slightly forgetful Mumbai cop, Veer Sooryavanshi, the chief of the Anti-Terrorism Squad in India pulls out all the stops and stunts to thwart a major conspiracy to attack his city.</t>
  </si>
  <si>
    <t>Police is coming.</t>
  </si>
  <si>
    <t>Action, Crime, Thriller</t>
  </si>
  <si>
    <t>reliance entertainment, dharma productions, rohit shetty productionz</t>
  </si>
  <si>
    <t>India</t>
  </si>
  <si>
    <t>‚Ä°¬ßœÄ‚Ä°¬ß√∏‚Ä°¬ß¬Æ‚Ä°‚Ä¢√ß‚Ä°¬ß¬∂‚Ä°‚Ä¢√Ñ</t>
  </si>
  <si>
    <t>Javed Jaffrey, Rajendra Gupta, Mrunal Jain, Amritpal Singh, Ashish Warang, Siddharth Jadhav, Katrina Kaif, Shaji Choudhary, Jackie Shroff, Sofiya Khan, Niharica Raizada, Asif Basra, Gulshan Grover, Uday Tikekar, Anil Charanjeett, Abhimanyu Singh, Sikandar Kher, Krishna Kotian, Vivan Bhatena, Ajay Devgn, Kishor Mahabole, Akshay Kumar, Sukanya Dhanda, Anuradha Chandan, Jayant Sawarkar, Kumud Mishra, Nikitin Dheer, Pradeep Kabra, Meenal Sahu, Shruti Ulfat, Micky Makhija, Ranveer Singh</t>
  </si>
  <si>
    <t>Rohit Shetty</t>
  </si>
  <si>
    <t>Jomon T John</t>
  </si>
  <si>
    <t>Shabbir Ahmed, Ritesh Shah, Rashmi Virag, Anand Bakshi, Sanchit Bedre, Farhad Samji, Vidhi Ghodgaonkar, Yunus Sajawal</t>
  </si>
  <si>
    <t>Akshay Kumar, Apoorva Mehta, Hiroo Johar, Rohit Shetty, Karan Johar, Aruna Bhatia</t>
  </si>
  <si>
    <t>JAM8</t>
  </si>
  <si>
    <t>/oCymRm6FG62zrKnXiHHJvDgkYoA.jpg</t>
  </si>
  <si>
    <t>sooryavanshi</t>
  </si>
  <si>
    <t>blank (10), barcelona (1), madrid (1), english subtitled version (4), santa cruz de tenerife (1), event release (2), limited (3), internet (4)</t>
  </si>
  <si>
    <t>Clifford the Big Red Dog</t>
  </si>
  <si>
    <t>tt2397461</t>
  </si>
  <si>
    <t>As Emily struggles to fit in at home and at school, she discovers a small red puppy who is destined to become her best friend. When Clifford magically undergoes one heck of a growth spurt, becomes a gigantic dog and attracts the attention of a genetics company, Emily and her Uncle Casey have to fight the forces of greed as they go on the run across New York City. Along the way, Clifford affects the lives of everyone around him and teaches Emily and her uncle the true meaning of acceptance and unconditional love.</t>
  </si>
  <si>
    <t>Adventure has never been bigger.</t>
  </si>
  <si>
    <t>Family, Adventure, Comedy, Fantasy</t>
  </si>
  <si>
    <t>paramount pictures, entertainment one, new republic pictures, scholastic entertainment, the kerner entertainment company</t>
  </si>
  <si>
    <t>Canada, United States of America</t>
  </si>
  <si>
    <t>David Alan Grier, Russell Wong, Keith Ewell, Russell Peters, Sienna Guillory, John Cleese, Izaac Wang, Kenan Thompson, Darby Camp, Jessica Keenan Wynn, Tovah Feldshuh, Karen Lynn Gorney, Paul Rodr‚àö‚â†guez, Melanie Chandra, Ty Jones, Brianna Colette, Rosie Perez, Jack Whitehall, Horatio Sanz, Adam Keane, Jackson Frazer, Siobhan Fallon Hogan, Tony Hale, Alex Moffat, Kevin McCormick, Yasha Jackson, Bear Allen-Blaine</t>
  </si>
  <si>
    <t>Walt Becker</t>
  </si>
  <si>
    <t>Peter Lyons Collister</t>
  </si>
  <si>
    <t>Ellen Rapoport, Blaise Hemingway, Jay Scherick, Justin Malen, Norman Bridwell, David Ronn</t>
  </si>
  <si>
    <t>Deborah Forte, Jordan Kerner, Brian Oliver, Lisa Crnic, Brian Bell, Valerii An, Bradley J. Fischer, Caitlin Friedman</t>
  </si>
  <si>
    <t>John Debney</t>
  </si>
  <si>
    <t>/30ULVKdjBcQTsj2aOSThXXZNSxF.jpg</t>
  </si>
  <si>
    <t>clifford the big red dog</t>
  </si>
  <si>
    <t>blank (55), internet (3), spain (1), yelmo exclusive (1), premiere (1)</t>
  </si>
  <si>
    <t>The Gravedigger's Wife</t>
  </si>
  <si>
    <t>tt4440842</t>
  </si>
  <si>
    <t>fi</t>
  </si>
  <si>
    <t>Guled &amp; Nasra</t>
  </si>
  <si>
    <t>Guled and Nasra are a loving couple, living in the outskirts of Djibouti city with their teenage son, Mahad. However, they are facing difficult times: Nasra urgently needs an expensive surgery to treat a chronic kidney disease. Guled is already working hard as a gravedigger to make ends meet.</t>
  </si>
  <si>
    <t>The deeper the love, the greater the sacrifices.</t>
  </si>
  <si>
    <t>bufo, pyramide productions, twenty twenty vision filmproduktion</t>
  </si>
  <si>
    <t>Finland, France, Germany</t>
  </si>
  <si>
    <t>Somali</t>
  </si>
  <si>
    <t>Saad Ahmed Roble, Lula Ali Isma‚àö√òl, Omar Abdi, Saharla Ahmed Moussein, Hamdi Ahmed Omar, Mohamed Laurent Absie, Awa Ali Nour, Mahamoud Abdillahi Abdi, Mouhoubo Osman Eleyeh, Mohamed Moussa Goumaneh, Samaleh Ali Obsieh, Radiya Omar, Kadir Said Khaireh, Fahmi Guirreh Bouh, Djama Ibrahim Osman, Sermaan Abdoulkader Omar, Fardouza Moussa Egueh, Faiza Ibrahim Aden, Yasmin Warsame, Kadar Adboul-Aziz Ibrahim, Abdillahi Doualeh Robleh, Amina Ayanleh Omar</t>
  </si>
  <si>
    <t>Khadar Ayderus Ahmed</t>
  </si>
  <si>
    <t>Arttu Peltomaa</t>
  </si>
  <si>
    <t>Martin Hampel, Robin Boespflug-Vonier, Misha Jaari, Risto Nikkil‚àö¬ß, Thanassis Karathanos, Mark Lwoff, St‚àö¬©phane Parthenay</t>
  </si>
  <si>
    <t>Andr‚àö¬© Matthias</t>
  </si>
  <si>
    <t>/c4COWFUlnTBb1w9RZQsBJHk2Axx.jpg</t>
  </si>
  <si>
    <t>the gravedigger's wife</t>
  </si>
  <si>
    <t>cannes international critics' week (1), melbourne international film festival (2), toronto international film festival (1), helsinki international film festival (1), hamburg film festival (1), festival du film arabe de fameck (1), fespaco festival (1), bfi london film festival (1), chicago international film festival (1), valladolid international film festival (1), sydney film festival (1), blank (5), san francisco international film festival (1), internet (2), new york african film festival (1), hong kong international film festival (1), filmbath festival (1), tv release (2)</t>
  </si>
  <si>
    <t>Belfast</t>
  </si>
  <si>
    <t>tt12789558</t>
  </si>
  <si>
    <t>Buddy is a young boy on the cusp of adolescence, whose life is filled with familial love, childhood hijinks, and a blossoming romance. Yet, with his beloved hometown caught up in increasing turmoil, his family faces a momentous choice: hope the conflict will pass or leave everything they know behind for a new life.</t>
  </si>
  <si>
    <t>No matter how far you go, you never forget where you came from.</t>
  </si>
  <si>
    <t>tkbc, northern ireland screen</t>
  </si>
  <si>
    <t>English, Portugu‚àö‚Ñ¢s</t>
  </si>
  <si>
    <t>Judi Dench, Michael Maloney, Mark Hadfield, Scarlett Nunes, Matthew Blaney, Freya Yates, Rachel Feeney, Bill Branagh, Lara McDonnell, Colin Morgan, Gerard McCarthy, Scott Gutteridge, Gerard Horan, Elly Condron, Samuel Menhinick, Leonard Buckley, Drew Dillon, Caitr‚àö‚â†ona Balfe, Kit Rakusen, Charlie Barnard, Olive Tennant, Frankie Hastings, Nessa Eriksson, Joyce Branagh, James O'Donnell, Ciar‚àö¬∞n Hinds, Chris McCurry, Sid Sagar, Conor MacNeill, Orla McDonagh, Ian Dunnett Jnr, Estelle Cousins, Oliver Savell, John Sessions, Ross O'Donnellan, Josie Walker, Lewis McAskie, Jamie Dornan, Serrana Su-Ling Bliss, Mair‚àö¬©ad Tyers, Caolan McCarthy, Turlough Convery, Olivia Flanagan, Jude Hill, Victor Alli, Vanessa Ifediora</t>
  </si>
  <si>
    <t>Kenneth Branagh</t>
  </si>
  <si>
    <t>Haris Zambarloukos</t>
  </si>
  <si>
    <t>Laura Berwick, Kenneth Branagh, Tamar Thomas, Becca Kovacik</t>
  </si>
  <si>
    <t>Van Morrison</t>
  </si>
  <si>
    <t>/4xs6nHNBjYpRymw8ZQmnVIbJ8Xa.jpg</t>
  </si>
  <si>
    <t>belfast</t>
  </si>
  <si>
    <t>telluride film festival (1), toronto international film festival (1), hamburg film festival (1), vancouver international film festival (1), bfi london film festival (1), heartland international film festival (1), mill valley film festival (1), san diego international film festival (1), philadelphia international film festival (1), rome film festival (1), chicago international film festival (1), independent film festival boston (1), newport beach international film festival (1), scad savannah film festival (1), virginia film festival (1), montclair film festival (1), scottsdale international film festival (1), miami film festival (1), academy museum of motion pictures (1), los angeles premiere (1), blank (33), tallinn black nights film festival (1), seville european film festival (1), los cabos international film festival (1), stockholm international film festival (1), rio de janeiro international film festival (1), red sea international film festival (1), barcelona (1), subtitled version (2), premiere (2), madrid (1), blu-ray release (2), greek film archive (1), santa barbara international film festival (1), dvd premiere (2), internet (1), european union film festival 2022 (1), tv premiere (1)</t>
  </si>
  <si>
    <t>Ghostbusters: Afterlife</t>
  </si>
  <si>
    <t>tt4513678</t>
  </si>
  <si>
    <t>When single mom Callie and her two kids Trevor and Phoebe arrive in a small Oklahoma town, they begin to discover their connection to the original Ghostbusters and the secret legacy their grandfather left behind.</t>
  </si>
  <si>
    <t>Discover the past. Save the future.</t>
  </si>
  <si>
    <t>Fantasy, Comedy, Adventure, Science Fiction</t>
  </si>
  <si>
    <t>columbia pictures, bron studios, the montecito picture company, ghost corps</t>
  </si>
  <si>
    <t>Shohreh Aghdashloo, Josh Gad, Daniel D'Angelo Sparks, Ernie Hudson, Stella Aykroyd, Olivia Wilde, Faith Louissaint, Bob Gunton, Carrie Coon, Sydney Mae D‚àö‚â†az, Danielle Kennedy, Ira Heiden, Celeste O'Connor, Paul Rudd, Tracy Letts, Marlon Kazadi, Bill Murray, Dan Aykroyd, Chiara Petersen, CJ Collard, Annie Potts, Mckenna Grace, Hannah Duke, Dusan Rokvic, Finn Wolfhard, Emma Portner, Billy Bryk, Logan Kim, Sarah Natochenny, Sigourney Weaver, J.K. Simmons, Bud Klasky, Harold Ramis, Crystal Roseborough, Artoun Nazareth, Kim Faires, Oliver Cooper, Bokeem Woodbine, Paulina Alexis, Shawn Seward</t>
  </si>
  <si>
    <t>Jason Reitman</t>
  </si>
  <si>
    <t>Eric Steelberg</t>
  </si>
  <si>
    <t>Gil Kenan, Jason Reitman, Harold Ramis, Dan Aykroyd</t>
  </si>
  <si>
    <t>Michael Beugg, Jason Cloth, Patrice Avery, Ivan Reitman, Gil Kenan, Tom Pollock, Amie Karp, Dan Aykroyd, Aaron L. Gilbert, Joe Medjuck, Jason Blumenfeld</t>
  </si>
  <si>
    <t>Rob Simonsen</t>
  </si>
  <si>
    <t>/sg4xJaufDiQl7caFEskBtQXfD4x.jpg</t>
  </si>
  <si>
    <t>ghostbusters: afterlife</t>
  </si>
  <si>
    <t>new york comic con (1), premiere (2), rome film festival (1), blank (59), internet (2), limited (2), stockholm international film festival (1), dvd premiere (1), spain (1), blu-ray release (1)</t>
  </si>
  <si>
    <t>King Richard</t>
  </si>
  <si>
    <t>tt9620288</t>
  </si>
  <si>
    <t>The story of how Richard Williams served as a coach to his daughters Venus and Serena, who will soon become two of the most legendary tennis players in history.</t>
  </si>
  <si>
    <t>Venus, Serena and a plan for greatness.</t>
  </si>
  <si>
    <t>star thrower entertainment, westbrook, warner bros. pictures, overbrook entertainment</t>
  </si>
  <si>
    <t>Erin Cummings, Sophia Sanders, Gjee Wade II, Mary Pascoe, Kevin Dunn, Wil J. Jackson, Mikayla LaShae Bartholomew, Jonathan Bray, Katrina Begin, Doug Simpson, Sean Fabian Billings, Katie McCabe, Teri Cohn, Hannah Barefoot, Dan Sachoff, Marcela Zacarias, Andy Bean, Kaitlyn Christian, Jake Jensen, George Ketsios, Alden Sherrill, Matt Kirkwood, Tony Goldwyn, Virginia Schneider, Connie Ventress, Tom Degnan, Erika Ringor, Kika Cicmanec, Chet Grissom, Aunjanue Ellis-Taylor, Tory N. Thompson, Ebboney Wilson, Gunner Wright, Iva Jovic, Mel Fair, Gabi Stewart, Diana Dray, Albert Ton, Christian Yeung, Robert Walker Jeffery, Danya LaBelle, Andy Hoff, Mathew Trent Hunnicutt, John Dinan, Jon Bernthal, Craig Tate, Carrie Gibson, Noah Bean, Chris Pentzell, Dylan McDermott, Brad Greenquist, Rod Sweitzer, Jeff Cohn, Holly Haggerty, Hailey Winslow, Mia Jovic, Demi Singleton, Brandon Morales, Johnno Wilson, Susie Abromeit, Adam Cropper, Daniele Lawson, Saniyya Sidney, Judith Chapman, Eman Esfandi, Layla Crawford, Rich Sommer, Jeni Jones, Erica Shaffer, Chase Del Rey, Chris Wolfe, Aryn Nelson, Tom Holmes, Sophia Bui, Michael Andrew Baker, Valerie Davidson, Josiah Cross, Will Smith, Robert Nuscher, Geoff Nathanson, Tristan Nokes, Jimmy Walker Jr., Jessica Wacnik, Christopher Wallinger, Sean Berube, Trent Longo, Calvin Clausell Jr., Vaughn W. Hebron, Vivienne Bersin, Kamea Medora</t>
  </si>
  <si>
    <t>Reinaldo Marcus Green</t>
  </si>
  <si>
    <t>Robert Elswit</t>
  </si>
  <si>
    <t>Zach Baylin</t>
  </si>
  <si>
    <t>Serena Williams, Jon Mone, Peter Dodd, James Lassiter, Trevor White, Will Smith, Allan Mandelbaum, Adam Merims, Isha Price, Tim White, Jada Pinkett Smith, Lynn Harris, Venus Williams</t>
  </si>
  <si>
    <t>Kris Bowers</t>
  </si>
  <si>
    <t>/2dfujXrxePtYJPiPHj1HkAFQvpu.jpg</t>
  </si>
  <si>
    <t>king richard</t>
  </si>
  <si>
    <t>telluride film festival (1), bfi london film festival (1), heartland international film festival (1), chicago international film festival (1), philadelphia international film festival (1), leiden international film festival (1), sydney film festival (1), miami film festival (1), coronado island film festival (1), camerimage international film festival (1), afi fest (1), blank (46), limited (1), internet (3), mar del plata film festival (1), moma - the contenders (1), santa barbara international film festival (1), dvd premiere (1), tv premiere (1)</t>
  </si>
  <si>
    <t>Resident Evil: Welcome to Raccoon City</t>
  </si>
  <si>
    <t>tt6920084</t>
  </si>
  <si>
    <t>Once the booming home of pharmaceutical giant Umbrella Corporation, Raccoon City is now a dying Midwestern town. The company‚Äö√Ñ√¥s exodus left the city a wasteland‚Äö√Ñ¬∂with great evil brewing below the surface. When that evil is unleashed, the townspeople are forever‚Äö√Ñ¬∂changed‚Äö√Ñ¬∂and a small group of survivors must work together to uncover the truth behind Umbrella and make it through the night.</t>
  </si>
  <si>
    <t>Witness the beginning of evil.</t>
  </si>
  <si>
    <t>Action, Horror, Science Fiction</t>
  </si>
  <si>
    <t>constantin film, screen gems, davis raccoon films</t>
  </si>
  <si>
    <t>Germany, United States of America, Canada</t>
  </si>
  <si>
    <t>Tom Hopper, Lily Gao, Holly de Barros, Pamela MacDonald, Stephannie Hawkins, Kalie Hunter, Sammy Azero, Lily Gail Reid, Nathaniel McParland, Janet Porter, Avan Jogia, Sophia Ann Pead Galvin, Heloise Catherine Pead Galvin, Josh Cruddas, Kaya Scodelario, Robert Chaumont, Nathan Dales, Marina Mazepa, Avaah Blackwell, Chad Rook, Dylan Taylor, Carson Manning, Daxton Gujral, Pat Thornton, Jason Lee Bell, Kelly Reich, Donal Logue, Robbie Amell, Hannah John-Kamen, Jenny Young, Neal McDonough, Matthew MacCallum, Andrea Ciacci</t>
  </si>
  <si>
    <t>Johannes Roberts</t>
  </si>
  <si>
    <t>Maxime Alexandre</t>
  </si>
  <si>
    <t>Victor Hadida, Jeremy Bolt, James Harris, Martin Moszkowicz, Hartley Gorenstein, Paul W. S. Anderson, Robert Kulzer</t>
  </si>
  <si>
    <t>Mark Korven</t>
  </si>
  <si>
    <t>/bArhvjRHl535XMaSh9VjInF2mSZ.jpg</t>
  </si>
  <si>
    <t>resident evil: welcome to raccoon city</t>
  </si>
  <si>
    <t>paris (1), premiere (1), blank (46), limited (1), internet (5), video premiere (2)</t>
  </si>
  <si>
    <t>House of Gucci</t>
  </si>
  <si>
    <t>tt11214590</t>
  </si>
  <si>
    <t>When Patrizia Reggiani, an outsider from humble beginnings, marries into the Gucci family, her unbridled ambition begins to unravel the family legacy and triggers a reckless spiral of betrayal, decadence, revenge, and ultimately‚Äö√Ñ¬∂ murder.</t>
  </si>
  <si>
    <t>A legacy worth killing for.</t>
  </si>
  <si>
    <t>Drama, Crime, History</t>
  </si>
  <si>
    <t>metro-goldwyn-mayer, bron studios, scott free productions</t>
  </si>
  <si>
    <t>√ø√ü≈∏√ë√øœÄ√ø¬±√ø¬Æ≈∏√§√ø¬©, English, Italiano, √ä√≥‚Ä¢√ä√∫¬®√ã‚Ñ¢√ª, Portugu‚àö‚Ñ¢s, Fran‚àö√üais</t>
  </si>
  <si>
    <t>Jared Leto, Roger Garth, Alessandro Egger, Youssef Kerkour, Stefano Moretti, Vincent Riotta, Eric Alexander, Andrea Piedimonte Bodini, Pietro Pace, Catherine Walker, Al Pacino, Edouard Philipponnat, Marina Occhionero, Daniela Macaluso, Paolo De Giorgio, Reeve Carney, Vincenzo Tanassi, Beppe Rosso, Jack Huston, M∆í√âd∆í√âlina Ghenea, Pierpaolo Palladino, Gaetano Bruno, Marco Sincini, Luke Chikovani, Alessandro Pess, Antonello Annunziata, Livio Beshir, Gjergj Lala, Eva Moore, Miloud Mourad Benamara, Jun Ichikawa, Bruce McGuire, Mehdi Nebbou, Havana Alfarano, Jay Natelle, Al Mariotti, Andrea Bruschi, Adam Driver, Monica Nappo, Nicola Garofalo, Dirk Pl‚àö‚àÇnissen, Johanna Santos, Martino Palmisano, Jeremy Irons, Bianca Nappi, Nicole Bani Sarkute, Daniele De Martino, Philippe Boa, Alexia Murray, Alfredo Pea, Fausto Caroli, Salma Hayek Pinault, Loris Loddi, Lady Gaga, Larry Kapust, Mimmo Mancini, Beniamino Marcone, Pietro Ragusa, Simone Spinazz‚àö¬Æ, Dante Alba, Mauro Lamantia, Clelia Rossi Marcelli, Paolo Sena, Ira Fronten, Beatrice Pelliccia, Mia McGovern Zaini, Daphne Morelli, Marika De Chiara, Mario Opinato, Gianpiero Pumo, Daniele Monterosi, Filippo De Carli, Alessandra Borgia, Camille Cottin, Alessandro Piavani, Florence Andrews, Marco Stefanelli, Marta Marenco</t>
  </si>
  <si>
    <t>Roberto Bentivegna, Sara Gay Forden, Becky Johnston</t>
  </si>
  <si>
    <t>Kevin Ulrich, Aidan Elliott, Ridley Scott, Aaron L. Gilbert, Giannina Facio, Kevin J. Walsh, Megan Ellison, Jason Cloth, Mark Huffam, Marco Valerio Pugini</t>
  </si>
  <si>
    <t>/oJCQjD2byiVF1EG408F9dBn9ndU.jpg</t>
  </si>
  <si>
    <t>house of gucci</t>
  </si>
  <si>
    <t>london (1), premiere (5), milan (1), new york city, new york (1), los angeles, california (1), madrid (1), blank (55), limited (2), tv release (1)</t>
  </si>
  <si>
    <t>The Ambush</t>
  </si>
  <si>
    <t>tt13445076</t>
  </si>
  <si>
    <t>ar</t>
  </si>
  <si>
    <t>√ø√ü≈∏√ë≈∏√â≈∏√ñ≈∏√§≈∏√úAl Kameen</t>
  </si>
  <si>
    <t>It is the winter of 2018, the men and women of the UAE military are deployed to provide aid. At the Mocha Base, spirits are high as three Emirati soldiers anticipate an imminent return home. While on their final routine patrol, the three soldiers, Ali, Bilal and Hindasi are ambushed by heavily armed militants on their route, through a narrow canyon. Trapped, wounded, and out of communication range, the three soldiers realize the gravity of their situation. They are running out of options, munitions - and time. Back at the base, their commander receives word and realizes that the assault on the UAE army patrol was premeditated. A rescue mission is quickly put into action, but will air and land support reach the men in time, and will they survive?</t>
  </si>
  <si>
    <t>They will bring their brothers home by any means necessary.</t>
  </si>
  <si>
    <t>War, Action, Drama</t>
  </si>
  <si>
    <t>image nation abu dhabi, agc studios</t>
  </si>
  <si>
    <t>United Arab Emirates</t>
  </si>
  <si>
    <t>√ø√ü≈∏√ë√øœÄ√ø¬±√ø¬Æ≈∏√§√ø¬©</t>
  </si>
  <si>
    <t>Mansoor Alfeeli, Ghanim Nasser, Khalifa Albahri, Khalifa Al Jassem, Abdulla Saeed Bin Haider, Marwan Abdullah, Ibrahim Almusharaakh, Salem Altamimi, Mohammed Ahmed, Hassan Yousuf Alblooshi, Saeed Alharsh</t>
  </si>
  <si>
    <t>Pierre Morel</t>
  </si>
  <si>
    <t>Kurtis Birtell, Brandon Birtell</t>
  </si>
  <si>
    <t>Derek Dauchy, Stuart Ford, Jennifer Roth</t>
  </si>
  <si>
    <t>/dEZJgTWjq5ex8lEvI6XcYMxnTSn.jpg</t>
  </si>
  <si>
    <t>the ambush</t>
  </si>
  <si>
    <t>blank (8), internet (8), limited (1), blu-ray release (2), blu-ray &amp; dvd premiere (1)</t>
  </si>
  <si>
    <t>Sing 2</t>
  </si>
  <si>
    <t>tt6467266</t>
  </si>
  <si>
    <t>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t>
  </si>
  <si>
    <t>Where will your dreams take you?</t>
  </si>
  <si>
    <t>Family, Comedy, Music, Animation</t>
  </si>
  <si>
    <t>illumination</t>
  </si>
  <si>
    <t>Wes Anderson, Liza Seneca, Aaron Fors, Colette Whitaker, Barbara Harris, Igor Khait, Ayden Soria, Chris Renaud, John Kassir, Peter Serafinowicz, Julianna Gamiz, Debra Wilson, Halsey, Bono, Edgar Wright, Jennifer Saunders, Cathy Cavadini, Regina Taufen, Adam Buxton, Nick Offerman, Danny Mann, Thomas Walters, Nick Kroll, Tori Kelly, Eric Andr‚àö¬©, George Griffiths, Pharrell Williams, Remy Edgerly, Joy Poirel, Jack Stanton, JP Karliak, Adeline Krupinski Polidoro, Nora Wyman, Doug Burch, Bobby Cannavale, Caspar Jennings, Noreen Reardon, Reese Witherspoon, Julia Davis, Chelsea Peretti, Garth Jennings, Isa Hall, Louise Jennings, Fisher Stevens, Brian T. Delaney, Tara Strong, Katherine Kelloway, Vida Alves McConaughhey, Gary Rizzo, Levi Nunez, Asa Jennings, Jason Schwartzman, Jason Broad, Taron Egerton, Spike Jonze, Scarlett Johansson, Matthew McConaughey, Scott Mosier, Letitia Wright, Aaron Hendry, Hudson D'Andrea, Will Collyer</t>
  </si>
  <si>
    <t>Garth Jennings</t>
  </si>
  <si>
    <t>Chris Meledandri, Dana Krupinski, Janet Healy</t>
  </si>
  <si>
    <t>Joby Talbot</t>
  </si>
  <si>
    <t>/aWeKITRFbbwY8txG5uCj4rMCfSP.jpg</t>
  </si>
  <si>
    <t>sing 2</t>
  </si>
  <si>
    <t>afi fest (1), torino film festival (1), blank (56), spain (1), premiere (2), madrid (1), limited (1), internet (2)</t>
  </si>
  <si>
    <t>Nightmare Alley</t>
  </si>
  <si>
    <t>tt7740496</t>
  </si>
  <si>
    <t>An ambitious carnival man with a talent for manipulating people with a few well-chosen words hooks up with a female psychologist who is even more dangerous than he is.</t>
  </si>
  <si>
    <t>Man or beast.</t>
  </si>
  <si>
    <t>Crime, Drama, Thriller</t>
  </si>
  <si>
    <t>searchlight pictures, double dare you</t>
  </si>
  <si>
    <t>Willem Dafoe, James Collins, Clyde Whitham, Martin Julien, Dani Klupsch, Vikki Ring, Mary Steenburgen, Vanessa Botbyl, Romina Power, Keith Lukowski, Will Conlon, Troy James, Cate Blanchett, David Strathairn, Lara Jean Chorostecki, Samantha Rodes, Catherine McGregor, Calvin Desautels, David Hewlett, Dian Bachar, Richard Jenkins, Mike Hill, Paul Anderson, Toni Collette, Stephen McHattie, Grant Bradley, Charles Langille, Tim Post, Tim Blake Nelson, Andrew Locke, Linden Porco, Mark Povinelli, Holt McCallany, Walter Rinaldi, Caleb Ellsworth-Clark, Matthew MacCallum, Dan Lett, Rooney Mara, Derrick Moore, Paul Taylor, Danny Waugh, Natalie Brown, Bradley Cooper, Lili Connor, Bill MacDonald, Jesse Buck, Peter MacNeill, Daniel Falk, Ron Perlman, Perry Mucci, Sarah Mennell, Jim Beaver, Michael Bridgeman, Clifton Collins Jr.</t>
  </si>
  <si>
    <t>Guillermo del Toro</t>
  </si>
  <si>
    <t>Dan Laustsen</t>
  </si>
  <si>
    <t>Kim Morgan, Guillermo del Toro, William Lindsay Gresham</t>
  </si>
  <si>
    <t>Guillermo del Toro, Bradley Cooper, J. Miles Dale</t>
  </si>
  <si>
    <t>Nathan Johnson</t>
  </si>
  <si>
    <t>/vfn1feL0V9HNSXuLLpaxAW8O6LO.jpg</t>
  </si>
  <si>
    <t>nightmare alley</t>
  </si>
  <si>
    <t>new york city, new york (1), premiere (1), blank (49), los angeles (1), limited (3), black and white version (1), moma - the contenders (1), internet (2), tv premiere (1), beyond fest (1)</t>
  </si>
  <si>
    <t>West Side Story</t>
  </si>
  <si>
    <t>tt3581652</t>
  </si>
  <si>
    <t>Two youngsters from rival New York City gangs fall in love, but tensions between their respective friends build toward tragedy.</t>
  </si>
  <si>
    <t>A city divided. Their love will challenge everything.</t>
  </si>
  <si>
    <t>Drama, Romance, Crime</t>
  </si>
  <si>
    <t>20th century studios, amblin entertainment, tsg entertainment</t>
  </si>
  <si>
    <t>Maya Haghighi Guliani, Skye Mattox, Paloma Garcia-Lee, Sebastian Serra, Jessica Marza, Corey Stoll, Adriel Flete, Josh Rivera, Ansel Elgort, Gaby Diaz, Oscar Antonio Rodriguez, Carlos E. Gonzalez, Maddie Ziegler, Jos‚àö¬© Ram‚àö‚â•n Rosario, Silvano Monasterios, Leigh-Ann Esty, Savannah Ren‚àö¬©e Rodriguez, Rachel Zegler, Melody Mart‚àö‚â†, Ricardo Zayas, Bert Michaels, Roland Morales, Navio Lopez, Ryan Woodle, Lesley Bilingslea, Andr‚àö¬©a Burns, Leonardo Ro, Feiga Martinez, David Bean, Doreen Montalvo, Sara Esty, Talia Ryder, David Guzman, Jamie Harris, Aubrey Mills, Curtiss Cook, Brittany Pollack, David Alvarez, Isabella Ward, Ciara Calderon, Rita Moreno, Julius Anthony Rubio, Adriana Pierce, Mike Massimino, Rene Ojeda, Dave Noland, Shade Rupe, Ilda Mason, Ixchel Cuellar, Jose Ruiz, Jeanette Delgado, David Aviles Morales, Jesseudi Marcelino, Kyle Coffman, Ron Stroman, Kellie Drobnick, Natalie Toro, Ric Molina, Isaias Badilla, Andrei Chagas, Kevin Csolak, Daniel Patrick Russell, Patrick Noonan, Victor Cruz, Gabriela M. Soto, Yurel Echezarreta, Nadia Quinn, Maria Alexis Rodriguez, Jess LeProtto, Dave Phillips, Jamila Velazquez, Yassmin Alers, Paul Niebanck, Luke Joseph Fuentes Duculan, Lauren Leach, Halli Toland, Jonalyn Saxer, Brian d'Arcy James, Carlos S‚àö¬∞nchez Fal‚àö‚à´, Ricky Garcia, Annelise Cepero, Ricky Ubeda, Andy Powers, Kelvin Delgado, Tanairi Sade Vazquez, Myles Erlick, Edriz E. Rosa P‚àö¬©rez, Dan Pearson, Ariana DeBose, Kyle Allen, Julian Elia, Mike Iveson, Mar‚àö‚â†a Alejandra Castillo, Garett Hawe, Eloise Kropp, Tyler Myers, Mannelly Gonzalez Abreu, Jumaane Smith, Javier Diaz, Denia Brache, Reginald L. Barnes, John Michael Fiumara, Adrian Castillo, Sean Harrison Jones, Pablo Thomas, Jeff Ward, Abigail R. Valdez, Hommy Ramos, Patrick Higgins, Juliette Feliciano Ortiz, Clint de Ganon, Erik Charlston, Yesenia Ayala, Ben Cook, Arianna Rosario, Brianna Abruzzo, Jennifer Florentino, German M. Castillo, Chryssie Whitehead, Mike Faist, Ana Isabelle, Harrison Coll, iris menas, Jacob Guzman, Joe Lanza</t>
  </si>
  <si>
    <t>Steven Spielberg</t>
  </si>
  <si>
    <t>Janusz Kami‚âà√ëski</t>
  </si>
  <si>
    <t>Arthur Laurents, Stephen Sondheim, William Shakespeare, Jerome Robbins, Leonard Bernstein, Tony Kushner</t>
  </si>
  <si>
    <t>Daniel Lupi, Rita Moreno, Adam Somner, Kristie Macosko Krieger, Kevin McCollum, Steven Spielberg, Tony Kushner</t>
  </si>
  <si>
    <t>Leonard Bernstein</t>
  </si>
  <si>
    <t>/yfz3IUoYYSY32tkb97HlUBGFsnh.jpg</t>
  </si>
  <si>
    <t>west side story</t>
  </si>
  <si>
    <t>new york city, new york (1), premiere (2), blank (57), french speaking region (1), german speaking region (1), limited (1), madrid (1), italian speaking region (1), dvd premiere (1), moma - the contenders (1), santa barbara international film festival (1), internet (1), dvd and blu-ray premiere (1), tv premiere (1)</t>
  </si>
  <si>
    <t>Don't Look Up</t>
  </si>
  <si>
    <t>tt11286314</t>
  </si>
  <si>
    <t>Two astronomers go on a media tour to warn humankind of a planet-killing comet hurtling toward Earth. The response from a distracted world: Meh.</t>
  </si>
  <si>
    <t>Based on truly possible events.</t>
  </si>
  <si>
    <t>Comedy, Science Fiction</t>
  </si>
  <si>
    <t>hyperobject industries</t>
  </si>
  <si>
    <t>David J. Curtis, Anthony Marrese, J.P. Aaron, Jack Alberts, Elder Isaiah Perez, Lance Norris, Danielle Waxman, Jonah Hill, Ron Perlman, Caitlin Ishibashi, Adila Rajeh, Celeste Oliva, Kevin Craig West, Ishaan Khatter, Samsara Yett, Claire Davis, Dorothy Dwyer, Zach Holmes, Chris Everett, Ariana Grande, Jonathan Kobs, Roman Mitichyan, Matt Rouillard, Odis Spencer, Staci Roberts, Wes Johnson, Michael Jibrin, Tomer Sisley, Jody O'Neil, Georgia Lyman, Andrew Haserlat, Khaled Rajeh, Richard Donelly, Leonardo DiCaprio, Aimee Doherty, Lance A. Williams, Barbara Douglass, Tyler Perry, Rebecca Gibel, Caroline Bergwall, Sarah Silverman, June Holmes, Gary Tanguay, Rob L‚àö¬©vesque, Conor Sweeney, Allyn Burrows, Frank Ridley, Sam Zephir, Jon Glaser, Patrick Michael Strange, Khaldoun Rajeh, Wendy Bellevue, Darryl Wooten, Omar Ghonim, Mishka Yarovoy, Conrad Perry, Ralph M. Studley, Paul Guilfoyle, Dee Nelson, Tori Davis Lawlor, Kareem Rajeh, Erik Parillo, J.T. Turner, Ed Peed, Jaden Onwuakor, Homa Sarabi-Daunis, Alaina Pinto, Meryl Streep, Steve Gagliastro, Kid Cudi, Amanda Cass, Nicholai Senat, Brian Faherty, Robert Joy, Melanie Lynskey, Jennifer Lawrence, Hettienne Park, Rob Morgan, Beau Allen, Michael Chiklis, John Bucy, Bianca de la Garza, Christopher Deschenes, Ting, Joy Lang, Himesh Patel, Bill Mootos, Sujoy De, Alexandra Zilch, Meghan Leathers, Natalie Rebenkoff, Marissa Carpio, Cate Blanchett, Shimali de Silva, Rena Maliszewski, Paul Marini, Richard Snee, Ahmad Rajeh, Coran Spardakis Henley, Mark Rylance, Timoth‚àö¬©e Chalamet, Patricia DeHaney, Stephen Thorne, Sheren Rajeh, Ashleigh Banfield, Jeffrey Smith, Brahms Guignard, Lizzie Short, Alvin Keith, Therese Plaehn, Ross Partridge, Lonnie Farmer, Robert Hurst Radochia, Nate Richman, Lewis D. Wheeler, Meara Mahoney Gross, Alison Weller, Jacob Sanditen, Liev Schreiber, Rafael Silva, Chris Evans, Daniela August, Annette Miller, Anania Williams, Sergei Bushmanov, Jayne McLendon, Patrick Gover, Ben Sidell, Graham Holmes, Patti Tippo, Alex Huynh, Juri Love, Sarah Nolen</t>
  </si>
  <si>
    <t>Adam McKay</t>
  </si>
  <si>
    <t>Adam McKay, David Sirota</t>
  </si>
  <si>
    <t>Adam McKay, Kevin J. Messick, Jeff G. Waxman</t>
  </si>
  <si>
    <t>Nicholas Britell</t>
  </si>
  <si>
    <t>/th4E1yqsE8DGpAseLiUrI60Hf8V.jpg</t>
  </si>
  <si>
    <t>don't look up</t>
  </si>
  <si>
    <t>new york city, new york (1), premiere (1), french speaking region (1), blank (7), limited (16), german speaking region (1), internet (32), paris (1), lyon (1)</t>
  </si>
  <si>
    <t>The Lady of Heaven</t>
  </si>
  <si>
    <t>tt13097336</t>
  </si>
  <si>
    <t>Two stories separated by 1400 years. After losing his mother in the midst of a war-torn country, an Iraqi child learns the importance and power of patience by discovering the historical story of Lady Fatima and her suffering.</t>
  </si>
  <si>
    <t>The untold story.</t>
  </si>
  <si>
    <t>enlightened kingdom, sarke studio</t>
  </si>
  <si>
    <t>Georgia, United Kingdom</t>
  </si>
  <si>
    <t>Nebras Jamali, Ituka Bright Laka, Ray Fearon, Andrew Harrison, Mark Anthony Brighton, Albane Courtois, Danny Sykes, Alex Hughes, Oscar Salem, Georgina White, Lucas Bond, Ash Rizi, Yasmin Mwanza, Matthew Brenher, Sami Karim, Dimitri Andreas, Levan Saginashvili, Chris Jarman, Lasha Kankava, Denise Black, Christopher Sciueref, Gabriel Cartrade</t>
  </si>
  <si>
    <t>Eli King</t>
  </si>
  <si>
    <t>Mike Brewster</t>
  </si>
  <si>
    <t>Sheikh Al-Habib</t>
  </si>
  <si>
    <t>Hussain Ashmere, Matthew Kuipers, Mehdi Al Hussaini, Abdul-Malik Shlibak</t>
  </si>
  <si>
    <t>Craig Pruess</t>
  </si>
  <si>
    <t>/j7pZEzOKDGalpH5fTWZnVO9yKLV.jpg</t>
  </si>
  <si>
    <t>the lady of heaven</t>
  </si>
  <si>
    <t>limited (1), blank (6), internet (1)</t>
  </si>
  <si>
    <t>National Champions</t>
  </si>
  <si>
    <t>tt14547524</t>
  </si>
  <si>
    <t>A star quarterback ignites a players‚Äö√Ñ√¥ strike hours before the biggest game of the year in order to fight for fair compensation, equality, and respect for the athletes who put their bodies and health on the line for their schools.</t>
  </si>
  <si>
    <t>How much is one player worth in an $18 billion game?</t>
  </si>
  <si>
    <t>stxfilms, thunder road, bondit media capital, game1, amet entertainment, why not you productions</t>
  </si>
  <si>
    <t>Alexander Ludwig, Mark Anthony Brooks, Tedrick Martin, Joshua Moody, Karl-Anthony Towns, Thomas Francis, Jontavious Johnson, Calvin Williams, Lil Rel Howery, Jason Bayle, Therry Edouard, Steven Van Tiflin, Jemele Hill, Carl A. Chauvin, Russell Wilson, Reginald Robinson, Adam Mervis, J.K. Simmons, Kasia Trepagnier, David Koechner, Julian Horton, Jaden Begnaud, Michael Smith, GiGi Erneta, Tim Blake Nelson, Michael Holley, Casey Ferrand, Dean J. West, Steve Levy, Kristin Chenoweth, Sarah Fisher, Taylor Rooks, Ned Yousef, Suzette Lange, Mike Greenberg, Malcolm Jenkins, Uzo Aduba, David Maldonado, Stephan James, Andrew Bachelor, Tony Winters, French Montana, Rose Bianca Grue, Tre Hale, Timothy Olyphant, Nick Wright, Jeffrey Donovan</t>
  </si>
  <si>
    <t>Ric Roman Waugh</t>
  </si>
  <si>
    <t>Khalid Mohtaseb</t>
  </si>
  <si>
    <t>Adam Mervis</t>
  </si>
  <si>
    <t>Russell Wilson, Basil Iwanyk, Adam Mervis, Michael Smith, Robert Simonds, Christian Mercuri, Will Flynn, Samuel J. Brown, Brendon Boyea, Ric Roman Waugh, Greg Economou, Matthew Helderman, David Haring, Adam Fogelson, Bill Wohlken, Jonathan Fuhrman, Jeffrey Stott, Luke Taylor</t>
  </si>
  <si>
    <t>Jonathan Sanford</t>
  </si>
  <si>
    <t>/gRj82OOTJ8bmtUJDap9tNnswF0N.jpg</t>
  </si>
  <si>
    <t>national champions</t>
  </si>
  <si>
    <t>blank (6)</t>
  </si>
  <si>
    <t>The Lost Daughter</t>
  </si>
  <si>
    <t>tt9100054</t>
  </si>
  <si>
    <t>A woman's seaside vacation takes a dark turn when her obsession with a young mother forces her to confront secrets from her past.</t>
  </si>
  <si>
    <t>Being a mother is a crushing responsibility.</t>
  </si>
  <si>
    <t>endeavor content, samuel marshall productions, media finance capital, faliro house productions, pie films</t>
  </si>
  <si>
    <t>Greece, Israel, United Kingdom, United States of America</t>
  </si>
  <si>
    <t>English, ≈í¬µ≈í¬™≈í¬™≈í‚àë≈íŒ©≈íœÄ≈í‚à´≈í¬®, Italiano</t>
  </si>
  <si>
    <t>Konstantinos Samaa, Peter Sarsgaard, Ed Harris, Jessie Buckley, Alma Stansil, Alexandros Mylonas, Daniela Babek, Isabelle Della-Porta, Athena Martin Anderson, Jack Farthing, Alba Rohrwacher, Ellie James, Oliver Jackson-Cohen, Ellie Mae Blake, Paul Mescal, Nikos Poursanidis, Dakota Johnson, Spyros Maragoudakis, Robyn Elwell, Olivia Colman, Emmanouela Zacharopoulou, Panos Koronis, Dagmara Dominczyk, Vassilis Koukalani</t>
  </si>
  <si>
    <t>Maggie Gyllenhaal</t>
  </si>
  <si>
    <t>H‚àö¬©l‚àö¬Æne Louvart</t>
  </si>
  <si>
    <t>Maggie Gyllenhaal, Elena Ferrante</t>
  </si>
  <si>
    <t>Maggie Gyllenhaal, Talia Kleinhendler, Marlon Vogelgesang, Osnat Handelsman-Keren, Olivia Colman, Courtney Kivowitz, David Gilbery, Charlie Dorfman, Tmira Yardeni, Christos V. Konstantakopoulos</t>
  </si>
  <si>
    <t>Dickon Hinchliffe</t>
  </si>
  <si>
    <t>/t1oLNRFixpFOVsyz1HCqCUW3wiW.jpg</t>
  </si>
  <si>
    <t>the lost daughter</t>
  </si>
  <si>
    <t>venice film festival (1), telluride film festival (1), zurich film festival (1), new york film festival (1), hamptons international film festival (1), lumi√®re film festival (1), bfi london film festival (1), mill valley film festival (1), san diego international film festival (1), film fest gent (1), montlcair film festival (1), newport beach international film festival (1), leiden international film festival (1), scad savannah film festival (1), virginia film festival (1), american film festival (1), chicago critics film festival (1), mar del plata film festival (1), red sea international film festival (1), blank (18), limited (4), internet (22), internet: netflix (1), g√∂teborg film festival (1)</t>
  </si>
  <si>
    <t>Spider-Man: No Way Home</t>
  </si>
  <si>
    <t>tt10872600</t>
  </si>
  <si>
    <t>Peter Parker is unmasked and no longer able to separate his normal life from the high-stakes of being a super-hero. When he asks for help from Doctor Strange the stakes become even more dangerous, forcing him to discover what it truly means to be Spider-Man.</t>
  </si>
  <si>
    <t>Enter the Multiverse.</t>
  </si>
  <si>
    <t>Action, Adventure, Science Fiction</t>
  </si>
  <si>
    <t>marvel studios, pascal pictures, columbia pictures</t>
  </si>
  <si>
    <t xml:space="preserve">English, </t>
  </si>
  <si>
    <t>Alfred Molina, Jonathan Sam, Frederick A. Brown, Tom Hardy, Benedict Cumberbatch, Cristo Fern‚àö¬∞ndez, Benedict Wong, Charlie Cox, Gabriella Cila, Gary Weeks, JB Smoove, B. Clutch Dunlap, Willie D. Burton, Glenn Keogh, Rolando Fernandez, Marisa Tomei, Andrew Garfield, Emily Fong, Anisa Nyell Johnson, Paris Benjamin, Robert Tinsley, Andrew Dunlap, Thomas Haden Church, Michael Le, Arian Moayed, Jacob Batalon, Taylor St. Clair, Willem Dafoe, Robert Mitchel Owenby, Tobey Maguire, Edward Force, Carol Anne Dines, Jay Karales, Ben VanderMey, Hannibal Buress, Regina Ting Chen, Jon Favreau, Darnell Appling, Mary Rivera, Clay Savage, Harry Holland, Minnah Dunlap, Angourie Rice, Rhys Ifans, Rudy Eisenzopf, Kathleen Cardoso, Tom Holland, Haroon Khan, Zany Dunlap, Cole Failing, Dean Meminger, Mallory Hoff, Zendaya, Jwaundace Candece, Greg Clarkson, Jamie Foxx, Paula Newsome, Martin Starr, J.K. Simmons, Gregory Konow, Justin East, John M. Maiers, Tony Revolori</t>
  </si>
  <si>
    <t>Jon Watts</t>
  </si>
  <si>
    <t>Mauro Fiore</t>
  </si>
  <si>
    <t>Stan Lee, Chris McKenna, Erik Sommers, Steve Ditko</t>
  </si>
  <si>
    <t>Kevin Feige, Louis D'Esposito, JoAnn Perritano, Matt Tolmach, Avi Arad, Amy Pascal, Victoria Alonso, Rachel O'Connor</t>
  </si>
  <si>
    <t>Michael Giacchino</t>
  </si>
  <si>
    <t>/1g0dhYtq4irTY1GPXvft6k4YLjm.jpg</t>
  </si>
  <si>
    <t>spider-man: no way home</t>
  </si>
  <si>
    <t>los angeles, california (1), blank (69), limited (2), vod (1), dvd,4k uhd,blu-ray (1), internet (1), tv release (1), re-release (19), extended version (16), re-release, extended version (1), screenx version (1)</t>
  </si>
  <si>
    <t>The Matrix Resurrections</t>
  </si>
  <si>
    <t>tt10838180</t>
  </si>
  <si>
    <t>Plagued by strange memories, Neo's life takes an unexpected turn when he finds himself back inside the Matrix.</t>
  </si>
  <si>
    <t>Return to the Source.</t>
  </si>
  <si>
    <t>warner bros. pictures, village roadshow pictures, venus castina productions</t>
  </si>
  <si>
    <t>Juval Dieziger, Leo Sheng, Neil Patrick Harris, Ian Pirie, Toby Onwumere, Telma Hopkins, Carrie-Anne Moss, Brian J. Smith, Kim Libreri, Pablo Sanfrancisco, Esther Silex, Priyanka Chopra Jonas, Frank Isom, Joe Mazza, Julian Grey, Sarah McTeigue, Michael X. Sommers, Jada Pinkett Smith, Aaron Pina, Yahya Abdul-Mateen II, Donald Mustard, James McTeigue, Ellen Hollman, London Breed, Thomas Dalby, Cooper Rivers, Joshua Grothe, Max Riemelt, Sabrina Strehl, Dani Swan, Gaige Chaturantabut, Max Mauff, Amadei Weiland, Steven Roy, Freema Agyeman, Tiger Chen Hu, Stephen Dunlevy, James D. Weston II, Jonathan Groff, L. Trey Wilson, Lambert Wilson, John Gaeta, Mumbi Maina, Andrew Lewis Caldwell, Nicolas de Pruyssenaere, Felix Quinton, Chad Stahelski, Michael J. Gwynn, William W. Barbour, Andrew Rothney, Kenny Beers, Er‚àö¬©ndira Ibarra, Christina Ricci, Keanu Reeves, Mercy Malick, Volkhart Buff, Jessica Henwick, Purab Kohli</t>
  </si>
  <si>
    <t>Lana Wachowski</t>
  </si>
  <si>
    <t>Daniele Massaccesi, John Toll</t>
  </si>
  <si>
    <t>Lilly Wachowski, Aleksandar Hemon, David Mitchell, Lana Wachowski</t>
  </si>
  <si>
    <t>Michael Salven, Karin Wachowski, Bruce Berman, Garrett Grant, Aimee Allegretti, James McTeigue, Grant Hill, Lana Wachowski, Jesse Ehrman, Terry Needham</t>
  </si>
  <si>
    <t>Tom Tykwer, Johnny Klimek</t>
  </si>
  <si>
    <t>/8c4a8kE7PizaGQQnditMmI1xbRp.jpg</t>
  </si>
  <si>
    <t>the matrix resurrections</t>
  </si>
  <si>
    <t>blank (77), toronto (1), premiere (2), san francisco, california (1), internet (4), limited (1), dvd premiere (1)</t>
  </si>
  <si>
    <t>Cyrano</t>
  </si>
  <si>
    <t>tt12889404</t>
  </si>
  <si>
    <t>A man ahead of his time, Cyrano de Bergerac dazzles whether with ferocious wordplay at a verbal joust or with brilliant swordplay in a duel. But, convinced that his appearance renders him unworthy of the love of a devoted friend, the luminous Roxanne, Cyrano has yet to declare his feelings for her‚Äö√Ñ√Æand Roxanne has fallen in love, at first sight, with Christian.</t>
  </si>
  <si>
    <t>Have you ever loved someone?</t>
  </si>
  <si>
    <t>Drama, Romance</t>
  </si>
  <si>
    <t>metro-goldwyn-mayer, working title films, bron studios, creative wealth media finance</t>
  </si>
  <si>
    <t>Canada, United Kingdom, United States of America</t>
  </si>
  <si>
    <t>Oliver Tida Tida, Christian Benfatto, Danilo Muscar‚àö‚Ä†, Hajiba Fahmy, Sam Amidon, Kazutomi "Tsuki" Kozuki, Ben Mendelsohn, Afshin Varjavandi, Celeste Dodwell, Daniele Sibilli, Zoe Ashe-Browne, Francesco Ayrton Lacatena, Anjana Vasan, Nick Coutsier, Shelby Williams, Nandi Bhebhe, Haley Bennett, Danilo Anzalone, Endi Bahaj, Giacomo Della Marina, Richard McCabe, Pietro Conti, Antonio Milazzo, Patrick Seebacher, Lucas Peters, Pol Van den Broek, Joshua James, Beverly Rudd, Mirko De'Campi, Carl Grose, Leo Rait, Luigi Vilotta, Celeste Dring, Bettrys Jones, Oscar Ramos, Cesar Augusto Arrayago Heredia, Brice Asnar, Andrea Gallina, Daniele Caruso, Igor Pane, Mark Bagnall, Gabriele Cupparo, Joaquim de Santana, Giles King, Giovanni La Rocca, Federico De Murtas, Matteo Finocchiaro, Alessio Bianca, Peter Dinklage, John Locke, Ado Adon‚àö‚Ä† Mamo, Ruth Sheen, Scott Folan, Mike Shepherd, Kelvin Harrison, Jr., Silvio Liberto, Vincenzo Lodovico Tallarico, Christian Corsi, Francesco Salpietro, Paride Biasuzzi, Paul Biddiss, Peter Wight, Scott Fitzgerald Ahern, Kyla Goodey, Glen Hansard, Dorotea Saykaly, Tim McMullan, Anthony Luca Finocchiaro, Bashir Salahuddin, Monica Dolan, Alberto Chianello, Mohamed Toukabri, Jonas Vanderkerckhove, Paul Hunter, Katy Owen, Mark Benton, Andrea Pozzi, Alessandro Pennisi, Nicola Leahey, Colin Mace, Verdiano Cassone, Sarah Wright, Andrea Carrucciu, Daniel Ralph Mfaya</t>
  </si>
  <si>
    <t>Joe Wright</t>
  </si>
  <si>
    <t>Seamus McGarvey</t>
  </si>
  <si>
    <t>Edmond Rostand, Matt Berninger, Erica Schmidt, Carin Besser</t>
  </si>
  <si>
    <t>Tim Bevan, Aaron L. Gilbert, Eric Fellner, Kevin Ulrich, Sarah-Jane Wright, Bryce Dessner, Guy Heeley, Matt Berninger, Sheeraz Shah, Jason Cloth, Aaron Dessner, Carin Besser, Lucas Webb, Erica Schmidt</t>
  </si>
  <si>
    <t>Bryce Dessner, Aaron Dessner</t>
  </si>
  <si>
    <t>/e4koV8iC2cCM57bqUnEnIL2a2zH.jpg</t>
  </si>
  <si>
    <t>cyrano</t>
  </si>
  <si>
    <t>telluride film festival (1), premiere (1), mill valley film festival (1), hamptons international film festival (1), rome film festival (1), scad savannah film festival (1), camerimage international film festival (1), red sea international film festival (1), rio de janeiro international film festival (1), los angeles, california (1), blank (35), internet (1), copenhagen (1)</t>
  </si>
  <si>
    <t>Fortress</t>
  </si>
  <si>
    <t>tt14577300</t>
  </si>
  <si>
    <t>The story revolves around a top-secret resort for retired U.S. intelligence officers. A group of criminals led by Balzary breach the compound, hellbent on revenge on Robert, forcing the retired officer and his son to save the day.</t>
  </si>
  <si>
    <t>This prison has no bars.</t>
  </si>
  <si>
    <t>Action, Thriller, Crime</t>
  </si>
  <si>
    <t>efo films, grindstone entertainment group, verdi productions</t>
  </si>
  <si>
    <t>Katalina Viteri, Natalie Burn, Chad Michael Murray, Sean Kanan, Eric West, Jesse Metcalfe, Bruce Willis, Ser'Darius Blain, Trae Ireland, Kaleina Cordova, Simon Phillips, Kelly Greyson, Daniel Salinas Gonz‚àö¬∞lez, Leslee Emmett, Shannen Doherty, Michael Sirow, Luis Da Silva, Jr., John D. Hickman, Canyon Prince, James Cullen Bressack</t>
  </si>
  <si>
    <t>James Cullen Bressack</t>
  </si>
  <si>
    <t>Bryan Koss</t>
  </si>
  <si>
    <t>Alan Horsnail, Emile Hirsch, Randall Emmett</t>
  </si>
  <si>
    <t>Delphine Perrier, Arianne Fraser, Gary Raskin, Barry Brooker, Tim Sullivan, Henry Winterstern, Mark Stewart, Cyril Megret, Stan Wertlieb, Diana Pr‚àö‚â†ncipe, Nick D'Angelo, Chad Verdi Jr., George Furla, Paul Weinberg, Arnaud Lannic, Vance Owen, Ceasar Richbow, Lydia Hull, Alan Horsnail, Michael C. Robinson, Chad A. Verdi, Marily Reyes, Luillo Ruiz, Alastair Burlingham, Danny H. Chan, Randall Emmett, Ted Fox, Charlie Dombek</t>
  </si>
  <si>
    <t>Tim Jones</t>
  </si>
  <si>
    <t>/sR6OQUvOnQ0OrRLo7hhonaQhuaE.jpg</t>
  </si>
  <si>
    <t>fortress</t>
  </si>
  <si>
    <t>internet (6), limited (1), dvd premiere (6), dvd and blu-ray premiere (1), blank (6), tv premiere (4), blu-ray, dvd (1), tv release (1)</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</si>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</sst>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B68740-E515-8849-87BE-7706D8F3E217}" name="Table1" displayName="Table1" ref="A1:AQ39" totalsRowCount="1">
  <autoFilter ref="A1:AQ38" xr:uid="{95B68740-E515-8849-87BE-7706D8F3E217}">
    <filterColumn colId="41">
      <filters>
        <filter val="no"/>
      </filters>
    </filterColumn>
  </autoFilter>
  <tableColumns count="43">
    <tableColumn id="1" xr3:uid="{525A896F-5896-2647-A996-99486E7CB406}" name="id" totalsRowLabel="Total"/>
    <tableColumn id="2" xr3:uid="{1BC545F8-1BCD-8642-B568-FC21C8BD654E}" name="title"/>
    <tableColumn id="3" xr3:uid="{A3DC1B7D-2B31-D946-8DAB-0CAE1137C154}" name="vote_average"/>
    <tableColumn id="4" xr3:uid="{5079F5FA-8EE4-2E4E-842E-BF56EE7B1BED}" name="vote_count"/>
    <tableColumn id="5" xr3:uid="{5ED35AD8-571E-3149-9F40-BE9FBCC289D5}" name="status"/>
    <tableColumn id="6" xr3:uid="{6DBA3FD1-3CF5-A24C-8C58-F7793ADA0EDB}" name="release_date" dataDxfId="0"/>
    <tableColumn id="7" xr3:uid="{4634200C-5584-B94E-80FA-13B8D2241CE5}" name="revenue"/>
    <tableColumn id="8" xr3:uid="{AD465A7E-C7B5-5848-BFF6-BA1585B6449E}" name="runtime"/>
    <tableColumn id="9" xr3:uid="{90DBD71A-1E64-4242-8E68-A1E1C7797117}" name="budget"/>
    <tableColumn id="10" xr3:uid="{A2FC4B9E-5801-3E43-9E8F-290DDFE0CA0C}" name="imdb_id"/>
    <tableColumn id="11" xr3:uid="{756BD656-BCAF-B84D-AED6-42C306796840}" name="original_language"/>
    <tableColumn id="12" xr3:uid="{C9AE278B-27A1-5F4E-B58B-F1186C611393}" name="original_title"/>
    <tableColumn id="13" xr3:uid="{3BA99263-312F-4941-935A-09F862C67594}" name="overview"/>
    <tableColumn id="14" xr3:uid="{DD09FF97-2A59-9A42-9889-6458EBE326F7}" name="popularity"/>
    <tableColumn id="15" xr3:uid="{5E148A37-99FC-1F4B-9635-4039E420A9DC}" name="tagline"/>
    <tableColumn id="16" xr3:uid="{012396FD-5CC3-B546-B713-10C9089AFC09}" name="genres"/>
    <tableColumn id="17" xr3:uid="{47089CAC-0A97-E34D-BA20-B7ADD17BB01C}" name="production_companies"/>
    <tableColumn id="18" xr3:uid="{3C372D98-E243-404C-84DC-0D0A0655A8EB}" name="production_countries"/>
    <tableColumn id="19" xr3:uid="{ED4EB2F3-DF22-AB41-A28A-24D32F9F46D4}" name="spoken_languages"/>
    <tableColumn id="20" xr3:uid="{F7DB6E43-14F3-C445-B92B-7B2627A5F378}" name="cast"/>
    <tableColumn id="21" xr3:uid="{00CC1579-8471-5047-940F-B365B9613841}" name="director"/>
    <tableColumn id="22" xr3:uid="{CDE0BD2F-CAB9-B14B-8FC2-A415E9DB786C}" name="director_of_photography"/>
    <tableColumn id="23" xr3:uid="{59A69B17-5ECA-4D4C-B9E5-9C82229DBA84}" name="writers"/>
    <tableColumn id="24" xr3:uid="{EB5C6530-8762-2941-9146-0165824E191F}" name="producers"/>
    <tableColumn id="25" xr3:uid="{B69DE144-4020-4649-A7EC-0A72A5694458}" name="music_composer"/>
    <tableColumn id="26" xr3:uid="{B4F392F8-B24A-4245-AF2C-B86BE203C01E}" name="imdb_rating"/>
    <tableColumn id="27" xr3:uid="{6962195E-86C5-C945-828C-5BEEB0E12AFA}" name="imdb_votes"/>
    <tableColumn id="28" xr3:uid="{8AA995A1-A20B-ED4D-9788-1896554F2D53}" name="poster_path"/>
    <tableColumn id="29" xr3:uid="{3F0418DA-F018-0A4A-AFC1-9E3F55EFB6FD}" name="release_month"/>
    <tableColumn id="30" xr3:uid="{22BFEE75-88F5-174F-B240-EA4659A1272E}" name="release_year"/>
    <tableColumn id="31" xr3:uid="{97AA83F9-8B61-674C-844C-20F49F4A7F80}" name="iso_week"/>
    <tableColumn id="32" xr3:uid="{373CA597-5397-0748-97FA-A74DAF845F71}" name="title_clean"/>
    <tableColumn id="33" xr3:uid="{964188F2-2B4E-5C40-A3E7-5E5A1ED15AE1}" name="distance"/>
    <tableColumn id="34" xr3:uid="{442A378C-E95C-0F4A-8F5E-EC4FCE274679}" name="strength"/>
    <tableColumn id="35" xr3:uid="{DB5C03B0-A29E-ED44-B3AA-A21AF1A1AAF8}" name="score" totalsRowFunction="sum"/>
    <tableColumn id="36" xr3:uid="{D4D470BC-0031-C44C-B7D0-139971391664}" name="marvel_movie"/>
    <tableColumn id="37" xr3:uid="{6D9C21FA-A314-8341-8915-99339E3E63FD}" name="attributes"/>
    <tableColumn id="38" xr3:uid="{EB7CF769-282C-7A46-BA59-494C1BC7B81C}" name="blank"/>
    <tableColumn id="39" xr3:uid="{A75EB860-379F-9841-AA5A-C6AF3A013B56}" name="internet"/>
    <tableColumn id="40" xr3:uid="{877A1C0D-A8A9-A142-A2F9-394B3D0DC953}" name="total"/>
    <tableColumn id="41" xr3:uid="{EA1C3369-20D1-234A-B8B5-272CA4BD9684}" name="internet_ratio"/>
    <tableColumn id="42" xr3:uid="{00F6AEE5-1646-D642-AF91-785D3D289198}" name="internet_dominance"/>
    <tableColumn id="43" xr3:uid="{F9835AC8-074D-2340-B22D-B5A449DD33C9}" name="error" totalsRowFunction="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E2B2-8233-9E4B-9D8E-302D96E2F3E6}">
  <dimension ref="A1:AQ39"/>
  <sheetViews>
    <sheetView tabSelected="1" topLeftCell="AA1" workbookViewId="0">
      <selection activeCell="AI39" sqref="AI39"/>
    </sheetView>
  </sheetViews>
  <sheetFormatPr baseColWidth="10" defaultRowHeight="16" x14ac:dyDescent="0.2"/>
  <cols>
    <col min="3" max="3" width="14.33203125" customWidth="1"/>
    <col min="4" max="4" width="12.5" customWidth="1"/>
    <col min="6" max="6" width="14.1640625" customWidth="1"/>
    <col min="11" max="11" width="18" customWidth="1"/>
    <col min="12" max="12" width="13.83203125" customWidth="1"/>
    <col min="14" max="14" width="11.6640625" customWidth="1"/>
    <col min="17" max="17" width="22.33203125" customWidth="1"/>
    <col min="18" max="18" width="21" customWidth="1"/>
    <col min="19" max="19" width="18.83203125" customWidth="1"/>
    <col min="22" max="22" width="23.5" customWidth="1"/>
    <col min="24" max="24" width="11.83203125" customWidth="1"/>
    <col min="25" max="25" width="17.83203125" customWidth="1"/>
    <col min="26" max="26" width="13.33203125" customWidth="1"/>
    <col min="27" max="27" width="13" customWidth="1"/>
    <col min="28" max="28" width="13.33203125" customWidth="1"/>
    <col min="29" max="29" width="15.83203125" customWidth="1"/>
    <col min="30" max="30" width="14" customWidth="1"/>
    <col min="31" max="31" width="11.1640625" customWidth="1"/>
    <col min="32" max="32" width="12.1640625" customWidth="1"/>
    <col min="36" max="36" width="15" customWidth="1"/>
    <col min="37" max="37" width="11.6640625" customWidth="1"/>
    <col min="41" max="41" width="14.6640625" customWidth="1"/>
    <col min="42" max="42" width="20" customWidth="1"/>
  </cols>
  <sheetData>
    <row r="1" spans="1:4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2">
      <c r="A2">
        <v>567690</v>
      </c>
      <c r="B2" t="s">
        <v>43</v>
      </c>
      <c r="C2">
        <v>6.2640000000000002</v>
      </c>
      <c r="D2">
        <v>351</v>
      </c>
      <c r="E2" t="s">
        <v>44</v>
      </c>
      <c r="F2" s="1">
        <v>44463</v>
      </c>
      <c r="G2">
        <v>19133454</v>
      </c>
      <c r="H2">
        <v>137</v>
      </c>
      <c r="I2">
        <v>27500000</v>
      </c>
      <c r="J2" t="s">
        <v>45</v>
      </c>
      <c r="K2" t="s">
        <v>46</v>
      </c>
      <c r="L2" t="s">
        <v>43</v>
      </c>
      <c r="M2" t="s">
        <v>47</v>
      </c>
      <c r="N2">
        <v>3.7951000000000001</v>
      </c>
      <c r="O2" t="s">
        <v>48</v>
      </c>
      <c r="P2" t="s">
        <v>49</v>
      </c>
      <c r="Q2" t="s">
        <v>50</v>
      </c>
      <c r="R2" t="s">
        <v>51</v>
      </c>
      <c r="S2" t="s">
        <v>52</v>
      </c>
      <c r="T2" t="s">
        <v>53</v>
      </c>
      <c r="U2" t="s">
        <v>54</v>
      </c>
      <c r="V2" t="s">
        <v>55</v>
      </c>
      <c r="W2" t="s">
        <v>56</v>
      </c>
      <c r="X2" t="s">
        <v>57</v>
      </c>
      <c r="Y2" t="s">
        <v>58</v>
      </c>
      <c r="Z2">
        <v>6.1</v>
      </c>
      <c r="AA2">
        <v>20581</v>
      </c>
      <c r="AB2" t="s">
        <v>59</v>
      </c>
      <c r="AC2">
        <v>9</v>
      </c>
      <c r="AD2">
        <v>2021</v>
      </c>
      <c r="AE2">
        <v>38</v>
      </c>
      <c r="AF2" t="s">
        <v>60</v>
      </c>
      <c r="AG2">
        <v>-40</v>
      </c>
      <c r="AH2">
        <v>16.7669489314864</v>
      </c>
      <c r="AI2">
        <v>0.40894997393869398</v>
      </c>
      <c r="AJ2" t="s">
        <v>61</v>
      </c>
      <c r="AK2" t="s">
        <v>62</v>
      </c>
      <c r="AL2">
        <v>27</v>
      </c>
      <c r="AM2">
        <v>4</v>
      </c>
      <c r="AN2">
        <v>42</v>
      </c>
      <c r="AO2">
        <v>0.1</v>
      </c>
      <c r="AP2" t="s">
        <v>63</v>
      </c>
      <c r="AQ2" t="s">
        <v>63</v>
      </c>
    </row>
    <row r="3" spans="1:43" x14ac:dyDescent="0.2">
      <c r="A3">
        <v>370172</v>
      </c>
      <c r="B3" t="s">
        <v>64</v>
      </c>
      <c r="C3">
        <v>7.3529999999999998</v>
      </c>
      <c r="D3">
        <v>6746</v>
      </c>
      <c r="E3" t="s">
        <v>44</v>
      </c>
      <c r="F3" s="1">
        <v>44468</v>
      </c>
      <c r="G3">
        <v>774153024</v>
      </c>
      <c r="H3">
        <v>163</v>
      </c>
      <c r="I3">
        <v>250000000</v>
      </c>
      <c r="J3" t="s">
        <v>65</v>
      </c>
      <c r="K3" t="s">
        <v>46</v>
      </c>
      <c r="L3" t="s">
        <v>64</v>
      </c>
      <c r="M3" t="s">
        <v>66</v>
      </c>
      <c r="N3">
        <v>8.5167000000000002</v>
      </c>
      <c r="O3" t="s">
        <v>67</v>
      </c>
      <c r="P3" t="s">
        <v>68</v>
      </c>
      <c r="Q3" t="s">
        <v>69</v>
      </c>
      <c r="R3" t="s">
        <v>70</v>
      </c>
      <c r="S3" t="s">
        <v>71</v>
      </c>
      <c r="T3" t="s">
        <v>72</v>
      </c>
      <c r="U3" t="s">
        <v>73</v>
      </c>
      <c r="V3" t="s">
        <v>74</v>
      </c>
      <c r="W3" t="s">
        <v>75</v>
      </c>
      <c r="X3" t="s">
        <v>76</v>
      </c>
      <c r="Y3" t="s">
        <v>77</v>
      </c>
      <c r="Z3">
        <v>7.3</v>
      </c>
      <c r="AA3">
        <v>475300</v>
      </c>
      <c r="AB3" t="s">
        <v>78</v>
      </c>
      <c r="AC3">
        <v>9</v>
      </c>
      <c r="AD3">
        <v>2021</v>
      </c>
      <c r="AE3">
        <v>39</v>
      </c>
      <c r="AF3" t="s">
        <v>79</v>
      </c>
      <c r="AG3">
        <v>-35</v>
      </c>
      <c r="AH3">
        <v>20.467280118730901</v>
      </c>
      <c r="AI3">
        <v>0.56853555885363705</v>
      </c>
      <c r="AJ3" t="s">
        <v>61</v>
      </c>
      <c r="AK3" t="s">
        <v>80</v>
      </c>
      <c r="AL3">
        <v>65</v>
      </c>
      <c r="AM3">
        <v>1</v>
      </c>
      <c r="AN3">
        <v>79</v>
      </c>
      <c r="AO3">
        <v>0.01</v>
      </c>
      <c r="AP3" t="s">
        <v>63</v>
      </c>
      <c r="AQ3" t="s">
        <v>63</v>
      </c>
    </row>
    <row r="4" spans="1:43" x14ac:dyDescent="0.2">
      <c r="A4">
        <v>580489</v>
      </c>
      <c r="B4" t="s">
        <v>81</v>
      </c>
      <c r="C4">
        <v>6.8</v>
      </c>
      <c r="D4">
        <v>10862</v>
      </c>
      <c r="E4" t="s">
        <v>44</v>
      </c>
      <c r="F4" s="1">
        <v>44469</v>
      </c>
      <c r="G4">
        <v>506863592</v>
      </c>
      <c r="H4">
        <v>97</v>
      </c>
      <c r="I4">
        <v>110000000</v>
      </c>
      <c r="J4" t="s">
        <v>82</v>
      </c>
      <c r="K4" t="s">
        <v>46</v>
      </c>
      <c r="L4" t="s">
        <v>81</v>
      </c>
      <c r="M4" t="s">
        <v>83</v>
      </c>
      <c r="N4">
        <v>8.8058999999999994</v>
      </c>
      <c r="O4" t="s">
        <v>84</v>
      </c>
      <c r="P4" t="s">
        <v>85</v>
      </c>
      <c r="Q4" t="s">
        <v>86</v>
      </c>
      <c r="R4" t="s">
        <v>87</v>
      </c>
      <c r="S4" t="s">
        <v>88</v>
      </c>
      <c r="T4" t="s">
        <v>89</v>
      </c>
      <c r="U4" t="s">
        <v>90</v>
      </c>
      <c r="V4" t="s">
        <v>91</v>
      </c>
      <c r="W4" t="s">
        <v>92</v>
      </c>
      <c r="X4" t="s">
        <v>93</v>
      </c>
      <c r="Y4" t="s">
        <v>94</v>
      </c>
      <c r="Z4">
        <v>5.9</v>
      </c>
      <c r="AA4">
        <v>296177</v>
      </c>
      <c r="AB4" t="s">
        <v>95</v>
      </c>
      <c r="AC4">
        <v>9</v>
      </c>
      <c r="AD4">
        <v>2021</v>
      </c>
      <c r="AE4">
        <v>39</v>
      </c>
      <c r="AF4" t="s">
        <v>96</v>
      </c>
      <c r="AG4">
        <v>-34</v>
      </c>
      <c r="AH4">
        <v>20.043752478018401</v>
      </c>
      <c r="AI4">
        <v>0.57267864222909803</v>
      </c>
      <c r="AJ4" t="s">
        <v>61</v>
      </c>
      <c r="AK4" t="s">
        <v>97</v>
      </c>
      <c r="AL4">
        <v>61</v>
      </c>
      <c r="AM4">
        <v>1</v>
      </c>
      <c r="AN4">
        <v>66</v>
      </c>
      <c r="AO4">
        <v>0.02</v>
      </c>
      <c r="AP4" t="s">
        <v>63</v>
      </c>
      <c r="AQ4" t="s">
        <v>63</v>
      </c>
    </row>
    <row r="5" spans="1:43" x14ac:dyDescent="0.2">
      <c r="A5">
        <v>779029</v>
      </c>
      <c r="B5" t="s">
        <v>98</v>
      </c>
      <c r="C5">
        <v>6.1539999999999999</v>
      </c>
      <c r="D5">
        <v>130</v>
      </c>
      <c r="E5" t="s">
        <v>44</v>
      </c>
      <c r="F5" s="1">
        <v>44469</v>
      </c>
      <c r="G5">
        <v>902540935</v>
      </c>
      <c r="H5">
        <v>178</v>
      </c>
      <c r="I5">
        <v>200000000</v>
      </c>
      <c r="J5" t="s">
        <v>99</v>
      </c>
      <c r="K5" t="s">
        <v>100</v>
      </c>
      <c r="L5" t="s">
        <v>101</v>
      </c>
      <c r="M5" t="s">
        <v>102</v>
      </c>
      <c r="N5">
        <v>4.5270000000000001</v>
      </c>
      <c r="O5" t="s">
        <v>103</v>
      </c>
      <c r="P5" t="s">
        <v>104</v>
      </c>
      <c r="Q5" t="s">
        <v>105</v>
      </c>
      <c r="R5" t="s">
        <v>106</v>
      </c>
      <c r="S5" t="s">
        <v>107</v>
      </c>
      <c r="T5" t="s">
        <v>108</v>
      </c>
      <c r="U5" t="s">
        <v>109</v>
      </c>
      <c r="V5" t="s">
        <v>110</v>
      </c>
      <c r="W5" t="s">
        <v>111</v>
      </c>
      <c r="X5" t="s">
        <v>112</v>
      </c>
      <c r="Y5" t="s">
        <v>113</v>
      </c>
      <c r="Z5">
        <v>5.5</v>
      </c>
      <c r="AA5">
        <v>4716</v>
      </c>
      <c r="AB5" t="s">
        <v>114</v>
      </c>
      <c r="AC5">
        <v>9</v>
      </c>
      <c r="AD5">
        <v>2021</v>
      </c>
      <c r="AE5">
        <v>39</v>
      </c>
      <c r="AF5" t="s">
        <v>115</v>
      </c>
      <c r="AG5">
        <v>-34</v>
      </c>
      <c r="AH5">
        <v>20.620724605591398</v>
      </c>
      <c r="AI5">
        <v>0.58916356015975402</v>
      </c>
      <c r="AJ5" t="s">
        <v>61</v>
      </c>
      <c r="AK5" t="s">
        <v>116</v>
      </c>
      <c r="AL5">
        <v>10</v>
      </c>
      <c r="AM5">
        <v>1</v>
      </c>
      <c r="AN5">
        <v>24</v>
      </c>
      <c r="AO5">
        <v>0.04</v>
      </c>
      <c r="AP5" t="s">
        <v>63</v>
      </c>
      <c r="AQ5" t="s">
        <v>63</v>
      </c>
    </row>
    <row r="6" spans="1:43" hidden="1" x14ac:dyDescent="0.2">
      <c r="A6">
        <v>785663</v>
      </c>
      <c r="B6" t="s">
        <v>117</v>
      </c>
      <c r="C6">
        <v>7.3</v>
      </c>
      <c r="D6">
        <v>620</v>
      </c>
      <c r="E6" t="s">
        <v>44</v>
      </c>
      <c r="F6" s="1">
        <v>44470</v>
      </c>
      <c r="G6">
        <v>77463</v>
      </c>
      <c r="H6">
        <v>99</v>
      </c>
      <c r="I6">
        <v>1500000</v>
      </c>
      <c r="J6" t="s">
        <v>118</v>
      </c>
      <c r="K6" t="s">
        <v>46</v>
      </c>
      <c r="L6" t="s">
        <v>117</v>
      </c>
      <c r="M6" t="s">
        <v>119</v>
      </c>
      <c r="N6">
        <v>6.4870000000000001</v>
      </c>
      <c r="O6" t="s">
        <v>120</v>
      </c>
      <c r="P6" t="s">
        <v>121</v>
      </c>
      <c r="Q6" t="s">
        <v>122</v>
      </c>
      <c r="R6" t="s">
        <v>87</v>
      </c>
      <c r="S6" t="s">
        <v>88</v>
      </c>
      <c r="T6" t="s">
        <v>123</v>
      </c>
      <c r="U6" t="s">
        <v>124</v>
      </c>
      <c r="V6" t="s">
        <v>125</v>
      </c>
      <c r="W6" t="s">
        <v>124</v>
      </c>
      <c r="X6" t="s">
        <v>126</v>
      </c>
      <c r="Y6" t="s">
        <v>127</v>
      </c>
      <c r="Z6">
        <v>7.3</v>
      </c>
      <c r="AA6">
        <v>43224</v>
      </c>
      <c r="AB6" t="s">
        <v>128</v>
      </c>
      <c r="AC6">
        <v>10</v>
      </c>
      <c r="AD6">
        <v>2021</v>
      </c>
      <c r="AE6">
        <v>39</v>
      </c>
      <c r="AF6" t="s">
        <v>129</v>
      </c>
      <c r="AG6">
        <v>-33</v>
      </c>
      <c r="AH6">
        <v>11.257568591291299</v>
      </c>
      <c r="AI6">
        <v>0.33110495856739303</v>
      </c>
      <c r="AJ6" t="s">
        <v>61</v>
      </c>
      <c r="AK6" t="s">
        <v>130</v>
      </c>
      <c r="AL6">
        <v>5</v>
      </c>
      <c r="AM6">
        <v>10</v>
      </c>
      <c r="AN6">
        <v>25</v>
      </c>
      <c r="AO6">
        <v>0.4</v>
      </c>
      <c r="AP6" t="s">
        <v>131</v>
      </c>
      <c r="AQ6" t="s">
        <v>63</v>
      </c>
    </row>
    <row r="7" spans="1:43" x14ac:dyDescent="0.2">
      <c r="A7">
        <v>655082</v>
      </c>
      <c r="B7" t="s">
        <v>132</v>
      </c>
      <c r="C7">
        <v>6.3</v>
      </c>
      <c r="D7">
        <v>701</v>
      </c>
      <c r="E7" t="s">
        <v>44</v>
      </c>
      <c r="F7" s="1">
        <v>44476</v>
      </c>
      <c r="G7">
        <v>13000000</v>
      </c>
      <c r="H7">
        <v>108</v>
      </c>
      <c r="I7">
        <v>26000000</v>
      </c>
      <c r="J7" t="s">
        <v>133</v>
      </c>
      <c r="K7" t="s">
        <v>134</v>
      </c>
      <c r="L7" t="s">
        <v>132</v>
      </c>
      <c r="M7" t="s">
        <v>135</v>
      </c>
      <c r="N7">
        <v>2.8149999999999999</v>
      </c>
      <c r="O7" t="s">
        <v>136</v>
      </c>
      <c r="P7" t="s">
        <v>137</v>
      </c>
      <c r="Q7" t="s">
        <v>138</v>
      </c>
      <c r="R7" t="s">
        <v>139</v>
      </c>
      <c r="S7" t="s">
        <v>140</v>
      </c>
      <c r="T7" t="s">
        <v>141</v>
      </c>
      <c r="U7" t="s">
        <v>142</v>
      </c>
      <c r="V7" t="s">
        <v>143</v>
      </c>
      <c r="W7" t="s">
        <v>144</v>
      </c>
      <c r="X7" t="s">
        <v>145</v>
      </c>
      <c r="Y7" t="s">
        <v>146</v>
      </c>
      <c r="Z7">
        <v>6.2</v>
      </c>
      <c r="AA7">
        <v>8760</v>
      </c>
      <c r="AB7" t="s">
        <v>147</v>
      </c>
      <c r="AC7">
        <v>10</v>
      </c>
      <c r="AD7">
        <v>2021</v>
      </c>
      <c r="AE7">
        <v>40</v>
      </c>
      <c r="AF7" t="s">
        <v>148</v>
      </c>
      <c r="AG7">
        <v>-27</v>
      </c>
      <c r="AH7">
        <v>16.380459992348801</v>
      </c>
      <c r="AI7">
        <v>0.58501642829817402</v>
      </c>
      <c r="AJ7" t="s">
        <v>61</v>
      </c>
      <c r="AK7" t="s">
        <v>149</v>
      </c>
      <c r="AL7">
        <v>26</v>
      </c>
      <c r="AM7">
        <v>6</v>
      </c>
      <c r="AN7">
        <v>46</v>
      </c>
      <c r="AO7">
        <v>0.13</v>
      </c>
      <c r="AP7" t="s">
        <v>63</v>
      </c>
      <c r="AQ7" t="s">
        <v>63</v>
      </c>
    </row>
    <row r="8" spans="1:43" x14ac:dyDescent="0.2">
      <c r="A8">
        <v>592695</v>
      </c>
      <c r="B8" t="s">
        <v>150</v>
      </c>
      <c r="C8">
        <v>6.3029999999999999</v>
      </c>
      <c r="D8">
        <v>726</v>
      </c>
      <c r="E8" t="s">
        <v>44</v>
      </c>
      <c r="F8" s="1">
        <v>44477</v>
      </c>
      <c r="G8">
        <v>393824</v>
      </c>
      <c r="H8">
        <v>108</v>
      </c>
      <c r="I8">
        <v>1800000</v>
      </c>
      <c r="J8" t="s">
        <v>151</v>
      </c>
      <c r="K8" t="s">
        <v>152</v>
      </c>
      <c r="L8" t="s">
        <v>150</v>
      </c>
      <c r="M8" t="s">
        <v>153</v>
      </c>
      <c r="N8">
        <v>10.375299999999999</v>
      </c>
      <c r="O8" t="s">
        <v>154</v>
      </c>
      <c r="P8" t="s">
        <v>49</v>
      </c>
      <c r="Q8" t="s">
        <v>155</v>
      </c>
      <c r="R8" t="s">
        <v>156</v>
      </c>
      <c r="S8" t="s">
        <v>157</v>
      </c>
      <c r="T8" t="s">
        <v>158</v>
      </c>
      <c r="U8" t="s">
        <v>159</v>
      </c>
      <c r="V8" t="s">
        <v>160</v>
      </c>
      <c r="W8" t="s">
        <v>161</v>
      </c>
      <c r="X8" t="s">
        <v>162</v>
      </c>
      <c r="Y8" t="s">
        <v>163</v>
      </c>
      <c r="Z8">
        <v>6.3</v>
      </c>
      <c r="AA8">
        <v>25602</v>
      </c>
      <c r="AB8" t="s">
        <v>164</v>
      </c>
      <c r="AC8">
        <v>10</v>
      </c>
      <c r="AD8">
        <v>2021</v>
      </c>
      <c r="AE8">
        <v>40</v>
      </c>
      <c r="AF8" t="s">
        <v>165</v>
      </c>
      <c r="AG8">
        <v>-26</v>
      </c>
      <c r="AH8">
        <v>12.883661927174099</v>
      </c>
      <c r="AI8">
        <v>0.47717266396941299</v>
      </c>
      <c r="AJ8" t="s">
        <v>61</v>
      </c>
      <c r="AK8" t="s">
        <v>166</v>
      </c>
      <c r="AL8">
        <v>12</v>
      </c>
      <c r="AM8">
        <v>7</v>
      </c>
      <c r="AN8">
        <v>52</v>
      </c>
      <c r="AO8">
        <v>0.13</v>
      </c>
      <c r="AP8" t="s">
        <v>63</v>
      </c>
      <c r="AQ8" t="s">
        <v>63</v>
      </c>
    </row>
    <row r="9" spans="1:43" x14ac:dyDescent="0.2">
      <c r="A9">
        <v>568124</v>
      </c>
      <c r="B9" t="s">
        <v>167</v>
      </c>
      <c r="C9">
        <v>7.6</v>
      </c>
      <c r="D9">
        <v>9913</v>
      </c>
      <c r="E9" t="s">
        <v>44</v>
      </c>
      <c r="F9" s="1">
        <v>44482</v>
      </c>
      <c r="G9">
        <v>261292688</v>
      </c>
      <c r="H9">
        <v>102</v>
      </c>
      <c r="I9">
        <v>150000000</v>
      </c>
      <c r="J9" t="s">
        <v>168</v>
      </c>
      <c r="K9" t="s">
        <v>46</v>
      </c>
      <c r="L9" t="s">
        <v>167</v>
      </c>
      <c r="M9" t="s">
        <v>169</v>
      </c>
      <c r="N9">
        <v>13.0114</v>
      </c>
      <c r="O9" t="s">
        <v>170</v>
      </c>
      <c r="P9" t="s">
        <v>171</v>
      </c>
      <c r="Q9" t="s">
        <v>172</v>
      </c>
      <c r="R9" t="s">
        <v>87</v>
      </c>
      <c r="S9" t="s">
        <v>173</v>
      </c>
      <c r="T9" t="s">
        <v>174</v>
      </c>
      <c r="U9" t="s">
        <v>175</v>
      </c>
      <c r="W9" t="s">
        <v>176</v>
      </c>
      <c r="X9" t="s">
        <v>177</v>
      </c>
      <c r="Y9" t="s">
        <v>178</v>
      </c>
      <c r="Z9">
        <v>7.2</v>
      </c>
      <c r="AA9">
        <v>289187</v>
      </c>
      <c r="AB9" t="s">
        <v>179</v>
      </c>
      <c r="AC9">
        <v>10</v>
      </c>
      <c r="AD9">
        <v>2021</v>
      </c>
      <c r="AE9">
        <v>41</v>
      </c>
      <c r="AF9" t="s">
        <v>180</v>
      </c>
      <c r="AG9">
        <v>-21</v>
      </c>
      <c r="AH9">
        <v>19.381151750765302</v>
      </c>
      <c r="AI9">
        <v>0.88096144321660497</v>
      </c>
      <c r="AJ9" t="s">
        <v>61</v>
      </c>
      <c r="AK9" t="s">
        <v>181</v>
      </c>
      <c r="AL9">
        <v>90</v>
      </c>
      <c r="AM9">
        <v>2</v>
      </c>
      <c r="AN9">
        <v>100</v>
      </c>
      <c r="AO9">
        <v>0.02</v>
      </c>
      <c r="AP9" t="s">
        <v>63</v>
      </c>
      <c r="AQ9" t="s">
        <v>63</v>
      </c>
    </row>
    <row r="10" spans="1:43" x14ac:dyDescent="0.2">
      <c r="A10">
        <v>617653</v>
      </c>
      <c r="B10" t="s">
        <v>182</v>
      </c>
      <c r="C10">
        <v>7.4139999999999997</v>
      </c>
      <c r="D10">
        <v>3651</v>
      </c>
      <c r="E10" t="s">
        <v>44</v>
      </c>
      <c r="F10" s="1">
        <v>44482</v>
      </c>
      <c r="G10">
        <v>30552111</v>
      </c>
      <c r="H10">
        <v>153</v>
      </c>
      <c r="I10">
        <v>100000000</v>
      </c>
      <c r="J10" t="s">
        <v>183</v>
      </c>
      <c r="K10" t="s">
        <v>46</v>
      </c>
      <c r="L10" t="s">
        <v>182</v>
      </c>
      <c r="M10" t="s">
        <v>184</v>
      </c>
      <c r="N10">
        <v>5.4836999999999998</v>
      </c>
      <c r="O10" t="s">
        <v>185</v>
      </c>
      <c r="P10" t="s">
        <v>186</v>
      </c>
      <c r="Q10" t="s">
        <v>187</v>
      </c>
      <c r="R10" t="s">
        <v>87</v>
      </c>
      <c r="S10" t="s">
        <v>188</v>
      </c>
      <c r="T10" t="s">
        <v>189</v>
      </c>
      <c r="U10" t="s">
        <v>190</v>
      </c>
      <c r="V10" t="s">
        <v>191</v>
      </c>
      <c r="W10" t="s">
        <v>192</v>
      </c>
      <c r="X10" t="s">
        <v>193</v>
      </c>
      <c r="Y10" t="s">
        <v>194</v>
      </c>
      <c r="Z10">
        <v>7.3</v>
      </c>
      <c r="AA10">
        <v>200581</v>
      </c>
      <c r="AB10" t="s">
        <v>195</v>
      </c>
      <c r="AC10">
        <v>10</v>
      </c>
      <c r="AD10">
        <v>2021</v>
      </c>
      <c r="AE10">
        <v>41</v>
      </c>
      <c r="AF10" t="s">
        <v>196</v>
      </c>
      <c r="AG10">
        <v>-21</v>
      </c>
      <c r="AH10">
        <v>17.234944373761799</v>
      </c>
      <c r="AI10">
        <v>0.78340656244372198</v>
      </c>
      <c r="AJ10" t="s">
        <v>61</v>
      </c>
      <c r="AK10" t="s">
        <v>197</v>
      </c>
      <c r="AL10">
        <v>49</v>
      </c>
      <c r="AM10">
        <v>1</v>
      </c>
      <c r="AN10">
        <v>59</v>
      </c>
      <c r="AO10">
        <v>0.02</v>
      </c>
      <c r="AP10" t="s">
        <v>63</v>
      </c>
      <c r="AQ10" t="s">
        <v>63</v>
      </c>
    </row>
    <row r="11" spans="1:43" x14ac:dyDescent="0.2">
      <c r="A11">
        <v>610253</v>
      </c>
      <c r="B11" t="s">
        <v>198</v>
      </c>
      <c r="C11">
        <v>6.4</v>
      </c>
      <c r="D11">
        <v>2813</v>
      </c>
      <c r="E11" t="s">
        <v>44</v>
      </c>
      <c r="F11" s="1">
        <v>44483</v>
      </c>
      <c r="G11">
        <v>133423964</v>
      </c>
      <c r="H11">
        <v>105</v>
      </c>
      <c r="I11">
        <v>20000000</v>
      </c>
      <c r="J11" t="s">
        <v>199</v>
      </c>
      <c r="K11" t="s">
        <v>46</v>
      </c>
      <c r="L11" t="s">
        <v>198</v>
      </c>
      <c r="M11" t="s">
        <v>200</v>
      </c>
      <c r="N11">
        <v>4.2925000000000004</v>
      </c>
      <c r="O11" t="s">
        <v>201</v>
      </c>
      <c r="P11" t="s">
        <v>202</v>
      </c>
      <c r="Q11" t="s">
        <v>203</v>
      </c>
      <c r="R11" t="s">
        <v>87</v>
      </c>
      <c r="S11" t="s">
        <v>52</v>
      </c>
      <c r="T11" t="s">
        <v>204</v>
      </c>
      <c r="U11" t="s">
        <v>205</v>
      </c>
      <c r="V11" t="s">
        <v>206</v>
      </c>
      <c r="W11" t="s">
        <v>207</v>
      </c>
      <c r="X11" t="s">
        <v>208</v>
      </c>
      <c r="Y11" t="s">
        <v>209</v>
      </c>
      <c r="Z11">
        <v>5.5</v>
      </c>
      <c r="AA11">
        <v>106562</v>
      </c>
      <c r="AB11" t="s">
        <v>210</v>
      </c>
      <c r="AC11">
        <v>10</v>
      </c>
      <c r="AD11">
        <v>2021</v>
      </c>
      <c r="AE11">
        <v>41</v>
      </c>
      <c r="AF11" t="s">
        <v>211</v>
      </c>
      <c r="AG11">
        <v>-20</v>
      </c>
      <c r="AH11">
        <v>18.709042322987202</v>
      </c>
      <c r="AI11">
        <v>0.89090677728510703</v>
      </c>
      <c r="AJ11" t="s">
        <v>61</v>
      </c>
      <c r="AK11" t="s">
        <v>212</v>
      </c>
      <c r="AL11">
        <v>60</v>
      </c>
      <c r="AM11">
        <v>3</v>
      </c>
      <c r="AN11">
        <v>69</v>
      </c>
      <c r="AO11">
        <v>0.04</v>
      </c>
      <c r="AP11" t="s">
        <v>63</v>
      </c>
      <c r="AQ11" t="s">
        <v>63</v>
      </c>
    </row>
    <row r="12" spans="1:43" x14ac:dyDescent="0.2">
      <c r="A12">
        <v>793937</v>
      </c>
      <c r="B12" t="s">
        <v>213</v>
      </c>
      <c r="C12">
        <v>6.2</v>
      </c>
      <c r="D12">
        <v>89</v>
      </c>
      <c r="E12" t="s">
        <v>44</v>
      </c>
      <c r="F12" s="1">
        <v>44483</v>
      </c>
      <c r="G12">
        <v>22028248</v>
      </c>
      <c r="H12">
        <v>93</v>
      </c>
      <c r="I12">
        <v>11700000</v>
      </c>
      <c r="J12" t="s">
        <v>214</v>
      </c>
      <c r="K12" t="s">
        <v>215</v>
      </c>
      <c r="L12" t="s">
        <v>216</v>
      </c>
      <c r="M12" t="s">
        <v>217</v>
      </c>
      <c r="N12">
        <v>2.2244000000000002</v>
      </c>
      <c r="O12" t="s">
        <v>218</v>
      </c>
      <c r="P12" t="s">
        <v>219</v>
      </c>
      <c r="Q12" t="s">
        <v>220</v>
      </c>
      <c r="R12" t="s">
        <v>221</v>
      </c>
      <c r="S12" t="s">
        <v>222</v>
      </c>
      <c r="T12" t="s">
        <v>223</v>
      </c>
      <c r="U12" t="s">
        <v>224</v>
      </c>
      <c r="V12" t="s">
        <v>225</v>
      </c>
      <c r="W12" t="s">
        <v>226</v>
      </c>
      <c r="X12" t="s">
        <v>227</v>
      </c>
      <c r="Y12" t="s">
        <v>228</v>
      </c>
      <c r="Z12">
        <v>5.3</v>
      </c>
      <c r="AA12">
        <v>1071</v>
      </c>
      <c r="AB12" t="s">
        <v>229</v>
      </c>
      <c r="AC12">
        <v>10</v>
      </c>
      <c r="AD12">
        <v>2021</v>
      </c>
      <c r="AE12">
        <v>41</v>
      </c>
      <c r="AF12" t="s">
        <v>230</v>
      </c>
      <c r="AG12">
        <v>-20</v>
      </c>
      <c r="AH12">
        <v>16.907836233095701</v>
      </c>
      <c r="AI12">
        <v>0.80513505871884705</v>
      </c>
      <c r="AJ12" t="s">
        <v>61</v>
      </c>
      <c r="AK12" t="s">
        <v>231</v>
      </c>
      <c r="AL12">
        <v>14</v>
      </c>
      <c r="AM12">
        <v>1</v>
      </c>
      <c r="AN12">
        <v>20</v>
      </c>
      <c r="AO12">
        <v>0.05</v>
      </c>
      <c r="AP12" t="s">
        <v>63</v>
      </c>
      <c r="AQ12" t="s">
        <v>63</v>
      </c>
    </row>
    <row r="13" spans="1:43" x14ac:dyDescent="0.2">
      <c r="A13">
        <v>576845</v>
      </c>
      <c r="B13" t="s">
        <v>232</v>
      </c>
      <c r="C13">
        <v>7.3</v>
      </c>
      <c r="D13">
        <v>3675</v>
      </c>
      <c r="E13" t="s">
        <v>44</v>
      </c>
      <c r="F13" s="1">
        <v>44490</v>
      </c>
      <c r="G13">
        <v>22957625</v>
      </c>
      <c r="H13">
        <v>116</v>
      </c>
      <c r="I13">
        <v>43000000</v>
      </c>
      <c r="J13" t="s">
        <v>233</v>
      </c>
      <c r="K13" t="s">
        <v>46</v>
      </c>
      <c r="L13" t="s">
        <v>232</v>
      </c>
      <c r="M13" t="s">
        <v>234</v>
      </c>
      <c r="N13">
        <v>4.1989999999999998</v>
      </c>
      <c r="O13" t="s">
        <v>235</v>
      </c>
      <c r="P13" t="s">
        <v>236</v>
      </c>
      <c r="Q13" t="s">
        <v>237</v>
      </c>
      <c r="R13" t="s">
        <v>238</v>
      </c>
      <c r="S13" t="s">
        <v>52</v>
      </c>
      <c r="T13" t="s">
        <v>239</v>
      </c>
      <c r="U13" t="s">
        <v>240</v>
      </c>
      <c r="V13" t="s">
        <v>241</v>
      </c>
      <c r="W13" t="s">
        <v>242</v>
      </c>
      <c r="X13" t="s">
        <v>243</v>
      </c>
      <c r="Y13" t="s">
        <v>244</v>
      </c>
      <c r="Z13">
        <v>7</v>
      </c>
      <c r="AA13">
        <v>195792</v>
      </c>
      <c r="AB13" t="s">
        <v>245</v>
      </c>
      <c r="AC13">
        <v>10</v>
      </c>
      <c r="AD13">
        <v>2021</v>
      </c>
      <c r="AE13">
        <v>42</v>
      </c>
      <c r="AF13" t="s">
        <v>246</v>
      </c>
      <c r="AG13">
        <v>-13</v>
      </c>
      <c r="AH13">
        <v>16.949160726857201</v>
      </c>
      <c r="AI13">
        <v>1.21065433763265</v>
      </c>
      <c r="AJ13" t="s">
        <v>61</v>
      </c>
      <c r="AK13" t="s">
        <v>247</v>
      </c>
      <c r="AL13">
        <v>54</v>
      </c>
      <c r="AM13">
        <v>1</v>
      </c>
      <c r="AN13">
        <v>79</v>
      </c>
      <c r="AO13">
        <v>0.01</v>
      </c>
      <c r="AP13" t="s">
        <v>63</v>
      </c>
      <c r="AQ13" t="s">
        <v>63</v>
      </c>
    </row>
    <row r="14" spans="1:43" x14ac:dyDescent="0.2">
      <c r="A14">
        <v>516329</v>
      </c>
      <c r="B14" t="s">
        <v>248</v>
      </c>
      <c r="C14">
        <v>6.2</v>
      </c>
      <c r="D14">
        <v>1157</v>
      </c>
      <c r="E14" t="s">
        <v>44</v>
      </c>
      <c r="F14" s="1">
        <v>44497</v>
      </c>
      <c r="G14">
        <v>18867659</v>
      </c>
      <c r="H14">
        <v>99</v>
      </c>
      <c r="I14">
        <v>17000000</v>
      </c>
      <c r="J14" t="s">
        <v>249</v>
      </c>
      <c r="K14" t="s">
        <v>46</v>
      </c>
      <c r="L14" t="s">
        <v>248</v>
      </c>
      <c r="M14" t="s">
        <v>250</v>
      </c>
      <c r="N14">
        <v>2.4161000000000001</v>
      </c>
      <c r="O14" t="s">
        <v>251</v>
      </c>
      <c r="P14" t="s">
        <v>252</v>
      </c>
      <c r="Q14" t="s">
        <v>253</v>
      </c>
      <c r="R14" t="s">
        <v>87</v>
      </c>
      <c r="S14" t="s">
        <v>52</v>
      </c>
      <c r="T14" t="s">
        <v>254</v>
      </c>
      <c r="U14" t="s">
        <v>255</v>
      </c>
      <c r="V14" t="s">
        <v>256</v>
      </c>
      <c r="W14" t="s">
        <v>257</v>
      </c>
      <c r="X14" t="s">
        <v>258</v>
      </c>
      <c r="Y14" t="s">
        <v>259</v>
      </c>
      <c r="Z14">
        <v>5.9</v>
      </c>
      <c r="AA14">
        <v>48747</v>
      </c>
      <c r="AB14" t="s">
        <v>260</v>
      </c>
      <c r="AC14">
        <v>10</v>
      </c>
      <c r="AD14">
        <v>2021</v>
      </c>
      <c r="AE14">
        <v>43</v>
      </c>
      <c r="AF14" t="s">
        <v>261</v>
      </c>
      <c r="AG14">
        <v>-6</v>
      </c>
      <c r="AH14">
        <v>16.752959903295999</v>
      </c>
      <c r="AI14">
        <v>2.3932799861851399</v>
      </c>
      <c r="AJ14" t="s">
        <v>61</v>
      </c>
      <c r="AK14" t="s">
        <v>262</v>
      </c>
      <c r="AL14">
        <v>45</v>
      </c>
      <c r="AM14">
        <v>1</v>
      </c>
      <c r="AN14">
        <v>54</v>
      </c>
      <c r="AO14">
        <v>0.02</v>
      </c>
      <c r="AP14" t="s">
        <v>63</v>
      </c>
      <c r="AQ14" t="s">
        <v>63</v>
      </c>
    </row>
    <row r="15" spans="1:43" x14ac:dyDescent="0.2">
      <c r="A15">
        <v>623511</v>
      </c>
      <c r="B15" t="s">
        <v>263</v>
      </c>
      <c r="C15">
        <v>6.6</v>
      </c>
      <c r="D15">
        <v>274</v>
      </c>
      <c r="E15" t="s">
        <v>44</v>
      </c>
      <c r="F15" s="1">
        <v>44498</v>
      </c>
      <c r="G15">
        <v>2836382</v>
      </c>
      <c r="H15">
        <v>104</v>
      </c>
      <c r="I15">
        <v>8300000</v>
      </c>
      <c r="J15" t="s">
        <v>264</v>
      </c>
      <c r="K15" t="s">
        <v>63</v>
      </c>
      <c r="L15" t="s">
        <v>265</v>
      </c>
      <c r="M15" t="s">
        <v>266</v>
      </c>
      <c r="N15">
        <v>2.8170999999999999</v>
      </c>
      <c r="O15" t="s">
        <v>267</v>
      </c>
      <c r="P15" t="s">
        <v>268</v>
      </c>
      <c r="Q15" t="s">
        <v>269</v>
      </c>
      <c r="R15" t="s">
        <v>270</v>
      </c>
      <c r="S15" t="s">
        <v>271</v>
      </c>
      <c r="T15" t="s">
        <v>272</v>
      </c>
      <c r="U15" t="s">
        <v>273</v>
      </c>
      <c r="V15" t="s">
        <v>274</v>
      </c>
      <c r="W15" t="s">
        <v>275</v>
      </c>
      <c r="X15" t="s">
        <v>276</v>
      </c>
      <c r="Y15" t="s">
        <v>277</v>
      </c>
      <c r="Z15">
        <v>6.3</v>
      </c>
      <c r="AA15">
        <v>8829</v>
      </c>
      <c r="AB15" t="s">
        <v>278</v>
      </c>
      <c r="AC15">
        <v>10</v>
      </c>
      <c r="AD15">
        <v>2021</v>
      </c>
      <c r="AE15">
        <v>43</v>
      </c>
      <c r="AF15" t="s">
        <v>279</v>
      </c>
      <c r="AG15">
        <v>-5</v>
      </c>
      <c r="AH15">
        <v>14.8580402068811</v>
      </c>
      <c r="AI15">
        <v>2.47634003448018</v>
      </c>
      <c r="AJ15" t="s">
        <v>61</v>
      </c>
      <c r="AK15" t="s">
        <v>280</v>
      </c>
      <c r="AL15">
        <v>13</v>
      </c>
      <c r="AM15">
        <v>9</v>
      </c>
      <c r="AN15">
        <v>32</v>
      </c>
      <c r="AO15">
        <v>0.28000000000000003</v>
      </c>
      <c r="AP15" t="s">
        <v>63</v>
      </c>
      <c r="AQ15" t="s">
        <v>63</v>
      </c>
    </row>
    <row r="16" spans="1:43" hidden="1" x14ac:dyDescent="0.2">
      <c r="A16">
        <v>796499</v>
      </c>
      <c r="B16" t="s">
        <v>281</v>
      </c>
      <c r="C16">
        <v>6.8</v>
      </c>
      <c r="D16">
        <v>2177</v>
      </c>
      <c r="E16" t="s">
        <v>44</v>
      </c>
      <c r="F16" s="1">
        <v>44498</v>
      </c>
      <c r="G16">
        <v>46900000</v>
      </c>
      <c r="H16">
        <v>127</v>
      </c>
      <c r="I16">
        <v>30000000</v>
      </c>
      <c r="J16" t="s">
        <v>282</v>
      </c>
      <c r="K16" t="s">
        <v>46</v>
      </c>
      <c r="L16" t="s">
        <v>281</v>
      </c>
      <c r="M16" t="s">
        <v>283</v>
      </c>
      <c r="N16">
        <v>5.9659000000000004</v>
      </c>
      <c r="O16" t="s">
        <v>284</v>
      </c>
      <c r="P16" t="s">
        <v>285</v>
      </c>
      <c r="Q16" t="s">
        <v>286</v>
      </c>
      <c r="R16" t="s">
        <v>287</v>
      </c>
      <c r="S16" t="s">
        <v>288</v>
      </c>
      <c r="T16" t="s">
        <v>289</v>
      </c>
      <c r="U16" t="s">
        <v>290</v>
      </c>
      <c r="V16" t="s">
        <v>291</v>
      </c>
      <c r="W16" t="s">
        <v>292</v>
      </c>
      <c r="X16" t="s">
        <v>293</v>
      </c>
      <c r="Y16" t="s">
        <v>294</v>
      </c>
      <c r="Z16">
        <v>6.4</v>
      </c>
      <c r="AA16">
        <v>96053</v>
      </c>
      <c r="AB16" t="s">
        <v>295</v>
      </c>
      <c r="AC16">
        <v>10</v>
      </c>
      <c r="AD16">
        <v>2021</v>
      </c>
      <c r="AE16">
        <v>43</v>
      </c>
      <c r="AF16" t="s">
        <v>296</v>
      </c>
      <c r="AG16">
        <v>-5</v>
      </c>
      <c r="AH16">
        <v>17.663528254738399</v>
      </c>
      <c r="AI16">
        <v>2.9439213757897398</v>
      </c>
      <c r="AJ16" t="s">
        <v>61</v>
      </c>
      <c r="AK16" t="s">
        <v>297</v>
      </c>
      <c r="AL16">
        <v>0</v>
      </c>
      <c r="AM16">
        <v>39</v>
      </c>
      <c r="AN16">
        <v>39</v>
      </c>
      <c r="AO16">
        <v>1</v>
      </c>
      <c r="AP16" t="s">
        <v>131</v>
      </c>
      <c r="AQ16" t="s">
        <v>63</v>
      </c>
    </row>
    <row r="17" spans="1:43" hidden="1" x14ac:dyDescent="0.2">
      <c r="A17">
        <v>512195</v>
      </c>
      <c r="B17" t="s">
        <v>298</v>
      </c>
      <c r="C17">
        <v>6.8</v>
      </c>
      <c r="D17">
        <v>6134</v>
      </c>
      <c r="E17" t="s">
        <v>44</v>
      </c>
      <c r="F17" s="1">
        <v>44504</v>
      </c>
      <c r="G17">
        <v>178143</v>
      </c>
      <c r="H17">
        <v>118</v>
      </c>
      <c r="I17">
        <v>160000000</v>
      </c>
      <c r="J17" t="s">
        <v>299</v>
      </c>
      <c r="K17" t="s">
        <v>46</v>
      </c>
      <c r="L17" t="s">
        <v>298</v>
      </c>
      <c r="M17" t="s">
        <v>300</v>
      </c>
      <c r="N17">
        <v>7.9166999999999996</v>
      </c>
      <c r="O17" t="s">
        <v>301</v>
      </c>
      <c r="P17" t="s">
        <v>302</v>
      </c>
      <c r="Q17" t="s">
        <v>303</v>
      </c>
      <c r="R17" t="s">
        <v>87</v>
      </c>
      <c r="S17" t="s">
        <v>304</v>
      </c>
      <c r="T17" t="s">
        <v>305</v>
      </c>
      <c r="U17" t="s">
        <v>306</v>
      </c>
      <c r="V17" t="s">
        <v>307</v>
      </c>
      <c r="W17" t="s">
        <v>306</v>
      </c>
      <c r="X17" t="s">
        <v>308</v>
      </c>
      <c r="Y17" t="s">
        <v>309</v>
      </c>
      <c r="Z17">
        <v>6.3</v>
      </c>
      <c r="AA17">
        <v>346812</v>
      </c>
      <c r="AB17" t="s">
        <v>310</v>
      </c>
      <c r="AC17">
        <v>11</v>
      </c>
      <c r="AD17">
        <v>2021</v>
      </c>
      <c r="AE17">
        <v>44</v>
      </c>
      <c r="AF17" t="s">
        <v>311</v>
      </c>
      <c r="AG17">
        <v>1</v>
      </c>
      <c r="AH17">
        <v>12.0903474909832</v>
      </c>
      <c r="AI17">
        <v>6.0451737454916099</v>
      </c>
      <c r="AJ17" t="s">
        <v>61</v>
      </c>
      <c r="AK17" t="s">
        <v>312</v>
      </c>
      <c r="AL17">
        <v>7</v>
      </c>
      <c r="AM17">
        <v>35</v>
      </c>
      <c r="AN17">
        <v>47</v>
      </c>
      <c r="AO17">
        <v>0.74</v>
      </c>
      <c r="AP17" t="s">
        <v>131</v>
      </c>
      <c r="AQ17" t="s">
        <v>63</v>
      </c>
    </row>
    <row r="18" spans="1:43" x14ac:dyDescent="0.2">
      <c r="A18">
        <v>716612</v>
      </c>
      <c r="B18" t="s">
        <v>313</v>
      </c>
      <c r="C18">
        <v>6.8</v>
      </c>
      <c r="D18">
        <v>1753</v>
      </c>
      <c r="E18" t="s">
        <v>44</v>
      </c>
      <c r="F18" s="1">
        <v>44504</v>
      </c>
      <c r="G18">
        <v>25246967</v>
      </c>
      <c r="H18">
        <v>117</v>
      </c>
      <c r="I18">
        <v>18000000</v>
      </c>
      <c r="J18" t="s">
        <v>314</v>
      </c>
      <c r="K18" t="s">
        <v>46</v>
      </c>
      <c r="L18" t="s">
        <v>313</v>
      </c>
      <c r="M18" t="s">
        <v>315</v>
      </c>
      <c r="N18">
        <v>3.4074</v>
      </c>
      <c r="O18" t="s">
        <v>316</v>
      </c>
      <c r="P18" t="s">
        <v>317</v>
      </c>
      <c r="Q18" t="s">
        <v>318</v>
      </c>
      <c r="R18" t="s">
        <v>319</v>
      </c>
      <c r="S18" t="s">
        <v>52</v>
      </c>
      <c r="T18" t="s">
        <v>320</v>
      </c>
      <c r="U18" t="s">
        <v>321</v>
      </c>
      <c r="V18" t="s">
        <v>322</v>
      </c>
      <c r="W18" t="s">
        <v>323</v>
      </c>
      <c r="X18" t="s">
        <v>324</v>
      </c>
      <c r="Y18" t="s">
        <v>325</v>
      </c>
      <c r="Z18">
        <v>6.5</v>
      </c>
      <c r="AA18">
        <v>80879</v>
      </c>
      <c r="AB18" t="s">
        <v>326</v>
      </c>
      <c r="AC18">
        <v>11</v>
      </c>
      <c r="AD18">
        <v>2021</v>
      </c>
      <c r="AE18">
        <v>44</v>
      </c>
      <c r="AF18" t="s">
        <v>327</v>
      </c>
      <c r="AG18">
        <v>1</v>
      </c>
      <c r="AH18">
        <v>17.044216627267598</v>
      </c>
      <c r="AI18">
        <v>8.5221083136338098</v>
      </c>
      <c r="AJ18" t="s">
        <v>61</v>
      </c>
      <c r="AK18" t="s">
        <v>328</v>
      </c>
      <c r="AL18">
        <v>45</v>
      </c>
      <c r="AM18">
        <v>1</v>
      </c>
      <c r="AN18">
        <v>76</v>
      </c>
      <c r="AO18">
        <v>0.01</v>
      </c>
      <c r="AP18" t="s">
        <v>63</v>
      </c>
      <c r="AQ18" t="s">
        <v>63</v>
      </c>
    </row>
    <row r="19" spans="1:43" x14ac:dyDescent="0.2">
      <c r="A19">
        <v>592508</v>
      </c>
      <c r="B19" t="s">
        <v>329</v>
      </c>
      <c r="C19">
        <v>5.8</v>
      </c>
      <c r="D19">
        <v>164</v>
      </c>
      <c r="E19" t="s">
        <v>44</v>
      </c>
      <c r="F19" s="1">
        <v>44505</v>
      </c>
      <c r="G19">
        <v>35000000</v>
      </c>
      <c r="H19">
        <v>145</v>
      </c>
      <c r="I19">
        <v>13000000</v>
      </c>
      <c r="J19" t="s">
        <v>330</v>
      </c>
      <c r="K19" t="s">
        <v>331</v>
      </c>
      <c r="L19" t="s">
        <v>332</v>
      </c>
      <c r="M19" t="s">
        <v>333</v>
      </c>
      <c r="N19">
        <v>2.1231</v>
      </c>
      <c r="O19" t="s">
        <v>334</v>
      </c>
      <c r="P19" t="s">
        <v>335</v>
      </c>
      <c r="Q19" t="s">
        <v>336</v>
      </c>
      <c r="R19" t="s">
        <v>337</v>
      </c>
      <c r="S19" t="s">
        <v>338</v>
      </c>
      <c r="T19" t="s">
        <v>339</v>
      </c>
      <c r="U19" t="s">
        <v>340</v>
      </c>
      <c r="V19" t="s">
        <v>341</v>
      </c>
      <c r="W19" t="s">
        <v>342</v>
      </c>
      <c r="X19" t="s">
        <v>343</v>
      </c>
      <c r="Y19" t="s">
        <v>344</v>
      </c>
      <c r="Z19">
        <v>5.8</v>
      </c>
      <c r="AA19">
        <v>80834</v>
      </c>
      <c r="AB19" t="s">
        <v>345</v>
      </c>
      <c r="AC19">
        <v>11</v>
      </c>
      <c r="AD19">
        <v>2021</v>
      </c>
      <c r="AE19">
        <v>44</v>
      </c>
      <c r="AF19" t="s">
        <v>346</v>
      </c>
      <c r="AG19">
        <v>2</v>
      </c>
      <c r="AH19">
        <v>17.370858648025099</v>
      </c>
      <c r="AI19">
        <v>5.7902862160083703</v>
      </c>
      <c r="AJ19" t="s">
        <v>61</v>
      </c>
      <c r="AK19" t="s">
        <v>347</v>
      </c>
      <c r="AL19">
        <v>10</v>
      </c>
      <c r="AM19">
        <v>4</v>
      </c>
      <c r="AN19">
        <v>26</v>
      </c>
      <c r="AO19">
        <v>0.15</v>
      </c>
      <c r="AP19" t="s">
        <v>63</v>
      </c>
      <c r="AQ19" t="s">
        <v>63</v>
      </c>
    </row>
    <row r="20" spans="1:43" x14ac:dyDescent="0.2">
      <c r="A20">
        <v>585245</v>
      </c>
      <c r="B20" t="s">
        <v>348</v>
      </c>
      <c r="C20">
        <v>7.2</v>
      </c>
      <c r="D20">
        <v>1779</v>
      </c>
      <c r="E20" t="s">
        <v>44</v>
      </c>
      <c r="F20" s="1">
        <v>44510</v>
      </c>
      <c r="G20">
        <v>107347356</v>
      </c>
      <c r="H20">
        <v>97</v>
      </c>
      <c r="I20">
        <v>64000000</v>
      </c>
      <c r="J20" t="s">
        <v>349</v>
      </c>
      <c r="K20" t="s">
        <v>46</v>
      </c>
      <c r="L20" t="s">
        <v>348</v>
      </c>
      <c r="M20" t="s">
        <v>350</v>
      </c>
      <c r="N20">
        <v>4.3155999999999999</v>
      </c>
      <c r="O20" t="s">
        <v>351</v>
      </c>
      <c r="P20" t="s">
        <v>352</v>
      </c>
      <c r="Q20" t="s">
        <v>353</v>
      </c>
      <c r="R20" t="s">
        <v>354</v>
      </c>
      <c r="S20" t="s">
        <v>52</v>
      </c>
      <c r="T20" t="s">
        <v>355</v>
      </c>
      <c r="U20" t="s">
        <v>356</v>
      </c>
      <c r="V20" t="s">
        <v>357</v>
      </c>
      <c r="W20" t="s">
        <v>358</v>
      </c>
      <c r="X20" t="s">
        <v>359</v>
      </c>
      <c r="Y20" t="s">
        <v>360</v>
      </c>
      <c r="Z20">
        <v>5.9</v>
      </c>
      <c r="AA20">
        <v>18329</v>
      </c>
      <c r="AB20" t="s">
        <v>361</v>
      </c>
      <c r="AC20">
        <v>11</v>
      </c>
      <c r="AD20">
        <v>2021</v>
      </c>
      <c r="AE20">
        <v>45</v>
      </c>
      <c r="AF20" t="s">
        <v>362</v>
      </c>
      <c r="AG20">
        <v>7</v>
      </c>
      <c r="AH20">
        <v>18.4915804615854</v>
      </c>
      <c r="AI20">
        <v>2.3114475576981701</v>
      </c>
      <c r="AJ20" t="s">
        <v>61</v>
      </c>
      <c r="AK20" t="s">
        <v>363</v>
      </c>
      <c r="AL20">
        <v>55</v>
      </c>
      <c r="AM20">
        <v>3</v>
      </c>
      <c r="AN20">
        <v>61</v>
      </c>
      <c r="AO20">
        <v>0.05</v>
      </c>
      <c r="AP20" t="s">
        <v>63</v>
      </c>
      <c r="AQ20" t="s">
        <v>63</v>
      </c>
    </row>
    <row r="21" spans="1:43" x14ac:dyDescent="0.2">
      <c r="A21">
        <v>587668</v>
      </c>
      <c r="B21" t="s">
        <v>364</v>
      </c>
      <c r="C21">
        <v>6.7</v>
      </c>
      <c r="D21">
        <v>30</v>
      </c>
      <c r="E21" t="s">
        <v>44</v>
      </c>
      <c r="F21" s="1">
        <v>44512</v>
      </c>
      <c r="G21">
        <v>36006</v>
      </c>
      <c r="H21">
        <v>83</v>
      </c>
      <c r="I21">
        <v>1300000</v>
      </c>
      <c r="J21" t="s">
        <v>365</v>
      </c>
      <c r="K21" t="s">
        <v>366</v>
      </c>
      <c r="L21" t="s">
        <v>367</v>
      </c>
      <c r="M21" t="s">
        <v>368</v>
      </c>
      <c r="N21">
        <v>0.84670000000000001</v>
      </c>
      <c r="O21" t="s">
        <v>369</v>
      </c>
      <c r="P21" t="s">
        <v>49</v>
      </c>
      <c r="Q21" t="s">
        <v>370</v>
      </c>
      <c r="R21" t="s">
        <v>371</v>
      </c>
      <c r="S21" t="s">
        <v>372</v>
      </c>
      <c r="T21" t="s">
        <v>373</v>
      </c>
      <c r="U21" t="s">
        <v>374</v>
      </c>
      <c r="V21" t="s">
        <v>375</v>
      </c>
      <c r="W21" t="s">
        <v>374</v>
      </c>
      <c r="X21" t="s">
        <v>376</v>
      </c>
      <c r="Y21" t="s">
        <v>377</v>
      </c>
      <c r="Z21">
        <v>6.4</v>
      </c>
      <c r="AA21">
        <v>868</v>
      </c>
      <c r="AB21" t="s">
        <v>378</v>
      </c>
      <c r="AC21">
        <v>11</v>
      </c>
      <c r="AD21">
        <v>2021</v>
      </c>
      <c r="AE21">
        <v>45</v>
      </c>
      <c r="AF21" t="s">
        <v>379</v>
      </c>
      <c r="AG21">
        <v>9</v>
      </c>
      <c r="AH21">
        <v>10.4914686429808</v>
      </c>
      <c r="AI21">
        <v>1.0491468642980799</v>
      </c>
      <c r="AJ21" t="s">
        <v>61</v>
      </c>
      <c r="AK21" t="s">
        <v>380</v>
      </c>
      <c r="AL21">
        <v>5</v>
      </c>
      <c r="AM21">
        <v>2</v>
      </c>
      <c r="AN21">
        <v>25</v>
      </c>
      <c r="AO21">
        <v>0.08</v>
      </c>
      <c r="AP21" t="s">
        <v>63</v>
      </c>
      <c r="AQ21" t="s">
        <v>63</v>
      </c>
    </row>
    <row r="22" spans="1:43" x14ac:dyDescent="0.2">
      <c r="A22">
        <v>777270</v>
      </c>
      <c r="B22" t="s">
        <v>381</v>
      </c>
      <c r="C22">
        <v>7.0590000000000002</v>
      </c>
      <c r="D22">
        <v>1595</v>
      </c>
      <c r="E22" t="s">
        <v>44</v>
      </c>
      <c r="F22" s="1">
        <v>44512</v>
      </c>
      <c r="G22">
        <v>49158343</v>
      </c>
      <c r="H22">
        <v>98</v>
      </c>
      <c r="I22">
        <v>11000000</v>
      </c>
      <c r="J22" t="s">
        <v>382</v>
      </c>
      <c r="K22" t="s">
        <v>46</v>
      </c>
      <c r="L22" t="s">
        <v>381</v>
      </c>
      <c r="M22" t="s">
        <v>383</v>
      </c>
      <c r="N22">
        <v>3.6179000000000001</v>
      </c>
      <c r="O22" t="s">
        <v>384</v>
      </c>
      <c r="P22" t="s">
        <v>317</v>
      </c>
      <c r="Q22" t="s">
        <v>385</v>
      </c>
      <c r="R22" t="s">
        <v>70</v>
      </c>
      <c r="S22" t="s">
        <v>386</v>
      </c>
      <c r="T22" t="s">
        <v>387</v>
      </c>
      <c r="U22" t="s">
        <v>388</v>
      </c>
      <c r="V22" t="s">
        <v>389</v>
      </c>
      <c r="W22" t="s">
        <v>388</v>
      </c>
      <c r="X22" t="s">
        <v>390</v>
      </c>
      <c r="Y22" t="s">
        <v>391</v>
      </c>
      <c r="Z22">
        <v>7.2</v>
      </c>
      <c r="AA22">
        <v>99532</v>
      </c>
      <c r="AB22" t="s">
        <v>392</v>
      </c>
      <c r="AC22">
        <v>11</v>
      </c>
      <c r="AD22">
        <v>2021</v>
      </c>
      <c r="AE22">
        <v>45</v>
      </c>
      <c r="AF22" t="s">
        <v>393</v>
      </c>
      <c r="AG22">
        <v>9</v>
      </c>
      <c r="AH22">
        <v>17.710557156171198</v>
      </c>
      <c r="AI22">
        <v>1.7710557156171201</v>
      </c>
      <c r="AJ22" t="s">
        <v>61</v>
      </c>
      <c r="AK22" t="s">
        <v>394</v>
      </c>
      <c r="AL22">
        <v>33</v>
      </c>
      <c r="AM22">
        <v>1</v>
      </c>
      <c r="AN22">
        <v>74</v>
      </c>
      <c r="AO22">
        <v>0.01</v>
      </c>
      <c r="AP22" t="s">
        <v>63</v>
      </c>
      <c r="AQ22" t="s">
        <v>63</v>
      </c>
    </row>
    <row r="23" spans="1:43" x14ac:dyDescent="0.2">
      <c r="A23">
        <v>425909</v>
      </c>
      <c r="B23" t="s">
        <v>395</v>
      </c>
      <c r="C23">
        <v>7.335</v>
      </c>
      <c r="D23">
        <v>4939</v>
      </c>
      <c r="E23" t="s">
        <v>44</v>
      </c>
      <c r="F23" s="1">
        <v>44518</v>
      </c>
      <c r="G23">
        <v>204334455</v>
      </c>
      <c r="H23">
        <v>124</v>
      </c>
      <c r="I23">
        <v>75000000</v>
      </c>
      <c r="J23" t="s">
        <v>396</v>
      </c>
      <c r="K23" t="s">
        <v>46</v>
      </c>
      <c r="L23" t="s">
        <v>395</v>
      </c>
      <c r="M23" t="s">
        <v>397</v>
      </c>
      <c r="N23">
        <v>5.5677000000000003</v>
      </c>
      <c r="O23" t="s">
        <v>398</v>
      </c>
      <c r="P23" t="s">
        <v>399</v>
      </c>
      <c r="Q23" t="s">
        <v>400</v>
      </c>
      <c r="R23" t="s">
        <v>354</v>
      </c>
      <c r="S23" t="s">
        <v>52</v>
      </c>
      <c r="T23" t="s">
        <v>401</v>
      </c>
      <c r="U23" t="s">
        <v>402</v>
      </c>
      <c r="V23" t="s">
        <v>403</v>
      </c>
      <c r="W23" t="s">
        <v>404</v>
      </c>
      <c r="X23" t="s">
        <v>405</v>
      </c>
      <c r="Y23" t="s">
        <v>406</v>
      </c>
      <c r="Z23">
        <v>7</v>
      </c>
      <c r="AA23">
        <v>236906</v>
      </c>
      <c r="AB23" t="s">
        <v>407</v>
      </c>
      <c r="AC23">
        <v>11</v>
      </c>
      <c r="AD23">
        <v>2021</v>
      </c>
      <c r="AE23">
        <v>46</v>
      </c>
      <c r="AF23" t="s">
        <v>408</v>
      </c>
      <c r="AG23">
        <v>15</v>
      </c>
      <c r="AH23">
        <v>19.135268699507598</v>
      </c>
      <c r="AI23">
        <v>1.19595429371922</v>
      </c>
      <c r="AJ23" t="s">
        <v>61</v>
      </c>
      <c r="AK23" t="s">
        <v>409</v>
      </c>
      <c r="AL23">
        <v>59</v>
      </c>
      <c r="AM23">
        <v>2</v>
      </c>
      <c r="AN23">
        <v>71</v>
      </c>
      <c r="AO23">
        <v>0.03</v>
      </c>
      <c r="AP23" t="s">
        <v>63</v>
      </c>
      <c r="AQ23" t="s">
        <v>63</v>
      </c>
    </row>
    <row r="24" spans="1:43" x14ac:dyDescent="0.2">
      <c r="A24">
        <v>614917</v>
      </c>
      <c r="B24" t="s">
        <v>410</v>
      </c>
      <c r="C24">
        <v>7.617</v>
      </c>
      <c r="D24">
        <v>2697</v>
      </c>
      <c r="E24" t="s">
        <v>44</v>
      </c>
      <c r="F24" s="1">
        <v>44518</v>
      </c>
      <c r="G24">
        <v>39400000</v>
      </c>
      <c r="H24">
        <v>144</v>
      </c>
      <c r="I24">
        <v>50000000</v>
      </c>
      <c r="J24" t="s">
        <v>411</v>
      </c>
      <c r="K24" t="s">
        <v>46</v>
      </c>
      <c r="L24" t="s">
        <v>410</v>
      </c>
      <c r="M24" t="s">
        <v>412</v>
      </c>
      <c r="N24">
        <v>15.677899999999999</v>
      </c>
      <c r="O24" t="s">
        <v>413</v>
      </c>
      <c r="P24" t="s">
        <v>317</v>
      </c>
      <c r="Q24" t="s">
        <v>414</v>
      </c>
      <c r="R24" t="s">
        <v>87</v>
      </c>
      <c r="S24" t="s">
        <v>52</v>
      </c>
      <c r="T24" t="s">
        <v>415</v>
      </c>
      <c r="U24" t="s">
        <v>416</v>
      </c>
      <c r="V24" t="s">
        <v>417</v>
      </c>
      <c r="W24" t="s">
        <v>418</v>
      </c>
      <c r="X24" t="s">
        <v>419</v>
      </c>
      <c r="Y24" t="s">
        <v>420</v>
      </c>
      <c r="Z24">
        <v>7.5</v>
      </c>
      <c r="AA24">
        <v>150227</v>
      </c>
      <c r="AB24" t="s">
        <v>421</v>
      </c>
      <c r="AC24">
        <v>11</v>
      </c>
      <c r="AD24">
        <v>2021</v>
      </c>
      <c r="AE24">
        <v>46</v>
      </c>
      <c r="AF24" t="s">
        <v>422</v>
      </c>
      <c r="AG24">
        <v>15</v>
      </c>
      <c r="AH24">
        <v>17.489276399648801</v>
      </c>
      <c r="AI24">
        <v>1.0930797749780501</v>
      </c>
      <c r="AJ24" t="s">
        <v>61</v>
      </c>
      <c r="AK24" t="s">
        <v>423</v>
      </c>
      <c r="AL24">
        <v>46</v>
      </c>
      <c r="AM24">
        <v>3</v>
      </c>
      <c r="AN24">
        <v>66</v>
      </c>
      <c r="AO24">
        <v>0.05</v>
      </c>
      <c r="AP24" t="s">
        <v>63</v>
      </c>
      <c r="AQ24" t="s">
        <v>63</v>
      </c>
    </row>
    <row r="25" spans="1:43" x14ac:dyDescent="0.2">
      <c r="A25">
        <v>460458</v>
      </c>
      <c r="B25" t="s">
        <v>424</v>
      </c>
      <c r="C25">
        <v>5.9530000000000003</v>
      </c>
      <c r="D25">
        <v>2596</v>
      </c>
      <c r="E25" t="s">
        <v>44</v>
      </c>
      <c r="F25" s="1">
        <v>44524</v>
      </c>
      <c r="G25">
        <v>41914915</v>
      </c>
      <c r="H25">
        <v>107</v>
      </c>
      <c r="I25">
        <v>25000000</v>
      </c>
      <c r="J25" t="s">
        <v>425</v>
      </c>
      <c r="K25" t="s">
        <v>46</v>
      </c>
      <c r="L25" t="s">
        <v>424</v>
      </c>
      <c r="M25" t="s">
        <v>426</v>
      </c>
      <c r="N25">
        <v>5.7454999999999998</v>
      </c>
      <c r="O25" t="s">
        <v>427</v>
      </c>
      <c r="P25" t="s">
        <v>428</v>
      </c>
      <c r="Q25" t="s">
        <v>429</v>
      </c>
      <c r="R25" t="s">
        <v>430</v>
      </c>
      <c r="S25" t="s">
        <v>52</v>
      </c>
      <c r="T25" t="s">
        <v>431</v>
      </c>
      <c r="U25" t="s">
        <v>432</v>
      </c>
      <c r="V25" t="s">
        <v>433</v>
      </c>
      <c r="W25" t="s">
        <v>432</v>
      </c>
      <c r="X25" t="s">
        <v>434</v>
      </c>
      <c r="Y25" t="s">
        <v>435</v>
      </c>
      <c r="Z25">
        <v>5.2</v>
      </c>
      <c r="AA25">
        <v>69998</v>
      </c>
      <c r="AB25" t="s">
        <v>436</v>
      </c>
      <c r="AC25">
        <v>11</v>
      </c>
      <c r="AD25">
        <v>2021</v>
      </c>
      <c r="AE25">
        <v>47</v>
      </c>
      <c r="AF25" t="s">
        <v>437</v>
      </c>
      <c r="AG25">
        <v>21</v>
      </c>
      <c r="AH25">
        <v>17.551152311996201</v>
      </c>
      <c r="AI25">
        <v>0.79777965054528399</v>
      </c>
      <c r="AJ25" t="s">
        <v>61</v>
      </c>
      <c r="AK25" t="s">
        <v>438</v>
      </c>
      <c r="AL25">
        <v>46</v>
      </c>
      <c r="AM25">
        <v>5</v>
      </c>
      <c r="AN25">
        <v>56</v>
      </c>
      <c r="AO25">
        <v>0.09</v>
      </c>
      <c r="AP25" t="s">
        <v>63</v>
      </c>
      <c r="AQ25" t="s">
        <v>63</v>
      </c>
    </row>
    <row r="26" spans="1:43" x14ac:dyDescent="0.2">
      <c r="A26">
        <v>644495</v>
      </c>
      <c r="B26" t="s">
        <v>439</v>
      </c>
      <c r="C26">
        <v>6.6</v>
      </c>
      <c r="D26">
        <v>3274</v>
      </c>
      <c r="E26" t="s">
        <v>44</v>
      </c>
      <c r="F26" s="1">
        <v>44524</v>
      </c>
      <c r="G26">
        <v>153235995</v>
      </c>
      <c r="H26">
        <v>158</v>
      </c>
      <c r="I26">
        <v>75000000</v>
      </c>
      <c r="J26" t="s">
        <v>440</v>
      </c>
      <c r="K26" t="s">
        <v>46</v>
      </c>
      <c r="L26" t="s">
        <v>439</v>
      </c>
      <c r="M26" t="s">
        <v>441</v>
      </c>
      <c r="N26">
        <v>3.9740000000000002</v>
      </c>
      <c r="O26" t="s">
        <v>442</v>
      </c>
      <c r="P26" t="s">
        <v>443</v>
      </c>
      <c r="Q26" t="s">
        <v>444</v>
      </c>
      <c r="R26" t="s">
        <v>354</v>
      </c>
      <c r="S26" t="s">
        <v>445</v>
      </c>
      <c r="T26" t="s">
        <v>446</v>
      </c>
      <c r="U26" t="s">
        <v>190</v>
      </c>
      <c r="V26" t="s">
        <v>191</v>
      </c>
      <c r="W26" t="s">
        <v>447</v>
      </c>
      <c r="X26" t="s">
        <v>448</v>
      </c>
      <c r="Y26" t="s">
        <v>194</v>
      </c>
      <c r="Z26">
        <v>6.6</v>
      </c>
      <c r="AA26">
        <v>171609</v>
      </c>
      <c r="AB26" t="s">
        <v>449</v>
      </c>
      <c r="AC26">
        <v>11</v>
      </c>
      <c r="AD26">
        <v>2021</v>
      </c>
      <c r="AE26">
        <v>47</v>
      </c>
      <c r="AF26" t="s">
        <v>450</v>
      </c>
      <c r="AG26">
        <v>21</v>
      </c>
      <c r="AH26">
        <v>18.8474897485073</v>
      </c>
      <c r="AI26">
        <v>0.85670407947760396</v>
      </c>
      <c r="AJ26" t="s">
        <v>61</v>
      </c>
      <c r="AK26" t="s">
        <v>451</v>
      </c>
      <c r="AL26">
        <v>55</v>
      </c>
      <c r="AM26">
        <v>0</v>
      </c>
      <c r="AN26">
        <v>68</v>
      </c>
      <c r="AO26">
        <v>0</v>
      </c>
      <c r="AP26" t="s">
        <v>63</v>
      </c>
      <c r="AQ26" t="s">
        <v>63</v>
      </c>
    </row>
    <row r="27" spans="1:43" x14ac:dyDescent="0.2">
      <c r="A27">
        <v>884452</v>
      </c>
      <c r="B27" t="s">
        <v>452</v>
      </c>
      <c r="C27">
        <v>6</v>
      </c>
      <c r="D27">
        <v>54</v>
      </c>
      <c r="E27" t="s">
        <v>44</v>
      </c>
      <c r="F27" s="1">
        <v>44525</v>
      </c>
      <c r="G27">
        <v>5218666</v>
      </c>
      <c r="H27">
        <v>110</v>
      </c>
      <c r="I27">
        <v>40000000</v>
      </c>
      <c r="J27" t="s">
        <v>453</v>
      </c>
      <c r="K27" t="s">
        <v>454</v>
      </c>
      <c r="L27" t="s">
        <v>455</v>
      </c>
      <c r="M27" t="s">
        <v>456</v>
      </c>
      <c r="N27">
        <v>4.0541</v>
      </c>
      <c r="O27" t="s">
        <v>457</v>
      </c>
      <c r="P27" t="s">
        <v>458</v>
      </c>
      <c r="Q27" t="s">
        <v>459</v>
      </c>
      <c r="R27" t="s">
        <v>460</v>
      </c>
      <c r="S27" t="s">
        <v>461</v>
      </c>
      <c r="T27" t="s">
        <v>462</v>
      </c>
      <c r="U27" t="s">
        <v>463</v>
      </c>
      <c r="W27" t="s">
        <v>464</v>
      </c>
      <c r="X27" t="s">
        <v>465</v>
      </c>
      <c r="Y27" t="s">
        <v>194</v>
      </c>
      <c r="Z27">
        <v>6.1</v>
      </c>
      <c r="AA27">
        <v>2743</v>
      </c>
      <c r="AB27" t="s">
        <v>466</v>
      </c>
      <c r="AC27">
        <v>11</v>
      </c>
      <c r="AD27">
        <v>2021</v>
      </c>
      <c r="AE27">
        <v>47</v>
      </c>
      <c r="AF27" t="s">
        <v>467</v>
      </c>
      <c r="AG27">
        <v>22</v>
      </c>
      <c r="AH27">
        <v>15.4677525632632</v>
      </c>
      <c r="AI27">
        <v>0.67251098101144402</v>
      </c>
      <c r="AJ27" t="s">
        <v>61</v>
      </c>
      <c r="AK27" t="s">
        <v>468</v>
      </c>
      <c r="AL27">
        <v>8</v>
      </c>
      <c r="AM27">
        <v>8</v>
      </c>
      <c r="AN27">
        <v>20</v>
      </c>
      <c r="AO27">
        <v>0.4</v>
      </c>
      <c r="AP27" t="s">
        <v>63</v>
      </c>
      <c r="AQ27" t="s">
        <v>63</v>
      </c>
    </row>
    <row r="28" spans="1:43" x14ac:dyDescent="0.2">
      <c r="A28">
        <v>438695</v>
      </c>
      <c r="B28" t="s">
        <v>469</v>
      </c>
      <c r="C28">
        <v>7.8</v>
      </c>
      <c r="D28">
        <v>4647</v>
      </c>
      <c r="E28" t="s">
        <v>44</v>
      </c>
      <c r="F28" s="1">
        <v>44531</v>
      </c>
      <c r="G28">
        <v>408402685</v>
      </c>
      <c r="H28">
        <v>109</v>
      </c>
      <c r="I28">
        <v>85000000</v>
      </c>
      <c r="J28" t="s">
        <v>470</v>
      </c>
      <c r="K28" t="s">
        <v>46</v>
      </c>
      <c r="L28" t="s">
        <v>469</v>
      </c>
      <c r="M28" t="s">
        <v>471</v>
      </c>
      <c r="N28">
        <v>12.7745</v>
      </c>
      <c r="O28" t="s">
        <v>472</v>
      </c>
      <c r="P28" t="s">
        <v>473</v>
      </c>
      <c r="Q28" t="s">
        <v>474</v>
      </c>
      <c r="R28" t="s">
        <v>87</v>
      </c>
      <c r="S28" t="s">
        <v>52</v>
      </c>
      <c r="T28" t="s">
        <v>475</v>
      </c>
      <c r="U28" t="s">
        <v>476</v>
      </c>
      <c r="W28" t="s">
        <v>476</v>
      </c>
      <c r="X28" t="s">
        <v>477</v>
      </c>
      <c r="Y28" t="s">
        <v>478</v>
      </c>
      <c r="Z28">
        <v>7.3</v>
      </c>
      <c r="AA28">
        <v>98328</v>
      </c>
      <c r="AB28" t="s">
        <v>479</v>
      </c>
      <c r="AC28">
        <v>12</v>
      </c>
      <c r="AD28">
        <v>2021</v>
      </c>
      <c r="AE28">
        <v>48</v>
      </c>
      <c r="AF28" t="s">
        <v>480</v>
      </c>
      <c r="AG28">
        <v>28</v>
      </c>
      <c r="AH28">
        <v>19.8277642211185</v>
      </c>
      <c r="AI28">
        <v>0.68371600762477802</v>
      </c>
      <c r="AJ28" t="s">
        <v>61</v>
      </c>
      <c r="AK28" t="s">
        <v>481</v>
      </c>
      <c r="AL28">
        <v>56</v>
      </c>
      <c r="AM28">
        <v>2</v>
      </c>
      <c r="AN28">
        <v>65</v>
      </c>
      <c r="AO28">
        <v>0.03</v>
      </c>
      <c r="AP28" t="s">
        <v>63</v>
      </c>
      <c r="AQ28" t="s">
        <v>63</v>
      </c>
    </row>
    <row r="29" spans="1:43" x14ac:dyDescent="0.2">
      <c r="A29">
        <v>597208</v>
      </c>
      <c r="B29" t="s">
        <v>482</v>
      </c>
      <c r="C29">
        <v>6.9640000000000004</v>
      </c>
      <c r="D29">
        <v>3172</v>
      </c>
      <c r="E29" t="s">
        <v>44</v>
      </c>
      <c r="F29" s="1">
        <v>44532</v>
      </c>
      <c r="G29">
        <v>39629195</v>
      </c>
      <c r="H29">
        <v>151</v>
      </c>
      <c r="I29">
        <v>60000000</v>
      </c>
      <c r="J29" t="s">
        <v>483</v>
      </c>
      <c r="K29" t="s">
        <v>46</v>
      </c>
      <c r="L29" t="s">
        <v>482</v>
      </c>
      <c r="M29" t="s">
        <v>484</v>
      </c>
      <c r="N29">
        <v>5.6654999999999998</v>
      </c>
      <c r="O29" t="s">
        <v>485</v>
      </c>
      <c r="P29" t="s">
        <v>486</v>
      </c>
      <c r="Q29" t="s">
        <v>487</v>
      </c>
      <c r="R29" t="s">
        <v>87</v>
      </c>
      <c r="S29" t="s">
        <v>52</v>
      </c>
      <c r="T29" t="s">
        <v>488</v>
      </c>
      <c r="U29" t="s">
        <v>489</v>
      </c>
      <c r="V29" t="s">
        <v>490</v>
      </c>
      <c r="W29" t="s">
        <v>491</v>
      </c>
      <c r="X29" t="s">
        <v>492</v>
      </c>
      <c r="Y29" t="s">
        <v>493</v>
      </c>
      <c r="Z29">
        <v>7</v>
      </c>
      <c r="AA29">
        <v>178809</v>
      </c>
      <c r="AB29" t="s">
        <v>494</v>
      </c>
      <c r="AC29">
        <v>12</v>
      </c>
      <c r="AD29">
        <v>2021</v>
      </c>
      <c r="AE29">
        <v>48</v>
      </c>
      <c r="AF29" t="s">
        <v>495</v>
      </c>
      <c r="AG29">
        <v>29</v>
      </c>
      <c r="AH29">
        <v>17.495076677299899</v>
      </c>
      <c r="AI29">
        <v>0.58316922257666504</v>
      </c>
      <c r="AJ29" t="s">
        <v>61</v>
      </c>
      <c r="AK29" t="s">
        <v>496</v>
      </c>
      <c r="AL29">
        <v>49</v>
      </c>
      <c r="AM29">
        <v>2</v>
      </c>
      <c r="AN29">
        <v>61</v>
      </c>
      <c r="AO29">
        <v>0.03</v>
      </c>
      <c r="AP29" t="s">
        <v>63</v>
      </c>
      <c r="AQ29" t="s">
        <v>63</v>
      </c>
    </row>
    <row r="30" spans="1:43" x14ac:dyDescent="0.2">
      <c r="A30">
        <v>511809</v>
      </c>
      <c r="B30" t="s">
        <v>497</v>
      </c>
      <c r="C30">
        <v>6.9550000000000001</v>
      </c>
      <c r="D30">
        <v>1688</v>
      </c>
      <c r="E30" t="s">
        <v>44</v>
      </c>
      <c r="F30" s="1">
        <v>44538</v>
      </c>
      <c r="G30">
        <v>76016171</v>
      </c>
      <c r="H30">
        <v>156</v>
      </c>
      <c r="I30">
        <v>100000000</v>
      </c>
      <c r="J30" t="s">
        <v>498</v>
      </c>
      <c r="K30" t="s">
        <v>46</v>
      </c>
      <c r="L30" t="s">
        <v>497</v>
      </c>
      <c r="M30" t="s">
        <v>499</v>
      </c>
      <c r="N30">
        <v>3.0510999999999999</v>
      </c>
      <c r="O30" t="s">
        <v>500</v>
      </c>
      <c r="P30" t="s">
        <v>501</v>
      </c>
      <c r="Q30" t="s">
        <v>502</v>
      </c>
      <c r="R30" t="s">
        <v>87</v>
      </c>
      <c r="S30" t="s">
        <v>173</v>
      </c>
      <c r="T30" t="s">
        <v>503</v>
      </c>
      <c r="U30" t="s">
        <v>504</v>
      </c>
      <c r="V30" t="s">
        <v>505</v>
      </c>
      <c r="W30" t="s">
        <v>506</v>
      </c>
      <c r="X30" t="s">
        <v>507</v>
      </c>
      <c r="Y30" t="s">
        <v>508</v>
      </c>
      <c r="Z30">
        <v>7.1</v>
      </c>
      <c r="AA30">
        <v>104058</v>
      </c>
      <c r="AB30" t="s">
        <v>509</v>
      </c>
      <c r="AC30">
        <v>12</v>
      </c>
      <c r="AD30">
        <v>2021</v>
      </c>
      <c r="AE30">
        <v>49</v>
      </c>
      <c r="AF30" t="s">
        <v>510</v>
      </c>
      <c r="AG30">
        <v>35</v>
      </c>
      <c r="AH30">
        <v>18.146456665087801</v>
      </c>
      <c r="AI30">
        <v>0.50406824069688305</v>
      </c>
      <c r="AJ30" t="s">
        <v>61</v>
      </c>
      <c r="AK30" t="s">
        <v>511</v>
      </c>
      <c r="AL30">
        <v>57</v>
      </c>
      <c r="AM30">
        <v>1</v>
      </c>
      <c r="AN30">
        <v>71</v>
      </c>
      <c r="AO30">
        <v>0.01</v>
      </c>
      <c r="AP30" t="s">
        <v>63</v>
      </c>
      <c r="AQ30" t="s">
        <v>63</v>
      </c>
    </row>
    <row r="31" spans="1:43" hidden="1" x14ac:dyDescent="0.2">
      <c r="A31">
        <v>646380</v>
      </c>
      <c r="B31" t="s">
        <v>512</v>
      </c>
      <c r="C31">
        <v>7.0670000000000002</v>
      </c>
      <c r="D31">
        <v>8866</v>
      </c>
      <c r="E31" t="s">
        <v>44</v>
      </c>
      <c r="F31" s="1">
        <v>44538</v>
      </c>
      <c r="G31">
        <v>791863</v>
      </c>
      <c r="H31">
        <v>138</v>
      </c>
      <c r="I31">
        <v>75000000</v>
      </c>
      <c r="J31" t="s">
        <v>513</v>
      </c>
      <c r="K31" t="s">
        <v>46</v>
      </c>
      <c r="L31" t="s">
        <v>512</v>
      </c>
      <c r="M31" t="s">
        <v>514</v>
      </c>
      <c r="N31">
        <v>6.7548000000000004</v>
      </c>
      <c r="O31" t="s">
        <v>515</v>
      </c>
      <c r="P31" t="s">
        <v>516</v>
      </c>
      <c r="Q31" t="s">
        <v>517</v>
      </c>
      <c r="R31" t="s">
        <v>87</v>
      </c>
      <c r="S31" t="s">
        <v>52</v>
      </c>
      <c r="T31" t="s">
        <v>518</v>
      </c>
      <c r="U31" t="s">
        <v>519</v>
      </c>
      <c r="V31" t="s">
        <v>74</v>
      </c>
      <c r="W31" t="s">
        <v>520</v>
      </c>
      <c r="X31" t="s">
        <v>521</v>
      </c>
      <c r="Y31" t="s">
        <v>522</v>
      </c>
      <c r="Z31">
        <v>7.2</v>
      </c>
      <c r="AA31">
        <v>653842</v>
      </c>
      <c r="AB31" t="s">
        <v>523</v>
      </c>
      <c r="AC31">
        <v>12</v>
      </c>
      <c r="AD31">
        <v>2021</v>
      </c>
      <c r="AE31">
        <v>49</v>
      </c>
      <c r="AF31" t="s">
        <v>524</v>
      </c>
      <c r="AG31">
        <v>35</v>
      </c>
      <c r="AH31">
        <v>13.582144938879701</v>
      </c>
      <c r="AI31">
        <v>0.37728180385777099</v>
      </c>
      <c r="AJ31" t="s">
        <v>61</v>
      </c>
      <c r="AK31" t="s">
        <v>525</v>
      </c>
      <c r="AL31">
        <v>7</v>
      </c>
      <c r="AM31">
        <v>32</v>
      </c>
      <c r="AN31">
        <v>61</v>
      </c>
      <c r="AO31">
        <v>0.52</v>
      </c>
      <c r="AP31" t="s">
        <v>131</v>
      </c>
      <c r="AQ31" t="s">
        <v>63</v>
      </c>
    </row>
    <row r="32" spans="1:43" x14ac:dyDescent="0.2">
      <c r="A32">
        <v>748618</v>
      </c>
      <c r="B32" t="s">
        <v>526</v>
      </c>
      <c r="C32">
        <v>6.9</v>
      </c>
      <c r="D32">
        <v>22</v>
      </c>
      <c r="E32" t="s">
        <v>44</v>
      </c>
      <c r="F32" s="1">
        <v>44540</v>
      </c>
      <c r="G32">
        <v>74441</v>
      </c>
      <c r="H32">
        <v>141</v>
      </c>
      <c r="I32">
        <v>15000000</v>
      </c>
      <c r="J32" t="s">
        <v>527</v>
      </c>
      <c r="K32" t="s">
        <v>46</v>
      </c>
      <c r="L32" t="s">
        <v>526</v>
      </c>
      <c r="M32" t="s">
        <v>528</v>
      </c>
      <c r="N32">
        <v>2.4598</v>
      </c>
      <c r="O32" t="s">
        <v>529</v>
      </c>
      <c r="P32" t="s">
        <v>186</v>
      </c>
      <c r="Q32" t="s">
        <v>530</v>
      </c>
      <c r="R32" t="s">
        <v>531</v>
      </c>
      <c r="S32" t="s">
        <v>52</v>
      </c>
      <c r="T32" t="s">
        <v>532</v>
      </c>
      <c r="U32" t="s">
        <v>533</v>
      </c>
      <c r="V32" t="s">
        <v>534</v>
      </c>
      <c r="W32" t="s">
        <v>535</v>
      </c>
      <c r="X32" t="s">
        <v>536</v>
      </c>
      <c r="Y32" t="s">
        <v>537</v>
      </c>
      <c r="Z32">
        <v>5.7</v>
      </c>
      <c r="AA32">
        <v>15060</v>
      </c>
      <c r="AB32" t="s">
        <v>538</v>
      </c>
      <c r="AC32">
        <v>12</v>
      </c>
      <c r="AD32">
        <v>2021</v>
      </c>
      <c r="AE32">
        <v>49</v>
      </c>
      <c r="AF32" t="s">
        <v>539</v>
      </c>
      <c r="AG32">
        <v>37</v>
      </c>
      <c r="AH32">
        <v>11.217775577670899</v>
      </c>
      <c r="AI32">
        <v>0.29520462046502399</v>
      </c>
      <c r="AJ32" t="s">
        <v>61</v>
      </c>
      <c r="AK32" t="s">
        <v>540</v>
      </c>
      <c r="AL32">
        <v>6</v>
      </c>
      <c r="AM32">
        <v>1</v>
      </c>
      <c r="AN32">
        <v>8</v>
      </c>
      <c r="AO32">
        <v>0.12</v>
      </c>
      <c r="AP32" t="s">
        <v>63</v>
      </c>
      <c r="AQ32" t="s">
        <v>63</v>
      </c>
    </row>
    <row r="33" spans="1:43" x14ac:dyDescent="0.2">
      <c r="A33">
        <v>823425</v>
      </c>
      <c r="B33" t="s">
        <v>541</v>
      </c>
      <c r="C33">
        <v>6.4420000000000002</v>
      </c>
      <c r="D33">
        <v>78</v>
      </c>
      <c r="E33" t="s">
        <v>44</v>
      </c>
      <c r="F33" s="1">
        <v>44540</v>
      </c>
      <c r="G33">
        <v>475488</v>
      </c>
      <c r="H33">
        <v>116</v>
      </c>
      <c r="I33">
        <v>8000000</v>
      </c>
      <c r="J33" t="s">
        <v>542</v>
      </c>
      <c r="K33" t="s">
        <v>46</v>
      </c>
      <c r="L33" t="s">
        <v>541</v>
      </c>
      <c r="M33" t="s">
        <v>543</v>
      </c>
      <c r="N33">
        <v>0.7671</v>
      </c>
      <c r="O33" t="s">
        <v>544</v>
      </c>
      <c r="P33" t="s">
        <v>49</v>
      </c>
      <c r="Q33" t="s">
        <v>545</v>
      </c>
      <c r="R33" t="s">
        <v>87</v>
      </c>
      <c r="S33" t="s">
        <v>52</v>
      </c>
      <c r="T33" t="s">
        <v>546</v>
      </c>
      <c r="U33" t="s">
        <v>547</v>
      </c>
      <c r="V33" t="s">
        <v>548</v>
      </c>
      <c r="W33" t="s">
        <v>549</v>
      </c>
      <c r="X33" t="s">
        <v>550</v>
      </c>
      <c r="Y33" t="s">
        <v>551</v>
      </c>
      <c r="Z33">
        <v>5.7</v>
      </c>
      <c r="AA33">
        <v>2085</v>
      </c>
      <c r="AB33" t="s">
        <v>552</v>
      </c>
      <c r="AC33">
        <v>12</v>
      </c>
      <c r="AD33">
        <v>2021</v>
      </c>
      <c r="AE33">
        <v>49</v>
      </c>
      <c r="AF33" t="s">
        <v>553</v>
      </c>
      <c r="AG33">
        <v>37</v>
      </c>
      <c r="AH33">
        <v>13.0720990271563</v>
      </c>
      <c r="AI33">
        <v>0.34400260597779803</v>
      </c>
      <c r="AJ33" t="s">
        <v>61</v>
      </c>
      <c r="AK33" t="s">
        <v>554</v>
      </c>
      <c r="AL33">
        <v>6</v>
      </c>
      <c r="AM33">
        <v>0</v>
      </c>
      <c r="AN33">
        <v>6</v>
      </c>
      <c r="AO33">
        <v>0</v>
      </c>
      <c r="AP33" t="s">
        <v>63</v>
      </c>
      <c r="AQ33" t="s">
        <v>63</v>
      </c>
    </row>
    <row r="34" spans="1:43" hidden="1" x14ac:dyDescent="0.2">
      <c r="A34">
        <v>554230</v>
      </c>
      <c r="B34" t="s">
        <v>555</v>
      </c>
      <c r="C34">
        <v>6.4859999999999998</v>
      </c>
      <c r="D34">
        <v>1027</v>
      </c>
      <c r="E34" t="s">
        <v>44</v>
      </c>
      <c r="F34" s="1">
        <v>44545</v>
      </c>
      <c r="G34">
        <v>703281</v>
      </c>
      <c r="H34">
        <v>122</v>
      </c>
      <c r="I34">
        <v>5000000</v>
      </c>
      <c r="J34" t="s">
        <v>556</v>
      </c>
      <c r="K34" t="s">
        <v>46</v>
      </c>
      <c r="L34" t="s">
        <v>555</v>
      </c>
      <c r="M34" t="s">
        <v>557</v>
      </c>
      <c r="N34">
        <v>1.7213000000000001</v>
      </c>
      <c r="O34" t="s">
        <v>558</v>
      </c>
      <c r="P34" t="s">
        <v>49</v>
      </c>
      <c r="Q34" t="s">
        <v>559</v>
      </c>
      <c r="R34" t="s">
        <v>560</v>
      </c>
      <c r="S34" t="s">
        <v>561</v>
      </c>
      <c r="T34" t="s">
        <v>562</v>
      </c>
      <c r="U34" t="s">
        <v>563</v>
      </c>
      <c r="V34" t="s">
        <v>564</v>
      </c>
      <c r="W34" t="s">
        <v>565</v>
      </c>
      <c r="X34" t="s">
        <v>566</v>
      </c>
      <c r="Y34" t="s">
        <v>567</v>
      </c>
      <c r="Z34">
        <v>6.7</v>
      </c>
      <c r="AA34">
        <v>79860</v>
      </c>
      <c r="AB34" t="s">
        <v>568</v>
      </c>
      <c r="AC34">
        <v>12</v>
      </c>
      <c r="AD34">
        <v>2021</v>
      </c>
      <c r="AE34">
        <v>50</v>
      </c>
      <c r="AF34" t="s">
        <v>569</v>
      </c>
      <c r="AG34">
        <v>42</v>
      </c>
      <c r="AH34">
        <v>13.463513228338501</v>
      </c>
      <c r="AI34">
        <v>0.31310495879857098</v>
      </c>
      <c r="AJ34" t="s">
        <v>61</v>
      </c>
      <c r="AK34" t="s">
        <v>570</v>
      </c>
      <c r="AL34">
        <v>18</v>
      </c>
      <c r="AM34">
        <v>22</v>
      </c>
      <c r="AN34">
        <v>65</v>
      </c>
      <c r="AO34">
        <v>0.34</v>
      </c>
      <c r="AP34" t="s">
        <v>131</v>
      </c>
      <c r="AQ34" t="s">
        <v>63</v>
      </c>
    </row>
    <row r="35" spans="1:43" x14ac:dyDescent="0.2">
      <c r="A35">
        <v>634649</v>
      </c>
      <c r="B35" t="s">
        <v>571</v>
      </c>
      <c r="C35">
        <v>7.9</v>
      </c>
      <c r="D35">
        <v>21259</v>
      </c>
      <c r="E35" t="s">
        <v>44</v>
      </c>
      <c r="F35" s="1">
        <v>44545</v>
      </c>
      <c r="G35">
        <v>1921847111</v>
      </c>
      <c r="H35">
        <v>148</v>
      </c>
      <c r="I35">
        <v>200000000</v>
      </c>
      <c r="J35" t="s">
        <v>572</v>
      </c>
      <c r="K35" t="s">
        <v>46</v>
      </c>
      <c r="L35" t="s">
        <v>571</v>
      </c>
      <c r="M35" t="s">
        <v>573</v>
      </c>
      <c r="N35">
        <v>16.731999999999999</v>
      </c>
      <c r="O35" t="s">
        <v>574</v>
      </c>
      <c r="P35" t="s">
        <v>575</v>
      </c>
      <c r="Q35" t="s">
        <v>576</v>
      </c>
      <c r="R35" t="s">
        <v>87</v>
      </c>
      <c r="S35" t="s">
        <v>577</v>
      </c>
      <c r="T35" t="s">
        <v>578</v>
      </c>
      <c r="U35" t="s">
        <v>579</v>
      </c>
      <c r="V35" t="s">
        <v>580</v>
      </c>
      <c r="W35" t="s">
        <v>581</v>
      </c>
      <c r="X35" t="s">
        <v>582</v>
      </c>
      <c r="Y35" t="s">
        <v>583</v>
      </c>
      <c r="Z35">
        <v>8.1999999999999993</v>
      </c>
      <c r="AA35">
        <v>985761</v>
      </c>
      <c r="AB35" t="s">
        <v>584</v>
      </c>
      <c r="AC35">
        <v>12</v>
      </c>
      <c r="AD35">
        <v>2021</v>
      </c>
      <c r="AE35">
        <v>50</v>
      </c>
      <c r="AF35" t="s">
        <v>585</v>
      </c>
      <c r="AG35">
        <v>42</v>
      </c>
      <c r="AH35">
        <v>21.376552598024599</v>
      </c>
      <c r="AI35">
        <v>0.49712913018661797</v>
      </c>
      <c r="AJ35" t="s">
        <v>61</v>
      </c>
      <c r="AK35" t="s">
        <v>586</v>
      </c>
      <c r="AL35">
        <v>69</v>
      </c>
      <c r="AM35">
        <v>1</v>
      </c>
      <c r="AN35">
        <v>113</v>
      </c>
      <c r="AO35">
        <v>0.01</v>
      </c>
      <c r="AP35" t="s">
        <v>63</v>
      </c>
      <c r="AQ35" t="s">
        <v>63</v>
      </c>
    </row>
    <row r="36" spans="1:43" x14ac:dyDescent="0.2">
      <c r="A36">
        <v>624860</v>
      </c>
      <c r="B36" t="s">
        <v>587</v>
      </c>
      <c r="C36">
        <v>6.359</v>
      </c>
      <c r="D36">
        <v>6162</v>
      </c>
      <c r="E36" t="s">
        <v>44</v>
      </c>
      <c r="F36" s="1">
        <v>44546</v>
      </c>
      <c r="G36">
        <v>156497322</v>
      </c>
      <c r="H36">
        <v>147</v>
      </c>
      <c r="I36">
        <v>190000000</v>
      </c>
      <c r="J36" t="s">
        <v>588</v>
      </c>
      <c r="K36" t="s">
        <v>46</v>
      </c>
      <c r="L36" t="s">
        <v>587</v>
      </c>
      <c r="M36" t="s">
        <v>589</v>
      </c>
      <c r="N36">
        <v>7.9762000000000004</v>
      </c>
      <c r="O36" t="s">
        <v>590</v>
      </c>
      <c r="P36" t="s">
        <v>85</v>
      </c>
      <c r="Q36" t="s">
        <v>591</v>
      </c>
      <c r="R36" t="s">
        <v>87</v>
      </c>
      <c r="S36" t="s">
        <v>52</v>
      </c>
      <c r="T36" t="s">
        <v>592</v>
      </c>
      <c r="U36" t="s">
        <v>593</v>
      </c>
      <c r="V36" t="s">
        <v>594</v>
      </c>
      <c r="W36" t="s">
        <v>595</v>
      </c>
      <c r="X36" t="s">
        <v>596</v>
      </c>
      <c r="Y36" t="s">
        <v>597</v>
      </c>
      <c r="Z36">
        <v>5.6</v>
      </c>
      <c r="AA36">
        <v>298107</v>
      </c>
      <c r="AB36" t="s">
        <v>598</v>
      </c>
      <c r="AC36">
        <v>12</v>
      </c>
      <c r="AD36">
        <v>2021</v>
      </c>
      <c r="AE36">
        <v>50</v>
      </c>
      <c r="AF36" t="s">
        <v>599</v>
      </c>
      <c r="AG36">
        <v>43</v>
      </c>
      <c r="AH36">
        <v>18.868549462366801</v>
      </c>
      <c r="AI36">
        <v>0.42883066959924698</v>
      </c>
      <c r="AJ36" t="s">
        <v>61</v>
      </c>
      <c r="AK36" t="s">
        <v>600</v>
      </c>
      <c r="AL36">
        <v>77</v>
      </c>
      <c r="AM36">
        <v>4</v>
      </c>
      <c r="AN36">
        <v>87</v>
      </c>
      <c r="AO36">
        <v>0.05</v>
      </c>
      <c r="AP36" t="s">
        <v>63</v>
      </c>
      <c r="AQ36" t="s">
        <v>63</v>
      </c>
    </row>
    <row r="37" spans="1:43" x14ac:dyDescent="0.2">
      <c r="A37">
        <v>730047</v>
      </c>
      <c r="B37" t="s">
        <v>601</v>
      </c>
      <c r="C37">
        <v>6.3460000000000001</v>
      </c>
      <c r="D37">
        <v>314</v>
      </c>
      <c r="E37" t="s">
        <v>44</v>
      </c>
      <c r="F37" s="1">
        <v>44547</v>
      </c>
      <c r="G37">
        <v>3000000</v>
      </c>
      <c r="H37">
        <v>122</v>
      </c>
      <c r="I37">
        <v>20000000</v>
      </c>
      <c r="J37" t="s">
        <v>602</v>
      </c>
      <c r="K37" t="s">
        <v>46</v>
      </c>
      <c r="L37" t="s">
        <v>601</v>
      </c>
      <c r="M37" t="s">
        <v>603</v>
      </c>
      <c r="N37">
        <v>6.8648999999999996</v>
      </c>
      <c r="O37" t="s">
        <v>604</v>
      </c>
      <c r="P37" t="s">
        <v>605</v>
      </c>
      <c r="Q37" t="s">
        <v>606</v>
      </c>
      <c r="R37" t="s">
        <v>607</v>
      </c>
      <c r="S37" t="s">
        <v>52</v>
      </c>
      <c r="T37" t="s">
        <v>608</v>
      </c>
      <c r="U37" t="s">
        <v>609</v>
      </c>
      <c r="V37" t="s">
        <v>610</v>
      </c>
      <c r="W37" t="s">
        <v>611</v>
      </c>
      <c r="X37" t="s">
        <v>612</v>
      </c>
      <c r="Y37" t="s">
        <v>613</v>
      </c>
      <c r="Z37">
        <v>6.4</v>
      </c>
      <c r="AA37">
        <v>15927</v>
      </c>
      <c r="AB37" t="s">
        <v>614</v>
      </c>
      <c r="AC37">
        <v>12</v>
      </c>
      <c r="AD37">
        <v>2021</v>
      </c>
      <c r="AE37">
        <v>50</v>
      </c>
      <c r="AF37" t="s">
        <v>615</v>
      </c>
      <c r="AG37">
        <v>44</v>
      </c>
      <c r="AH37">
        <v>14.9141231799656</v>
      </c>
      <c r="AI37">
        <v>0.33142495955479201</v>
      </c>
      <c r="AJ37" t="s">
        <v>61</v>
      </c>
      <c r="AK37" t="s">
        <v>616</v>
      </c>
      <c r="AL37">
        <v>35</v>
      </c>
      <c r="AM37">
        <v>1</v>
      </c>
      <c r="AN37">
        <v>47</v>
      </c>
      <c r="AO37">
        <v>0.02</v>
      </c>
      <c r="AP37" t="s">
        <v>63</v>
      </c>
      <c r="AQ37" t="s">
        <v>63</v>
      </c>
    </row>
    <row r="38" spans="1:43" x14ac:dyDescent="0.2">
      <c r="A38">
        <v>826749</v>
      </c>
      <c r="B38" t="s">
        <v>617</v>
      </c>
      <c r="C38">
        <v>5.7</v>
      </c>
      <c r="D38">
        <v>352</v>
      </c>
      <c r="E38" t="s">
        <v>44</v>
      </c>
      <c r="F38" s="1">
        <v>44547</v>
      </c>
      <c r="G38">
        <v>52169</v>
      </c>
      <c r="H38">
        <v>100</v>
      </c>
      <c r="I38">
        <v>20000000</v>
      </c>
      <c r="J38" t="s">
        <v>618</v>
      </c>
      <c r="K38" t="s">
        <v>46</v>
      </c>
      <c r="L38" t="s">
        <v>617</v>
      </c>
      <c r="M38" t="s">
        <v>619</v>
      </c>
      <c r="N38">
        <v>3.6286</v>
      </c>
      <c r="O38" t="s">
        <v>620</v>
      </c>
      <c r="P38" t="s">
        <v>621</v>
      </c>
      <c r="Q38" t="s">
        <v>622</v>
      </c>
      <c r="R38" t="s">
        <v>87</v>
      </c>
      <c r="S38" t="s">
        <v>52</v>
      </c>
      <c r="T38" t="s">
        <v>623</v>
      </c>
      <c r="U38" t="s">
        <v>624</v>
      </c>
      <c r="V38" t="s">
        <v>625</v>
      </c>
      <c r="W38" t="s">
        <v>626</v>
      </c>
      <c r="X38" t="s">
        <v>627</v>
      </c>
      <c r="Y38" t="s">
        <v>628</v>
      </c>
      <c r="Z38">
        <v>3.3</v>
      </c>
      <c r="AA38">
        <v>6118</v>
      </c>
      <c r="AB38" t="s">
        <v>629</v>
      </c>
      <c r="AC38">
        <v>12</v>
      </c>
      <c r="AD38">
        <v>2021</v>
      </c>
      <c r="AE38">
        <v>50</v>
      </c>
      <c r="AF38" t="s">
        <v>630</v>
      </c>
      <c r="AG38">
        <v>44</v>
      </c>
      <c r="AH38">
        <v>10.8622628960164</v>
      </c>
      <c r="AI38">
        <v>0.241383619911476</v>
      </c>
      <c r="AJ38" t="s">
        <v>61</v>
      </c>
      <c r="AK38" t="s">
        <v>631</v>
      </c>
      <c r="AL38">
        <v>6</v>
      </c>
      <c r="AM38">
        <v>6</v>
      </c>
      <c r="AN38">
        <v>26</v>
      </c>
      <c r="AO38">
        <v>0.23</v>
      </c>
      <c r="AP38" t="s">
        <v>63</v>
      </c>
      <c r="AQ38" t="s">
        <v>63</v>
      </c>
    </row>
    <row r="39" spans="1:43" x14ac:dyDescent="0.2">
      <c r="A39" t="s">
        <v>632</v>
      </c>
      <c r="AI39">
        <f>SUBTOTAL(109,Table1[score])</f>
        <v>40.611203550991448</v>
      </c>
      <c r="AQ39">
        <f>SUBTOTAL(103,Table1[error])</f>
        <v>32</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Eternals_attributes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ksarav</cp:lastModifiedBy>
  <dcterms:created xsi:type="dcterms:W3CDTF">2026-02-17T17:12:08Z</dcterms:created>
  <dcterms:modified xsi:type="dcterms:W3CDTF">2026-02-17T17:58:34Z</dcterms:modified>
</cp:coreProperties>
</file>