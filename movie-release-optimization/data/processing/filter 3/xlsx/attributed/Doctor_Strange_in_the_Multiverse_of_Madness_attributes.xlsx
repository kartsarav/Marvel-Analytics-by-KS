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0964B211-4A2C-044B-8CEE-58306EDF2A03}" xr6:coauthVersionLast="47" xr6:coauthVersionMax="47" xr10:uidLastSave="{00000000-0000-0000-0000-000000000000}"/>
  <bookViews>
    <workbookView xWindow="380" yWindow="80" windowWidth="28040" windowHeight="17180" xr2:uid="{90B437B8-DC3A-4140-B209-64B45722B4AB}"/>
  </bookViews>
  <sheets>
    <sheet name="Doctor_Strange_in_the_Multiv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35" i="1" l="1"/>
  <c r="AQ35" i="1"/>
</calcChain>
</file>

<file path=xl/sharedStrings.xml><?xml version="1.0" encoding="utf-8"?>
<sst xmlns="http://schemas.openxmlformats.org/spreadsheetml/2006/main" count="801" uniqueCount="578">
  <si>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</si>
  <si>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</si>
  <si>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</si>
  <si>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</si>
  <si>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</si>
  <si>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</si>
  <si>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</si>
  <si>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</si>
  <si>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</si>
  <si>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</si>
  <si>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</si>
  <si>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</si>
  <si>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</si>
  <si>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</si>
  <si>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</si>
  <si>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</si>
  <si>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</si>
  <si>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</si>
  <si>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</si>
  <si>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</si>
  <si>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</si>
  <si>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</si>
  <si>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</si>
  <si>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</si>
  <si>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</si>
  <si>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</si>
  <si>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</si>
  <si>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</si>
  <si>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</si>
  <si>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</si>
  <si>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</si>
  <si>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</si>
  <si>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</si>
  <si>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</si>
  <si>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</si>
  <si>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</si>
  <si>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</si>
  <si>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</si>
  <si>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</si>
  <si>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</si>
  <si>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</si>
  <si>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</si>
  <si>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</si>
  <si>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The Lost City</t>
  </si>
  <si>
    <t>Released</t>
  </si>
  <si>
    <t>tt13320622</t>
  </si>
  <si>
    <t>en</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</si>
  <si>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</si>
  <si>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The adventure is real. The heroes are not.</t>
  </si>
  <si>
    <t>Action, Adventure, Comedy</t>
  </si>
  <si>
    <t>fortis films, 3dot productions, exhibit a</t>
  </si>
  <si>
    <t>United States of America</t>
  </si>
  <si>
    <t>English, Fran‚àö√üais, Latin, Portugu‚àö‚Ñ¢s, Espa‚àö¬±ol</t>
  </si>
  <si>
    <t>Da'Vine Joy Randolph, H‚àö¬©ctor An‚àö‚â†bal, Daniel Radcliffe, Luinis Olaverria, Adam Nee, Jonathan Lev, Oscar Nu‚àö¬±ez, Patti Harrison, Raymond Lee, Sandra Bullock, Joan Pringle, Anthony Alvarez, Ryan Judd, Wilson Ure‚àö¬±a, Omar Patin, Marcos S‚àö¬∞nchez, Cynthia Guzm‚àö¬∞n, Sli Lewis, Roger Wasserman, Channing Tatum, Olga Buccarelli, Carolina Rohana, Edwin Polanco, Bowen Yang, Alex Schoenauer, Thomas Forbes-Johnson, Ryan Orr, Marcy Jarreau, Zachary Steel, Danny Radhames Vasquez Castillo, Katherine Montes, Brad Pitt, Toussaint Merionne, Emerson Gonzalez, Stephen Lang</t>
  </si>
  <si>
    <t>Aaron Nee, Adam Nee</t>
  </si>
  <si>
    <t>Jonathan Sela</t>
  </si>
  <si>
    <t>Aaron Nee, Dana Fox, Seth Gordon, Adam Nee, Oren Uziel</t>
  </si>
  <si>
    <t>Liza Chasin, Sandra Bullock, Seth Gordon, Margaret Chernin, Jonathan Hook, Julia Gunn</t>
  </si>
  <si>
    <t>Pinar Toprak</t>
  </si>
  <si>
    <t>/rnheO8cFvCYcmZsDrBoabJbKLFE.jpg</t>
  </si>
  <si>
    <t>the lost city</t>
  </si>
  <si>
    <t>doctor strange in the multiverse of madness</t>
  </si>
  <si>
    <t>south by southwest film festival (1), premiere (1), blank (51), sonoma international film festival (1), internet (3), tv premiere (1)</t>
  </si>
  <si>
    <t>no</t>
  </si>
  <si>
    <t>Everything Everywhere All at Once</t>
  </si>
  <si>
    <t>tt6710474</t>
  </si>
  <si>
    <t>An aging Chinese immigrant is swept up in an insane adventure, where she alone can save what's important to her by connecting with the lives she could have led in other universes.</t>
  </si>
  <si>
    <t>The universe is so much bigger than you realize.</t>
  </si>
  <si>
    <t>Action, Adventure, Science Fiction</t>
  </si>
  <si>
    <t>iac films, agbo, ley line entertainment, year of the rat</t>
  </si>
  <si>
    <t>√ÇœÄ√∏√Ç‚àë√ª√ã√ò√π / √Ç¬™¬£√Ç‚àë√ª√ã¬©¬±, √ä√¥√Ü√à√Ñ√∂√ã√ò√π, English</t>
  </si>
  <si>
    <t>James Hong, Peter Banifaz, Harry Shum Jr., Hiroshi Yada, Michelle Yeoh, Stephanie Hsu, Audrey Wasilewski, Biff Wiff, Randy Newman, Jane Lui, Narayana Cabral, Timothy Eulich, Andy Le, Dan Brown, Craig Henningsen, Cara Marie Chooljian, Jenny Slate, Timothy Ralston, Daniel Scheinert, Aaron Lazar, Jason Hamer, Randall Archer, Sunita Mani, Brian Le, Dylan Henry Lau, Michiko Nishiwaki, Boon Pin Koh, Chelsey Goldsmith, Waymond Lee, Amanda MacLeod, Li Jing, Tallie Medel, Efka Kvaraciejus, Ke Huy Quan, Jamie Lee Curtis, Anthony Molinari, Anthony N.</t>
  </si>
  <si>
    <t>Daniel Scheinert, Daniel Kwan</t>
  </si>
  <si>
    <t>Larkin Seiple</t>
  </si>
  <si>
    <t>Daniel Scheinert, Josh Rudnick, Tim Headington, Jonathan Wang, Daniel Kwan, Joe Russo, Mike Larocca, Virginie Besson-Silla, Theresa Steele Page, Anthony Russo</t>
  </si>
  <si>
    <t>Ian Chang, Rafiq Bhatia, Ryan Lott</t>
  </si>
  <si>
    <t>/u68AjlvlutfEIcpmbYpKcdi09ut.jpg</t>
  </si>
  <si>
    <t>everything everywhere all at once</t>
  </si>
  <si>
    <t>south by southwest film festival (1), blank (50), internet (5), limited (1), opening film (1), golden horse fantastic film festival (1), guadalajara (1), premiere (1), festival internacional de cine de guadalajara (1), german speaking region (1), brussels international film festival (1), neuch√¢tel international fantastic film festival (1), extended version (2), dvd premiere (2), french speaking region (1), busan international film festival (1), tv release (2), italian speaking region (1), moma - the contenders (1), greek film archive (1), re-release (5), 4k version (1), imax version (1), shanghai international film festival (1), taipei golden horse film festival (1), tv premiere (1)</t>
  </si>
  <si>
    <t>RRR</t>
  </si>
  <si>
    <t>tt8178634</t>
  </si>
  <si>
    <t>te</t>
  </si>
  <si>
    <t>‚Ä°‚àû‚àû‚Ä°¬±√•‚Ä°‚àû¬∂‚Ä°¬±√ß‚Ä°‚àû‚àû‚Ä°‚àû√á ‚Ä°‚àû‚àû‚Ä°‚àû¬£‚Ä°‚àû√á ‚Ä°‚àû‚àû‚Ä°¬±√Ö‚Ä°‚àû√ü‚Ä°‚àû√∏‚Ä°‚àû‚àû‚Ä°‚àû√á</t>
  </si>
  <si>
    <t>A fictional history of two legendary revolutionaries' journey away from home before they began fighting for their country in the 1920s.</t>
  </si>
  <si>
    <t>Rise, Roar, Revolt.</t>
  </si>
  <si>
    <t>Action, Adventure, Drama</t>
  </si>
  <si>
    <t>dvv entertainment</t>
  </si>
  <si>
    <t>India</t>
  </si>
  <si>
    <t>English, ‚Ä°‚àû¬ß‚Ä°¬±√ú‚Ä°‚àû‚â§‚Ä°¬±√Ö‚Ä°‚àû√≥‚Ä°¬±√Ö</t>
  </si>
  <si>
    <t>Alia Bhatt, Rahul Ramakrishna, N.T. Rama Rao Jr., Rajiv Kanakala, Edward Sonnenblick, R. Bhakti Klein, Mark Bennington, Vedala Hemachandra, Kirron Arya, Twinkle Sharma, Samuthirakani, Olivia Morris, Eduard Buhac, Alexx O'Nell, Chatrapathi Sekhar, Varun Buddhadev, Ivan Kostadinov, Ajay Devgn, Ram Charan, Jason Yeboa, Oleh Karpenko, Spandan Chaturvedi, Makrand Deshpande, Shriya Saran, Gaurav Pareek, Alison Doody, Ahmareen Anjum, S. S. Rajamouli, Akash Boro, Ray Stevenson, Chakri</t>
  </si>
  <si>
    <t>S. S. Rajamouli</t>
  </si>
  <si>
    <t>K.K. Senthil Kumar</t>
  </si>
  <si>
    <t>Ramajogayya Sastry, S. S. Rajamouli, Suddala Ashok Teja, K. Shiva Dutta, Sai Madhav Burra, Vijayendra Prasad, Chandrabose, Sirivennela Seetharama Sastry</t>
  </si>
  <si>
    <t>DVV Danayya</t>
  </si>
  <si>
    <t>M.M. Keeravaani</t>
  </si>
  <si>
    <t>/u0XUBNQWlOvrh0Gd97ARGpIkL0.jpg</t>
  </si>
  <si>
    <t>rrr</t>
  </si>
  <si>
    <t>internet (10), blank (20), limited (3), french speaking region (1), german speaking region (1), barcelona (1), madrid (1), english subtitled version (2), event release (1), lyon festival hallucinations collectives (1), los angeles, california (1), philadelphia, pennsylvania (1), imax version (1), beyond fest (1), international film festival of india, goa (1), moma - the contenders (1), re-release (2), istanbul film festival (1), porto (1), batalha centro de cinema (1)</t>
  </si>
  <si>
    <t>Morbius</t>
  </si>
  <si>
    <t>tt5108870</t>
  </si>
  <si>
    <t>Dangerously ill with a rare blood disorder, and determined to save others suffering his same fate, Dr. Michael Morbius attempts a desperate gamble. What at first appears to be a radical success soon reveals itself to be a remedy potentially worse than the disease.</t>
  </si>
  <si>
    <t>A new Marvel legend arrives.</t>
  </si>
  <si>
    <t>Action, Science Fiction, Fantasy</t>
  </si>
  <si>
    <t>columbia pictures, matt tolmach productions, arad productions</t>
  </si>
  <si>
    <t>English, ≈í¬µ≈í¬™≈í¬™≈í‚àë≈íŒ©≈íœÄ≈í‚à´≈í¬®, Norsk, Espa‚àö¬±ol</t>
  </si>
  <si>
    <t>Bentley Kalu, Oliver Bodur, Joseph Esson, Rolan Bell, Archie Renaux, Jay Gomez-Adams, Charlie Shotwell, Joe Ferrara, Kalle Hennie, Fermin Galeano, Matt Smith, Zaris-Angel Hator, Jared Harris, Tom Forbes, Clara Rosager, Aryan Moaven, Chris Ryman, Tyrese Gibson, Adam El Hagar, Al Madrigal, Jared Leto, Maia Scalia, Christopher Louridas, Robert Ryan, Michael Keaton, Jason Rennie, Abraham Popoola, Apphia Campbell, Nathan Roach, Adria Arjona, Corey Johnson, Joanna Burnett, Barry Aird, Jojo Macari, Philip Gascoyne</t>
  </si>
  <si>
    <t>Daniel Espinosa</t>
  </si>
  <si>
    <t>Oliver Wood</t>
  </si>
  <si>
    <t>Burk Sharpless, Matt Sazama</t>
  </si>
  <si>
    <t>Louise Rosner-Meyer, Jared Leto, Lucas Foster, Matt Tolmach, Avi Arad, Emma Ludbrook</t>
  </si>
  <si>
    <t>Jon Ekstrand</t>
  </si>
  <si>
    <t>/6JjfSchsU6daXk2AKX8EEBjO3Fm.jpg</t>
  </si>
  <si>
    <t>morbius</t>
  </si>
  <si>
    <t>madrid (1), premiere (1), blank (51), internet (2)</t>
  </si>
  <si>
    <t>Sonic the Hedgehog 2</t>
  </si>
  <si>
    <t>tt12412888</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</si>
  <si>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</si>
  <si>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Welcome to the next level.</t>
  </si>
  <si>
    <t>Action, Adventure, Family, Comedy</t>
  </si>
  <si>
    <t>original film, blur studio, marza animation planet, paramount pictures, sega, sega of america</t>
  </si>
  <si>
    <t>Japan, United States of America</t>
  </si>
  <si>
    <t>English</t>
  </si>
  <si>
    <t>Lee Majdoub, Vladimir Ruzich, Simon Chin, Paul Lazenby, Vladimir Raiman, Elizabeth Bowen, Nilo Ghajar, Jared Khalifa, Mariah Dyson, Krista Alvarez, Katie Wright Pere, Yvetta Fisher, Maria Ameerali, Jim Carrey, Ashlei Tave, Ernie Jackson, Tom Butler, Tavita Woodard, Robert Zen Humpage, Andrew Kyrzyk, Barry Nerling, Idris Elba, Tika Sumpter, Gerald Paetz, Ted Barba, Shemar Moore, James Marsden, Leif Havdale, Keiran Bohay, Shay Kuebler, Nito Larioza, Chad Keaulana, Steve Chang, Fraser Corbett, Donna Jay Fulks, David Jacox, Alex Bogomolov, Ha'a Keaulana, Jeff Sanca, Jess Lundgren, Heath Stevenson, Ben Schwartz, Colby Chartrand, Brennan Dyson, Shawn Stewart, Sarah Surh, Marcus Aurelio, Jason Triplett, Aiden Cass, Eli Olson, Corry Glass, Natasha Rothwell, Mike Rufino, Adam Pally, Kevin Mylrea, Brad Kalilimoku, Melody Nosipho Niemann, Cheryl Lewis, Don Lew, Kevin Fortin, Mike Mitchell, Kyle Riefsnyder, Adrian Hein, Parker Rowell-Laferriere, Sook Hexamer, Johnson Phan, Saida Dyson, Colleen O'Shaughnessey, Rhys Williams, Angela Meryl, Stanislav Galimkhanov, Quinn Early, Scott Patey, Tammy Nera, Doug Chapman, Shaun Magee, Rob 'Sluggo' Boyce</t>
  </si>
  <si>
    <t>Jeff Fowler</t>
  </si>
  <si>
    <t>Brandon Trost</t>
  </si>
  <si>
    <t>John Whittington, Josh Miller, Patrick Casey</t>
  </si>
  <si>
    <t>Haruki Satomi, Toru Nakahara, Hitoshi Okuno, Toby Ascher, Yukio Sugino, Tim Miller, Neal H. Moritz, Shuji Utsumi, Nan Morales</t>
  </si>
  <si>
    <t>Tom Holkenborg</t>
  </si>
  <si>
    <t>/6DrHO1jr3qVrViUO6s6kFiAGM7.jpg</t>
  </si>
  <si>
    <t>sonic the hedgehog 2</t>
  </si>
  <si>
    <t>madrid (1), premiere (2), blank (67), los angeles, california (1), internet (2)</t>
  </si>
  <si>
    <t>Fantastic Beasts: The Secrets of Dumbledore</t>
  </si>
  <si>
    <t>tt4123432</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</si>
  <si>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</si>
  <si>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Return to the magic.</t>
  </si>
  <si>
    <t>Fantasy, Adventure</t>
  </si>
  <si>
    <t>warner bros. pictures, heyday films</t>
  </si>
  <si>
    <t>United Kingdom, United States of America</t>
  </si>
  <si>
    <t>David Bertrand, Katherine Waterston, Jessica Cartledge, Rahda Sthanakiya, Isabelle Coverdale, Ramona Kunze-Libnow, William Nadylam, Hebe Beardsall, Ezra Miller, Valerie Pachner, Dan Fogler, Matthias Brenner, Poppy Corby-Tuech, Callum Turner, Eddie Redmayne, Jessica Williams, Dave Wong, Paul Low-Hang, Maja Bloom, Lucas Englander, Jude Law, Jan Pohl, D‚àö‚â•nal Finn, Cara Mahoney, Alison Sudol, Kazeem Tosin Amore, Peter Simonischek, Richard Coyle, Maria Fernanda C‚àö¬¢ndido, Victoria Yeates, Noor Dillan-Night, Mads Mikkelsen, Manuel Klein, Aleksandr Kuznetsov, Jacqueline Boatswain, Stefan Race, Oliver Masucci, Fiona Glascott, Wilf Scolding</t>
  </si>
  <si>
    <t>David Yates</t>
  </si>
  <si>
    <t>George Richmond</t>
  </si>
  <si>
    <t>Steve Kloves, J.K. Rowling</t>
  </si>
  <si>
    <t>Courtenay Valenti, J.K. Rowling, Tim Lewis, Michael Sharp, Lionel Wigram, Neil Blair, Josh Berger, David Heyman, Danny Cohen, Steve Kloves</t>
  </si>
  <si>
    <t>James Newton Howard</t>
  </si>
  <si>
    <t>/3c5GNLB4yRSLBby0trHoA1DSQxQ.jpg</t>
  </si>
  <si>
    <t>fantastic beasts: the secrets of dumbledore</t>
  </si>
  <si>
    <t>blank (44), internet (1), blu-ray release (1)</t>
  </si>
  <si>
    <t>The Twin</t>
  </si>
  <si>
    <t>tt12390572</t>
  </si>
  <si>
    <t>Every parent's worst nightmare is just the beginning for Rachel's ordeal as in the aftermath of a tragic accident, she and her husband Anthony decide to move to the other side of the world to focus on their surviving twin son Elliot.  What begins as a time of healing and isolation in the Finnish countryside turns into a desperate battle for the very soul of their son as an entity claiming to be his dead twin brother takes over Elliot ‚Äö√Ñ√Æ setting Rachel on a diabolical journey to unravel the horrible truth about her twin son.</t>
  </si>
  <si>
    <t>Evil only a mother could love.</t>
  </si>
  <si>
    <t>Horror, Mystery</t>
  </si>
  <si>
    <t>don films</t>
  </si>
  <si>
    <t>Finland</t>
  </si>
  <si>
    <t>Steven Cree, Andres Dvinjaninov, Raivo Trass, Barbara Marten, Teresa Palmer, Kert Kurist, Liisi Org, Nick Connor, Tiiu Uibo, Tristan Ruggeri, Raul Talmar</t>
  </si>
  <si>
    <t>Taneli Mustonen</t>
  </si>
  <si>
    <t>Daniel Lindholm</t>
  </si>
  <si>
    <t>Taneli Mustonen, Aleksi Hyv‚àö¬ßrinen</t>
  </si>
  <si>
    <t>Aleksi Hyv‚àö¬ßrinen, Fabien Westerhoff, Joris van Wijk, Toni Valla, Emily Gotto</t>
  </si>
  <si>
    <t>Panu Aaltio</t>
  </si>
  <si>
    <t>/uUUSkKQEptTHjYejxzaT5TVkiAG.jpg</t>
  </si>
  <si>
    <t>the twin</t>
  </si>
  <si>
    <t>helsinki (1), night visions film festival (1), premiere (1), blank (19), amsterdamned (1), internet (3), dvd premiere (3), fantasy filmfest (1), blu ray release (1), la roche-sur-yon international film festival (1), tv premiere (1)</t>
  </si>
  <si>
    <t>The Northman</t>
  </si>
  <si>
    <t>tt11138512</t>
  </si>
  <si>
    <t>Prince Amleth is on the verge of becoming a man when his father is brutally murdered by his uncle, who kidnaps the boy's mother. Two decades later, Amleth is now a Viking who's on a mission to save his mother, kill his uncle and avenge his father.</t>
  </si>
  <si>
    <t>Conquer your fate.</t>
  </si>
  <si>
    <t>Action, Adventure, Fantasy</t>
  </si>
  <si>
    <t>regency enterprises, new regency pictures, square peg, focus features</t>
  </si>
  <si>
    <t>English, ‚àö√ßslenska</t>
  </si>
  <si>
    <t>Ingvar E. Sigur‚àö‚àûsson, Eldar Skar, Finn Lafferty, Gavin Peden, Anya Taylor-Joy, Robin Carolan, Edgar Abram, Katie Pattinson, Helen Roche, Thomas Harper-Jones, Oscar Novak, Kate Dickie, James Yates, Ineta Sliuzaite, Luca Evans, Eric Higgins, Elliott Rose, Matt Symonds, Ralph Ineson, Mark P. O'Connor, Faoileann Cunningham, Phill Martin, Olwen Fou‚àö¬©r‚àö¬©, Magne Osnes, Ian Whyte, Ian Gerard Whyte, Willem Dafoe, Jonas Lorentzen, Seamus O'Hara, Jack Gassmann, Sheila Flitton, Murray McArthur, Bj‚àö‚àÇrk, Nille Gl‚àö¬∂sel, Kevin Horsham, James Harper-Jones, Gareth Parker, Mark Fitzgerald, Scott Sinclair, Lily Bird, Rebecca Ineson, Ethan Hawke, Gustav Lindh, Jack Walsh, Nicole Kidman, Claes Bang, ‚àö√ßsad‚àö‚â•ra Bjarkard‚àö‚â•ttir Barney, Haf‚àö√¶‚àö‚â•r J‚àö‚à´l‚àö‚â†us Bj‚àö‚àÇrnsson, Andrea O‚Äö√Ñ√¥Neill, Chris Finlayson, Joel Hicks, Tadhg Murphy, Jon Campling, Alexander Skarsg‚àö‚Ä¢rd</t>
  </si>
  <si>
    <t>Robert Eggers</t>
  </si>
  <si>
    <t>Jarin Blaschke</t>
  </si>
  <si>
    <t>Saxo Grammaticus, Sj‚àö‚â•n, Robert Eggers</t>
  </si>
  <si>
    <t>Mark Huffam, Arnon Milchan, Robert Eggers, Lars Knudsen, Thomas Benski, Sam Hanson, Michael Schaefer, Yariv Milchan, Alexander Skarsg‚àö‚Ä¢rd, Leifur B. Dagfinnsson</t>
  </si>
  <si>
    <t>Sebastian Gainsborough, Robin Carolan</t>
  </si>
  <si>
    <t>/aSSJMnHknzKjlZ6zybwD7eyJ4Po.jpg</t>
  </si>
  <si>
    <t>the northman</t>
  </si>
  <si>
    <t>rome (1), premiere (1), blank (70), early access (1), internet (1), dvd premiere (1), dvd and blu-ray premiere (1), limited (1), tokyo international film festival (1), tv release (1)</t>
  </si>
  <si>
    <t>Father Stu</t>
  </si>
  <si>
    <t>tt14439896</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</si>
  <si>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</si>
  <si>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God wanted a fighter‚Äö√Ñ¬∂ and He found one.</t>
  </si>
  <si>
    <t>Drama</t>
  </si>
  <si>
    <t>municipal pictures, palm drive productions</t>
  </si>
  <si>
    <t>English, Portugu‚àö‚Ñ¢s</t>
  </si>
  <si>
    <t>Jack Kehler, Cody Fern, Malcolm McDowell, Nicholas A. Goldreich, Larry Bagby, Roberto Montesinos, Jacki Weaver, Faith Jefferies, Steve Olson, Jorge-Luis Pallo, Tenz McCall, Teresa Ruiz, Annie Lee, Dennis Keiffer, Rudy Moreno, Mathew Trent Hunnicutt, Aaron Moten, Betsy Moore, Mel Gibson, Sean O'Reilly, Mariah Maison, Michael Fairman, Travis Wong, Mark Wahlberg, Clay Wilcox, Annet Mahendru, Carlos Leal, Tyler Burke, James Hunter, Penny L. Moore, Alain Uy, Bryan Kreutz, Sharmila Devar, Skip Howland, Patricia Belcher, Winter Ave Zoli, Alan Bagh, Danielle Golden, Lily Villegas, Tim Sitarz, Indie DesRoches, Molly Baker, Ronnie Gene Blevins, Niko Nicotera, Chiquita Fuller, James Flavin, Colleen Camp, Lila Karp-Ziring, Ned Bellamy, Pablo Ramos, Brian Ortega</t>
  </si>
  <si>
    <t>Rosalind Ross</t>
  </si>
  <si>
    <t>Jacques Jouffret</t>
  </si>
  <si>
    <t>Jordan Foss, Mark Wahlberg, Stephen Levinson, Miky Lee, Patrick Peach, Colleen Camp, Tony Grazia, Rosalind Ross</t>
  </si>
  <si>
    <t>Dickon Hinchliffe</t>
  </si>
  <si>
    <t>/pLAeWgqXbTeJ2gQtNvRmdIncYsk.jpg</t>
  </si>
  <si>
    <t>father stu</t>
  </si>
  <si>
    <t>blank (12), blu-ray release (2), internet (15), dvd premiere (2), tv release (1)</t>
  </si>
  <si>
    <t>yes</t>
  </si>
  <si>
    <t>K.G.F: Chapter 2</t>
  </si>
  <si>
    <t>tt10698680</t>
  </si>
  <si>
    <t>kn</t>
  </si>
  <si>
    <t>‚Ä°‚â§√Ø‚Ä°‚â•√ú.‚Ä°‚â§√∫‚Ä°‚â§√∏.‚Ä°‚â§√©‚Ä°‚â§¬¥‚Ä°‚â•√ß: Chapter 2</t>
  </si>
  <si>
    <t>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t>
  </si>
  <si>
    <t>The World Is My Territory</t>
  </si>
  <si>
    <t>Action, Thriller, Adventure, Crime</t>
  </si>
  <si>
    <t>hombale films, vaaraahi chalana chitram</t>
  </si>
  <si>
    <t>?????</t>
  </si>
  <si>
    <t>Easwari Rao, Tarak Ponnappa, Krishnappa, Malavika Avinash, Mohan Juneja, Sonu Gowda, Divya G. Gowda, Ramachandra Raju, Ashok Sharma, Yash Shetty, Rao Ramesh, Roopa Rayappa, T. S. Nagabharana, Sanjay Dutt, Vasishta N. Simha, Dinesh Mangalore, Anant Nag, Harish Rai, Saran Shakthi, Balakrishna, Ayyappa P. Sharma, B Suresha, Yash, Ramesh Indira, Raveena Tandon, Vinay Bidappa, Krishnoji Rao, Darbha Appaji Ambarisha, Prakash Raj, B. S. Avinash, Srinidhi Shetty, Archana Jois, Lakki Lakshman, John Kokken, Govinde Gowda, Achyuth Kumar</t>
  </si>
  <si>
    <t>Prashanth Neel</t>
  </si>
  <si>
    <t>Bhuvan Gowda</t>
  </si>
  <si>
    <t>Vinay Shivagange, Shabbir Ahmed, Prashanth Neel, Chandra Mouli M</t>
  </si>
  <si>
    <t>Vijay Kiragandur, K V Rama Rao, Karthik Gowda</t>
  </si>
  <si>
    <t>Ravi Basrur</t>
  </si>
  <si>
    <t>/khNVygolU0TxLIDWff5tQlAhZ23.jpg</t>
  </si>
  <si>
    <t>k.g.f: chapter 2</t>
  </si>
  <si>
    <t>blank (18), barcelona (1), madrid (1), limited (1), internet (2)</t>
  </si>
  <si>
    <t>9 Bullets</t>
  </si>
  <si>
    <t>tt13680520</t>
  </si>
  <si>
    <t>A former burlesque dancer turned author discovers a second chance at life and redemption when she risks everything to rescue her young neighbor after he witnesses his parents‚Äö√Ñ√¥ murder. Now on the run from the local crime boss, who happens to be her longtime ex, she makes a desperate attempt to get the boy to safety.</t>
  </si>
  <si>
    <t>One shot will change everything.</t>
  </si>
  <si>
    <t>Action, Thriller</t>
  </si>
  <si>
    <t>foresight entertainment, pop films, screen media films</t>
  </si>
  <si>
    <t>La La Anthony, Emma Holzer, Cam Gigandet, Martin Sensmeier, Barbara Hershey, Chris Mullinax, Marc Menchaca, Chelsea Davis, Claire Liz Phillips, Stephanie Arcila, Marlene Forte, MJ Caballero, Cornelia Guest, Dean Scott Vazquez, Sam Worthington, Colleen Camp, Anthony Fitzgerald, Lena Headey, Zachary Mooren</t>
  </si>
  <si>
    <t>Gigi Gaston</t>
  </si>
  <si>
    <t>Byron Werner</t>
  </si>
  <si>
    <t>Wendy Benge, Howard C. Deshong, Cassian Elwes</t>
  </si>
  <si>
    <t>Hugo de Chaire</t>
  </si>
  <si>
    <t>/8h8R2D6AVTZCCA6NIvioObkhXsb.jpg</t>
  </si>
  <si>
    <t>9 bullets</t>
  </si>
  <si>
    <t>blank (8), limited (1), dvd premiere (4), tv premiere (1), internet (4), blu ray release (1)</t>
  </si>
  <si>
    <t>The Unbearable Weight of Massive Talent</t>
  </si>
  <si>
    <t>tt11291274</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</si>
  <si>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</si>
  <si>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Nicolas Cage is Nick Cage.</t>
  </si>
  <si>
    <t>Action, Comedy, Crime</t>
  </si>
  <si>
    <t>saturn films, burr! productions</t>
  </si>
  <si>
    <t>English, Espa‚àö¬±ol</t>
  </si>
  <si>
    <t>Nicholas Wittman, Sharon Horgan, Kristian Ventura, Ike Barinholtz, Lily Mo Sheen, L‚àö¬∞szl‚àö‚â• Sz‚àö‚â†v‚àö‚â•s, Luke McQueen, Joanna Bobin, Jacob Scipio, Tam‚àö¬∞s Buza, Francisco Grey, Andr‚àö¬∞s Korcsm‚àö¬∞ros, Anna Mhairi, Mario P‚àö¬©rez, Ricard Balada, Manuel Tallaf‚àö¬©, Katrin Vankova, David Gordon Green, Rebecca Finch, Neil Patrick Harris, Alessandra Mastronardi, Caroline Boulton, Jackson Serafim, Paco Le‚àö‚â•n, Jesus Armando Campos Flores, Eli Jane, Nicolas Cage, Jaime Ord‚àö‚â•‚àö¬±ez, Enrique Mart‚àö‚â†nez, Lorenzo Orozco, Pedro Pascal, Demi Moore, Christine Grace Szark‚àö‚â•, Tiffany Haddish, Paula Parducz</t>
  </si>
  <si>
    <t>Tom Gormican</t>
  </si>
  <si>
    <t>Nigel Bluck</t>
  </si>
  <si>
    <t>Kevin Etten, Tom Gormican</t>
  </si>
  <si>
    <t>Kevin Turen, Mike Nilon, Kristin Burr, Kevin Etten, Nicolas Cage, Samson Mucke</t>
  </si>
  <si>
    <t>Mark Isham</t>
  </si>
  <si>
    <t>/aqhLeieyTpTUKPOfZ3jzo2La0Mq.jpg</t>
  </si>
  <si>
    <t>the unbearable weight of massive talent</t>
  </si>
  <si>
    <t>south by southwest film festival (1), blank (46), internet (3), vod (1), dvd,4k uhd,blu-ray (1), dvd premiere (1), tv release (1), tv premiere (1)</t>
  </si>
  <si>
    <t>Downton Abbey: A New Era</t>
  </si>
  <si>
    <t>tt11703710</t>
  </si>
  <si>
    <t>The Crawley family goes on a grand journey to the south of France to uncover the mystery of the dowager countess's newly inherited villa. Meanwhile, a Hollywood director seeks to film his latest production at Downton.</t>
  </si>
  <si>
    <t>A cinematic return.</t>
  </si>
  <si>
    <t>Drama, Romance</t>
  </si>
  <si>
    <t>carnival films, focus features</t>
  </si>
  <si>
    <t>Fran‚àö√üais, English, Portugu‚àö‚Ñ¢s</t>
  </si>
  <si>
    <t>Nathalie Baye, Alex Macqueen, Jim Carter, Jonathan Zacca‚àö√ò, Penelope Wilton, Robert James-Collier, Imelda Staunton, Lesley Nicol, Eva Samms, Elizabeth McGovern, Allen Leech, Archer Robbins, Joanne Froggatt, Kevin Doyle, Sue Johnston, Karina Samms, Hugh Bonneville, Maggie Smith, Oliver Barker, Michelle Dockery, David Robb, Raquel Cassidy, Paul Copley, Dominic West, Fifi Hart, Douglas Reith, Hugh Dancy, Phyllis Logan, Zac Barker, Tuppence Middleton, Harry Hadden-Paton, Sophie McShera, Megan Barker, Laura Carmichael, Michael Fox, Samantha Bond, Laura Haddock, Charlie Watson, Jonathan Coy, Brendan Coyle</t>
  </si>
  <si>
    <t>Simon Curtis</t>
  </si>
  <si>
    <t>Andrew Dunn</t>
  </si>
  <si>
    <t>Julian Fellowes</t>
  </si>
  <si>
    <t>Nigel Marchant, Gareth Neame, Julian Fellowes, Liz Trubridge</t>
  </si>
  <si>
    <t>John Lunn</t>
  </si>
  <si>
    <t>/r5n4CLoIjUcnT3shWDi6MHdJ25a.jpg</t>
  </si>
  <si>
    <t>downton abbey: a new era</t>
  </si>
  <si>
    <t>blank (39), early access (1), internet (1), dvd premiere (1), blu-ray premiere (1), tv release (1), tv premiere (1)</t>
  </si>
  <si>
    <t>Memory</t>
  </si>
  <si>
    <t>tt11827628</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</si>
  <si>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</si>
  <si>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His mind is fading. His conscience is clear.</t>
  </si>
  <si>
    <t>Action, Thriller, Crime</t>
  </si>
  <si>
    <t>black bear pictures, welle entertainment, saville productions, open road films, stxfilms</t>
  </si>
  <si>
    <t>Espa‚àö¬±ol, English</t>
  </si>
  <si>
    <t>Scot Williams, Lyubomir Bachvarov, Josh Macrena, Sigal Diamant, Kalina Stancheva, Harold Torres, Danaya Velinova, Devina Vassileva, Stella Stocker, Sol E. Romero, Trevor Van Uden, Rebecca Calder, Lee Boardman, Kate Nichols, Antonio Jaramillo, Petar Kirilov, Sofia Soltess, Raluca Aprodu, Doug Rao, Daniel de Bourg, Louis Mandylor, Mia Sanchez, Neda Spasova, Atanas Srebrev, Liam Neeson, JR Esposito, Ray Stevenson, Mariana Krumova, Josh Taylor, Dee, Monica Bellucci, Guy Pearce, Tudor Chiril∆í√â, Vlado Mihailov, Taj Atwal, Ray Fearon, Natalie Anderson</t>
  </si>
  <si>
    <t>Martin Campbell</t>
  </si>
  <si>
    <t>David Tattersall</t>
  </si>
  <si>
    <t>Dario Scardapane, Jef Geeraerts</t>
  </si>
  <si>
    <t>Teddy Schwarzman, Ben Stillman, Rudy Durand, Matthew Sidari, Tom Ortenberg, Michael Heimler, Peter Bouckaert, Arthur M. Sarkissian, Robert Simonds, Rupert Maconick, Cathy Schulman, Moshe Diamant, James Masciello</t>
  </si>
  <si>
    <t>Photek</t>
  </si>
  <si>
    <t>/4Q1n3TwieoULnuaztu9aFjqHDTI.jpg</t>
  </si>
  <si>
    <t>memory</t>
  </si>
  <si>
    <t>blank (37), dvd premiere (1), blu-ray release (1), internet (4), video premiere (1), tv premiere (2)</t>
  </si>
  <si>
    <t>Alcarr‚àö‚Ä†s</t>
  </si>
  <si>
    <t>tt11930126</t>
  </si>
  <si>
    <t>ca</t>
  </si>
  <si>
    <t>In a small village in Catalonia, the peach farmers of the Sol‚àö¬© family spend every summer together picking fruit from their orchard. But when plans arise to install solar panels and cut down trees, the members of this tight-knit group suddenly face eviction ‚Äö√Ñ√¨ and the loss of far more than their home.</t>
  </si>
  <si>
    <t>For every family, there is a season.</t>
  </si>
  <si>
    <t>avalon, vila‚àö¬∫t films, kino produzioni, elastica films</t>
  </si>
  <si>
    <t>Spain</t>
  </si>
  <si>
    <t>Catal‚àö‚Ä†</t>
  </si>
  <si>
    <t>Jacob Diarte, Ant‚àö‚â§nia Castells, Albert Bosch, Berta Pip‚àö‚â•, Xenia Roset, Anna Otin, Josep Abad, Ainet Jounou, Montse Or‚àö‚â•, Elna Folguera, Jordi Pujol Dolcet, Djibril Casse, Isaac Rovira, Joel Rovira, Carles Cab‚àö‚â•s</t>
  </si>
  <si>
    <t>Carla Sim‚àö‚â•n</t>
  </si>
  <si>
    <t>Daniela Caj‚àö‚â†as</t>
  </si>
  <si>
    <t>Arnau Vilar‚àö‚â•, Carla Sim‚àö‚â•n</t>
  </si>
  <si>
    <t>Giovanni Pompili, Sergi Moreno, Stefan Schmitz, Mar‚àö‚â†a Zamora</t>
  </si>
  <si>
    <t>Andrea Koch</t>
  </si>
  <si>
    <t>/sbFVJZAvd7a7n2aHEUtOyrQtAKo.jpg</t>
  </si>
  <si>
    <t>alcarr‚àö‚Ä†s</t>
  </si>
  <si>
    <t>berlin international film festival (1), m√°laga film festival (1), istanbul film festival (1), madrid - academia de cine (1), premiere (1), d'a film festival (1), blank (24), sydney film festival (1), transilvania international film festival (1), new horizons international film festival (1), new zealand international film festival (1), melbourne international film festival (1), beijing international film festival (1), helsinki international film festival (1), zurich film festival (1), reykjavik international film festival (1), new york film festival (1), vancouver international film festival (1), hamptons international film festival (1), festival du nouveau cin√©ma (1), busan international film festival (1), bfi london film festival (1), mill valley film festival (1), haifa film festival (1), film festival ghent (1), opening film (1), seoul international food film festival (1), mostra - s√£o paulo international film festival (1), zagreb film festival (1), philadelphia international film festival (1), mar del plata film festival (1), arras film festival (1), afi fest (1), miami film festival gems (1), denver international film festival (1), leeds international film festival (1), filmbath festival (1), tallinn black nights film festival (1), hawai'i international film festival (1), ljubljana international film festival (1), cork international film festival (1), festival of auteur film (1), singapore international film festival (1), world film festival bangkok (1), moma - the contenders (1), limited (4), palm springs international film festival (1), toronto (1), internet (1), borderlines film festival (1), sofia international film festival (1), screenwave international film festival (1)</t>
  </si>
  <si>
    <t>Fortress: Sniper's Eye</t>
  </si>
  <si>
    <t>tt14577304</t>
  </si>
  <si>
    <t>Weeks after the deadly assault on Fortress Camp, Robert makes a daring rescue to save Sasha, the widow of his old nemesis Balzary. But back in the camp's command bunker, it appears Sasha may have devious plans of her own. As a new attack breaks out, Robert is confronted with a familiar face he thought he'd never see again‚Äö√Ñ¬∂</t>
  </si>
  <si>
    <t>The war isn't over. It's just starting.</t>
  </si>
  <si>
    <t>efo films, grindstone entertainment group</t>
  </si>
  <si>
    <t>Michael Sirow, Adam Huel Potter, Jonathan Castellano, Malcom Cuadra, Josh Sternfeld, Celeste Fianna, Larken Woodward, Ser'Darius Blain, J.T. Foxx, Leonardo Castro Sitiriche, Natalie Burn, Angel R. Pagan Colon, Sebastian V‚àö¬∞zquez, Alyssa Julya Smith, Xavier Reyes, Chad Michael Murray, Natali Yura, Felix Cortes, Ram‚àö‚â•n V‚àö¬∞zquez, Leslee Emmett, Jake Ellenz, Welker White, Ronal Tejada, Kelly Greyson, Bruce Willis, Gabrielle Haugh, Jesse Metcalfe</t>
  </si>
  <si>
    <t>Josh Sternfeld</t>
  </si>
  <si>
    <t>Bryan Koss</t>
  </si>
  <si>
    <t>Alan Horsnail, Emile Hirsch, Randall Emmett</t>
  </si>
  <si>
    <t>Danny H. Chan, Alastair Burlingham, Ceasar Richbow, Henry Winterstern, Tim Sullivan, Arnaud Lannic, Ted Fox, Randall Emmett, Lydia Hull, Stan Wertlieb, Arianne Fraser, Gary Raskin, Alan Horsnail, Nick D'Angelo, Diana Pr‚àö‚â†ncipe, Mark Stewart, Charlie Dombek, Delphine Perrier, Chad Verdi Jr., Elizabeth Primm, Luillo Ruiz, Vance Owen, Paul Weinberg, Cyril Megret, George Furla, Chad A. Verdi, Barry Brooker, Marily Reyes</t>
  </si>
  <si>
    <t>Jacob Bunton</t>
  </si>
  <si>
    <t>/61J34xHVVdQHbJ4MSCWQo4e727v.jpg</t>
  </si>
  <si>
    <t>fortress: sniper's eye</t>
  </si>
  <si>
    <t>limited (1), internet (6), blank (6), dvd premiere (4), tv premiere (2)</t>
  </si>
  <si>
    <t>Firestarter</t>
  </si>
  <si>
    <t>tt1798632</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</si>
  <si>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</si>
  <si>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Never play with fire.</t>
  </si>
  <si>
    <t>Horror, Science Fiction, Drama, Thriller</t>
  </si>
  <si>
    <t>blumhouse productions, weed road pictures, universal pictures</t>
  </si>
  <si>
    <t>Moses Nyarko, Shane Marriott, Zac Efron, Xavier Lopez, Kurtwood Smith, Morrissa Nicole, Ryan Kiera Armstrong, Hannan Younis, John Beasley, Hunter Smalley, Claire Armstrong, Lanette Ware, Nicholas Vilord, Jamillah Ross, Michael Greyeyes, Vas Saranga, Isaac Murray, Sheila Boyd, Tina Jung, Gavin MacIver-Wright, Danny Waugh, Gloria Reuben, Jeremy Ferdman, Sydney Lemmon, Darrin Maharaj</t>
  </si>
  <si>
    <t>Keith Thomas</t>
  </si>
  <si>
    <t>Karim Hussain</t>
  </si>
  <si>
    <t>Scott Teems, Stephen King</t>
  </si>
  <si>
    <t>Gregory Lessans, Akiva Goldsman, Raphael Margules, J.D. Lifshitz, Ryan Turek, Scott Teems, Martha De Laurentiis, Jason Blum</t>
  </si>
  <si>
    <t>Cody Carpenter, John Carpenter, Daniel Davies</t>
  </si>
  <si>
    <t>/jjBdPcQ0bplBnv2XgElKLoeFDuM.jpg</t>
  </si>
  <si>
    <t>firestarter</t>
  </si>
  <si>
    <t>blank (36), internet (4), vod (1), blu-ray and dvd (1), tv release (1)</t>
  </si>
  <si>
    <t>Shin Ultraman</t>
  </si>
  <si>
    <t>tt10737918</t>
  </si>
  <si>
    <t>ja</t>
  </si>
  <si>
    <t>‚Äû√á‚àë‚Äû√â‚â•‚Äû√â¬™‚Äû√á¬∂‚Äû√â¬¥‚Äû√â√†‚Äû√â¬©‚Äû√â√ª‚Äû√â‚â•</t>
  </si>
  <si>
    <t>The Japanese government sets up a special task force to fight the giant creatures suddenly appearing across the country. Soon, the squad unexpectedly meets a giant silver humanoid who starts appearing every time a space monster attacks!</t>
  </si>
  <si>
    <t>Have you become so fond of humans, Ultraman?</t>
  </si>
  <si>
    <t>Action, Science Fiction</t>
  </si>
  <si>
    <t>tsuburaya productions, toho, khara, cine bazar, toho studios, shirogumi</t>
  </si>
  <si>
    <t>Japan</t>
  </si>
  <si>
    <t>English, √ä√≥‚Ä¢√ä√∫¬®√ã‚Ñ¢√ª, P‚Äî√â‚Äî√Ö‚Äî√Ö‚Äì‚à´‚Äì‚àè‚ÄìœÄ</t>
  </si>
  <si>
    <t>Issei Takahashi, Daiki Arioka, Keishi Nagatsuka, Hideaki Anno, Koji Yamamoto, Hajime Yamazaki, Yutaka Takenouchi, Ky‚âà¬¥saku Shimada, Bin Furuya, Soko Wada, Kenjiro Tsuda, Tetsushi Tanaka, Ryo Iwamatsu, Toru Masuoka, Hidetoshi Nishijima, Masami Nagasawa, Akari Hayami, Takumi Saitoh, Koichi Yamadera</t>
  </si>
  <si>
    <t>Shinji Higuchi</t>
  </si>
  <si>
    <t>Keiz‚âà√ß Suzuki, Hideaki Anno, Shinji Higuchi</t>
  </si>
  <si>
    <t>Hideaki Anno, Eiji Tsuburaya</t>
  </si>
  <si>
    <t>Hideaki Anno, Minami Ichikawa</t>
  </si>
  <si>
    <t>Shiro Sagisu, Kunio Miyauchi</t>
  </si>
  <si>
    <t>/8e4WjXrOY7WH94jlhBeoYCYUVwj.jpg</t>
  </si>
  <si>
    <t>shin ultraman</t>
  </si>
  <si>
    <t>blank (18), neuch√¢tel international fantastic film festival (1), fantasia international film festival (1), new york asian film festival (1), odex film festival (1), limited (2), fantastic fest (1), japannual japanese film festival vienna (1), milano iulm sognielettrici (1), premiere (2), imagine fantastic film festival (1), utopiales - nantes international science-fiction festival (1), hawai'i international film festival (1), internet (1), paris international fantastic film festival (1), lyon festival hallucinations collectives (1), blu-ray release (1), pontevedra (1), subtitled version (1), technical release (1), blu-ray &amp; dvd (1), dvd (1)</t>
  </si>
  <si>
    <t>The Roundup</t>
  </si>
  <si>
    <t>tt15838850</t>
  </si>
  <si>
    <t>ko</t>
  </si>
  <si>
    <t>√é‚â§√Æ√è¬£√ë√é√®√ë√è√£√∫ 2</t>
  </si>
  <si>
    <t>The 'Beast Cop' Ma Seok-do heads to a foreign country to extradite a suspect, but soon after his arrival, he discovers additional murder cases and hears about a vicious killer who has been committing crimes against tourists for several years.</t>
  </si>
  <si>
    <t>The Beast Cop Is Back!</t>
  </si>
  <si>
    <t>Action, Crime, Thriller, Adventure</t>
  </si>
  <si>
    <t>ba entertainment, hong film, big punch pictures</t>
  </si>
  <si>
    <t>South Korea</t>
  </si>
  <si>
    <t>English, √å√Ø√∫√ç¬µ‚â†√è√±¬•/√è¬∞‚àû√è√ë‚Ä†√é√ü√™</t>
  </si>
  <si>
    <t>Um Mun-suk, Seo Mun-ho, Lee Gyu-woon, Kim Chan-hyung, Cha Woo-jin, Park Kwang-jae, Yoon Byung-hee, Ha Jun, Don Lee, Jeong In-gi, Song Yo-sep, Son Suk-ku, Woo Kang-min, Choi Gwi-hwa, Jeon Jin-oh, Kang Deok-joong, Lee Da-il, Lee Tae-kyu, Baek Seung-ik, Park Ji-hwan, Heo Dong-won, Kim Sang-Wook, Park Eun-woo, Nam Moon-chul, Lee Ju-won, Kim Young-sung, Park Ji-young, Kwon Hyeok-beom, Kim Seo-won, Jeong Jae-kwang, Han Woo-yeol, Son Seung-beom, Lee Byeong-hee, Choi Jae-hoon</t>
  </si>
  <si>
    <t>Lee Sang-yong</t>
  </si>
  <si>
    <t>Ju Sung-lim</t>
  </si>
  <si>
    <t>Lee Yoon-ho, Kang Yun-sung, Lee Sang-yong, Lee Young-jong, Kim Min-sung, Don Lee</t>
  </si>
  <si>
    <t>Yoo Young-chae, Kang Yun-sung, Jang Won-seok, Kim Hong-baek, Don Lee</t>
  </si>
  <si>
    <t>Kim Tae-seong, Jeong Sang-woo</t>
  </si>
  <si>
    <t>/aTogcymFfYXYb2sx950ntIpgOJe.jpg</t>
  </si>
  <si>
    <t>the roundup</t>
  </si>
  <si>
    <t>blank (19), limited (1), neuchatel international fantastic film festival (1), fantasy filmfest (1), london east asia film festival (1), korean film festival frankfurt (1), l'absurde s√©ance festival (1), imagine fantastic film festival (1), night visions international film festival (1), dvd premiere (1), internet (4), blu-ray, dvd (1), tv premiere (1)</t>
  </si>
  <si>
    <t>Chip 'n Dale: Rescue Rangers</t>
  </si>
  <si>
    <t>tt3513500</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</si>
  <si>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friend‚Äö√Ñ√¥s life.</t>
  </si>
  <si>
    <t>It's not a reboot. It's a comeback.</t>
  </si>
  <si>
    <t>Animation, Family, Comedy, Adventure, Mystery</t>
  </si>
  <si>
    <t>walt disney pictures, mandeville films</t>
  </si>
  <si>
    <t>J. Anthony McCarthy, Julian Graham, Jorma Taccone, Victor Turpin, John Mulaney, Jessie Hendricks, Rachel Samiri, Greg Chun, Jim Cummings, Will Arnett, Dan Gregor, Anthony Molinari, Scott Whyte, Chris Parnell, Paul Rudd, Heather Dragulescu, Matt Cook, Jean Gilpin, Jovana Lara, Mason Blomberg, Doug Mand, Alan Oppenheimer, Jeff Bennett, Sophie Fatu, Matt Nolan, Kenzo Lee, Isabel Hainer, Krystal Alvarez, Andy Samberg, Da'Vone McDonald, David Tennant, Dennis Haysbert, Steven Curtis Chapman, June Schaffer, Sean Rohani, Cole Massie, Flula Borg, Keegan-Michael Key, Jake Matthew Cohen, James Joseph Pulido, James M. Black, Paula Abdul, Liz Cackowski, Nneoma Sampson, Tim Robinson, Eric Bana, Tress MacNeille, J.K. Simmons, Rachel Bloom, Seth Rogen, Akiva Schaffer, Philena Franklin, Kai Zen, Charles Fleischer, Jonathan Verweij, Juliet Donenfeld, Corey Burton, Rawson Marshall Thurber, Tom Antonellis, Tad Stones, Hazel Schaffer, KiKi Layne</t>
  </si>
  <si>
    <t>Akiva Schaffer</t>
  </si>
  <si>
    <t>Larry Fong</t>
  </si>
  <si>
    <t>Doug Mand, Dan Gregor</t>
  </si>
  <si>
    <t>Alexander Young, Todd Lieberman, Tom C. Peitzman, David Hoberman</t>
  </si>
  <si>
    <t>Brian Tyler</t>
  </si>
  <si>
    <t>/7UGmn8TyWPPzkjhLUW58cOUHjPS.jpg</t>
  </si>
  <si>
    <t>chip 'n dale: rescue rangers</t>
  </si>
  <si>
    <t>hollywood, california (1), internet (62), german speaking region (1)</t>
  </si>
  <si>
    <t>Bhool Bhulaiyaa 2</t>
  </si>
  <si>
    <t>tt6455162</t>
  </si>
  <si>
    <t>hi</t>
  </si>
  <si>
    <t>‚Ä°¬ß‚â†‚Ä°‚Ä¢√á‚Ä°¬ß‚â§ ‚Ä°¬ß‚â†‚Ä°‚Ä¢√Ö‚Ä°¬ß‚â§‚Ä°‚Ä¢√†‚Ä°¬ß√ò‚Ä°¬ß√¶ 2</t>
  </si>
  <si>
    <t>When strangers Reet and Ruhan cross paths, their journey leads to an abandoned mansion and a dreaded spirit who has been trapped for eighteen years.</t>
  </si>
  <si>
    <t>The Haunting Comedy is Back</t>
  </si>
  <si>
    <t>Horror, Comedy</t>
  </si>
  <si>
    <t>cine1 studios, t-series</t>
  </si>
  <si>
    <t>‚Ä°¬ßœÄ‚Ä°¬ß√∏‚Ä°¬ß¬Æ‚Ä°‚Ä¢√ß‚Ä°¬ß¬∂‚Ä°‚Ä¢√Ñ</t>
  </si>
  <si>
    <t>Govind Namdeo, Karamveer Choudhary, Kartik Aaryan, Vyoma Nandi, Samarth Chauhan, Mahek Manwani, Amar Upadhyay, Kiara Advani, Neena Patel, Rajpal Yadav, Sanjay Mishra, Milind Gunaji, Ashwini Kalsekar, Ridhvika Thakur, Rajesh Sharma, Kali Prasad Mukherjee, Tabu</t>
  </si>
  <si>
    <t>Anees Bazmee</t>
  </si>
  <si>
    <t>Manu Anand</t>
  </si>
  <si>
    <t>Anees Bazmee, Amitabh Bhattacharya, Aakash Kaushik, Farhad Samji, Akanksha Malhotra</t>
  </si>
  <si>
    <t>Bhushan Kumar, Anees Bazmee, Krishan Kumar, Taranng Takrani, Murad Khetani, Jatin Pawan Girotra</t>
  </si>
  <si>
    <t>Sandeep Shirodkar, Pritam Chakraborty</t>
  </si>
  <si>
    <t>/fw0oMHiMt9qOuKEJEmzFiCNAnXc.jpg</t>
  </si>
  <si>
    <t>bhool bhulaiyaa 2</t>
  </si>
  <si>
    <t>blank (6), limited (1), internet (5)</t>
  </si>
  <si>
    <t>Men</t>
  </si>
  <si>
    <t>tt13841850</t>
  </si>
  <si>
    <t>In the aftermath of a personal tragedy, Harper retreats alone to the beautiful English countryside, hoping to find a place to heal. But someone ‚Äö√Ñ√Æ or something ‚Äö√Ñ√Æ from the surrounding woods appears to be stalking her, and what begins as simmering dread becomes a fully-formed nightmare, inhabited by her darkest memories and fears.</t>
  </si>
  <si>
    <t>What haunts you will find you.</t>
  </si>
  <si>
    <t>Horror, Thriller, Fantasy</t>
  </si>
  <si>
    <t>a24, dna films</t>
  </si>
  <si>
    <t>Rory Kinnear, Zak Rothera-Oxley, Paapa Essiedu, Sonoya Mizuno, Jessie Buckley, Sarah Twomey, Gayle Rankin</t>
  </si>
  <si>
    <t>Alex Garland</t>
  </si>
  <si>
    <t>Rob Hardy</t>
  </si>
  <si>
    <t>Allon Reich, Andrew Macdonald</t>
  </si>
  <si>
    <t>Ben Salisbury, Geoff Barrow</t>
  </si>
  <si>
    <t>/jo1Kv3P3UgDVk7JnUFr2Cl8WWUM.jpg</t>
  </si>
  <si>
    <t>men</t>
  </si>
  <si>
    <t>blank (34), cannes film festival (1), neuch√¢tel international fantastic film festival (1), blu-ray release (3), opening film (1), bucheon international fantastic film festival (1), dvd premiere (1), internet (2)</t>
  </si>
  <si>
    <t>2000 Mules</t>
  </si>
  <si>
    <t>tt18924506</t>
  </si>
  <si>
    <t>Bestselling author and award-winning filmmaker, Dinesh D‚Äö√Ñ√¥Souza, exposes widespread coordinated voter fraud in the 2020 election sufficient to change the overall outcome. Drawing on research provided by the election integrity group, True the Vote, ‚Äö√Ñ√∫2000 Mules‚Äö√Ñ√π offers two types of evidence: geotracking and video. The geotracking evidence, based on a database of ten trillion cell phone pings, exposes an elaborate network of professional operatives, called mules, delivering fraudulent votes to mail-in boxes in the five key states where the election was decided. Video evidence obtained from official surveillance cameras corroborates the cellular positioning data. The film concludes by exploring ways to assist in the prevention of election fraud in future democratic elections.</t>
  </si>
  <si>
    <t>They thought we‚Äö√Ñ√¥d never find out. They were wrong.</t>
  </si>
  <si>
    <t>Documentary</t>
  </si>
  <si>
    <t>d'souza media, salem media group</t>
  </si>
  <si>
    <t>Sebastian Gorka, Wolf Blitzer, Hans von Spakovsky, Charlie Kirk, Shepard Smith, Dennis Prager, Eric Metaxas, Don Lemon, Joy Reid, Chris Wallace, Stacey Abrams, Gregg Phillips, Dinesh D'Souza, Mark Zuckerberg, Bret Baier, Donald Trump, Chris Cuomo, Catherine Engelbrecht, Larry Elder, James O‚Äö√Ñ√¥Keefe, Joe Biden, Debbie D'Souza</t>
  </si>
  <si>
    <t>Debbie D'Souza, Dinesh D'Souza, Bruce Schooley</t>
  </si>
  <si>
    <t>Gregg Phillips, Dinesh D'Souza, Catherine Engelbrecht</t>
  </si>
  <si>
    <t>Bryan E. Miller</t>
  </si>
  <si>
    <t>/nTz0ZDc2PdHpn07O37Jmq2vaSPV.jpg</t>
  </si>
  <si>
    <t>2000 mules</t>
  </si>
  <si>
    <t>blank (1), dvd premiere (1), theatrical release (1), limited (1)</t>
  </si>
  <si>
    <t>Top Gun: Maverick</t>
  </si>
  <si>
    <t>tt1745960</t>
  </si>
  <si>
    <t>After more than thirty years of service as one of the Navy‚Äö√Ñ√¥s top aviators, and dodging the advancement in rank that would ground him, Pete ‚Äö√Ñ√∫Maverick‚Äö√Ñ√π Mitchell finds himself training a detachment of TOP GUN graduates for a specialized mission the likes of which no living pilot has ever seen.</t>
  </si>
  <si>
    <t>Feel the need... The need for speed.</t>
  </si>
  <si>
    <t>Action, Drama</t>
  </si>
  <si>
    <t>skydance media, don simpson/jerry bruckheimer films, paramount pictures</t>
  </si>
  <si>
    <t>Alec Williams, Whylip Lee, Tommy Kijas, Norman Ralph Eliasen, Glen Powell, Greg Tarzan Davis, Rachel Winfree, Jean Louisa Kelly, Ian Gary, Landon Gordon, Ryan Heilmann, Tom Cruise, Raymond Lee, James Handy, Bashir Salahuddin, Shannon Kane, Chido Nwokocha, Miles Teller, Bob Stephenson, Jon Hamm, Manny Jacinto, Danny Ramirez, Jake Picking, Jay Ellis, Jennifer Connelly, Kara Wang, Margaret Strabala, Charles Parnell, Lyliana Wray, Peter Mark Kendall, Brian Ferguson, Mercedes Kilmer, Val Kilmer, Rachael Markarian, Chelsea Harris, Jason Robert Boles, Tristan Henry, Ed Harris, Shantel Limbo, Austin Bowerman, Jack Schumacher, Stephanie Andrea Barron, Chaz Ingram, Lewis Pullman, Darnell Kirkwood, Monica Barbaro, Jack Kilmer</t>
  </si>
  <si>
    <t>Joseph Kosinski</t>
  </si>
  <si>
    <t>Claudio Miranda</t>
  </si>
  <si>
    <t>Peter Craig, Jim Cash, Jack Epps Jr., Ehren Kruger, Christopher McQuarrie, Justin Marks, Eric Warren Singer</t>
  </si>
  <si>
    <t>Don Granger, Tom Cruise, Dana Goldberg, Mike Stenson, Christopher McQuarrie, Stefan Sonnenfeld, Chad Oman, Jerry Bruckheimer, Tommy Harper, David Ellison</t>
  </si>
  <si>
    <t>Lady Gaga, Harold Faltermeyer, Hans Zimmer</t>
  </si>
  <si>
    <t>/62HCnUTziyWcpDaBO2i1DX17ljH.jpg</t>
  </si>
  <si>
    <t>top gun: maverick</t>
  </si>
  <si>
    <t>cannes film festival (1), premiere (4), london (1), blank (49), yokohama (1), early access (1), seoul (1), vod (1), dvd (1), dvd,4k uhd,blu-ray (1), moma - the contenders (1), re-release (6), internet (1), limited (1), screenx version (1)</t>
  </si>
  <si>
    <t>Crimes of the Future</t>
  </si>
  <si>
    <t>tt14549466</t>
  </si>
  <si>
    <t>With his partner, a celebrity performance artist publicly showcases the metamorphosis of his organs in avant-garde performances. An investigator from the National Organ Registry obsessively tracks their movements, which is when a mysterious group is revealed... Their mission ‚Äö√Ñ√Æ to use the artist's notoriety to shed light on the next phase of human evolution.</t>
  </si>
  <si>
    <t>Surgery is the new sex.</t>
  </si>
  <si>
    <t>Science Fiction, Horror, Drama</t>
  </si>
  <si>
    <t>serendipity point films, t‚àö¬©l‚àö¬©film canada, ingenious media, argonauts productions, rocketscience, wiffle films, davis films</t>
  </si>
  <si>
    <t>Canada, Greece, United Kingdom, France</t>
  </si>
  <si>
    <t>Jason Bitter, Yorgos Pirpassopoulos, Kristen Stewart, Welket Bungu‚àö¬©, Don McKellar, Denise Capezza, Efi Kantza, Tanaya Beatty, Nadia Litz, Penelope Tsilika, Viggo Mortensen, Sotiris Siozos, Mihalis Valasoglou, Tassos Karahalios, Lihi Kornowski, Scott Speedman, L‚àö¬©a Seydoux</t>
  </si>
  <si>
    <t>David Cronenberg</t>
  </si>
  <si>
    <t>Douglas Koch</t>
  </si>
  <si>
    <t>Thorsten Schumacher, Panos Papahadzis, Steve Solomos, Tom Quinn, Jeff Deutchman, Joe Iacono, Aida Tannyan, Christelle Conan, Robert Lantos, Peter Touche, Christian Parkes</t>
  </si>
  <si>
    <t>Howard Shore</t>
  </si>
  <si>
    <t>/RAFYMC0NgK9In9aGY6k6wsIL8w.jpg</t>
  </si>
  <si>
    <t>crimes of the future</t>
  </si>
  <si>
    <t>cannes film festival (1), blank (27), limited (5), buenos aires (1), jerusalem film festival (1), internet (5), new zealand international film festival (1), dvd premiere (3), melbourne international film festival (1), hong kong international film festival (1), barcelona - phenomena (2), subtitled version (2), technical premiere (1), donostia-san sebasti√°n international film festival (1), alicante (1), premiere (1), early release (1), zurich film festival (1), helsinki international film festival (1), busan international film festival (1), film festival cologne (1), vienna international film festival (1), bergen international film festival (1), lisbon &amp; sintra film festival (1), ljubljana international film festival (1), c√≥rdoba (1), screenwave international film festival (1), porto (1), batalha centro de cinema (1), tv premiere (1)</t>
  </si>
  <si>
    <t>The Bob's Burgers Movie</t>
  </si>
  <si>
    <t>tt7466442</t>
  </si>
  <si>
    <t>When a ruptured water main creates an enormous sinkhole right in front of Bob's Burgers, it blocks the entrance indefinitely and ruins the Belchers‚Äö√Ñ√¥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</si>
  <si>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Let's get this patty started.</t>
  </si>
  <si>
    <t>Animation, Music, Comedy, Crime</t>
  </si>
  <si>
    <t>20th century studios, bento box entertainment</t>
  </si>
  <si>
    <t>Brian Huskey, John Roberts, Sarah Silverman, John Q. Kubin, Hannah Parikh, Robert Ben Garant, Larry Murphy, Dan Mintz, Stephanie Beatriz, David Wain, Rob Huebel, Jenny Slate, David Herman, Loren Bouchard, Kristen Schaal, Eugene Mirman, Michelle Ruff, Andy Kindler, David Zyler, Phil LaMarr, Craig Anton, Jordan Peele, Paul Rudd, Paul F. Tompkins, H. Jon Benjamin, Zach Galifianakis, Ron Lynch, Parvesh Cheena, Nicole Byer, Sam Seder, Brooke Dillman, Laura Silverman, Gary Cole, Bobby Tisdale, Katie Crown, Ben Pronsky, Kevin Kline, Nick Kroll, Eugene Shawn, Aziz Ansari</t>
  </si>
  <si>
    <t>Bernard Derriman, Loren Bouchard</t>
  </si>
  <si>
    <t>Nora Smith, Loren Bouchard</t>
  </si>
  <si>
    <t>Steven Davis, Rich Rinaldi, Marci Proietto, Katie Crown, Loren Bouchard, Wendy Molyneux, Nora Smith, Lizzie Molyneux-Logelin, Janelle Momary, Dan Fybel, Jim Dauterive, Greg Thompson, Kelvin Yu, Holly Schlesinger</t>
  </si>
  <si>
    <t>Tim Davies</t>
  </si>
  <si>
    <t>/AvV2nHEDQMWuRqAUrpcx2fB97CB.jpg</t>
  </si>
  <si>
    <t>the bob's burgers movie</t>
  </si>
  <si>
    <t>blank (18), dvd premiere (3), internet (11)</t>
  </si>
  <si>
    <t>Jurassic World Dominion</t>
  </si>
  <si>
    <t>tt8041270</t>
  </si>
  <si>
    <t>Four years after Isla Nublar was destroyed, dinosaurs now live‚Äö√Ñ√Æand hunt‚Äö√Ñ√Æalongside humans all over the world. This fragile balance will reshape the future and determine, once and for all, whether human beings are to remain the apex predators on a planet they now share with history's most fearsome creatures.</t>
  </si>
  <si>
    <t>The epic conclusion of the Jurassic era.</t>
  </si>
  <si>
    <t>Adventure, Action, Science Fiction</t>
  </si>
  <si>
    <t>amblin entertainment, universal pictures</t>
  </si>
  <si>
    <t>Joel Elferink, Jeff Goldblum, Mo Brings Plenty, Ross Donnelly, Kristoffer Polaha, BD Wong, Cathleen Summers, DeWanda Wise, Enzo Squillino Jr., Gjee Wade II, Justice Smith, Ahir Shah, Campbell Scott, Omar Sy, Patrick Loungway, Alexander Owen, Daniella Pineda, Ben Cooke, Bastian Antonio Fuentes, Dichen Lachman, Aisling Sharkey, Freya Parker, Michael Bendib, Eleanor Tata, Laura Dern, Elan Ross Gibson, Ben Ashenden, Joe Azzopardi, Jasmine Chiu, Cokey Falkow, Bryce Dallas Howard, Caleb Hearon, Isabella Sermon, Lynn Hunter, Manuela Mora, Elva Trill, Scott Haze, Emilie Jumeaux, Mamoudou Athie, Luigi Boccanfuso, Teresa Cendon-Garcia, Varada Sethu, Chris Pratt, Glynis Davies, Dimitri 'Vegas' Thivaios, Sam Neill, Yasmine Bouabid, Metin Hassan</t>
  </si>
  <si>
    <t>Colin Trevorrow</t>
  </si>
  <si>
    <t>John Schwartzman</t>
  </si>
  <si>
    <t>Michael Crichton, Colin Trevorrow, Derek Connolly, Emily Carmichael</t>
  </si>
  <si>
    <t>Alexandra Derbyshire, Colin Trevorrow, Frank Marshall, Steven Spielberg, Patrick Crowley</t>
  </si>
  <si>
    <t>Michael Giacchino</t>
  </si>
  <si>
    <t>/jbAvCACjLf1ZG0unB2tdmx5HAf1.jpg</t>
  </si>
  <si>
    <t>jurassic world dominion</t>
  </si>
  <si>
    <t>mexico city (1), premiere (2), blank (58), hollywood, california (1), vod (1), dvd,4k uhd,blu-ray (1), dvd premiere (1), internet (1), 4k version (1), shanghai international film festival (1), tv release (1), tv premiere (1)</t>
  </si>
  <si>
    <t>Vikram</t>
  </si>
  <si>
    <t>tt9179430</t>
  </si>
  <si>
    <t>ta</t>
  </si>
  <si>
    <t>‚Ä°√Ü¬µ‚Ä°√Ü√∏‚Ä°√Ü√Ø‚Ä°√ò√ß‚Ä°√Ü‚àû‚Ä°√Ü√Ü‚Ä°√ò√ß</t>
  </si>
  <si>
    <t>Amar is assigned to investigate a case of serial killings. When Amar investigates the case, he realizes it is not what it seems to be and following down this path will lead to nothing but war between everyone involved.</t>
  </si>
  <si>
    <t>Once upon a time there lived a ghost...</t>
  </si>
  <si>
    <t>Action, Crime, Thriller</t>
  </si>
  <si>
    <t>raajkamal films international</t>
  </si>
  <si>
    <t>, ‚Ä°√Ü¬ß‚Ä°√Ü√Ü‚Ä°√Ü√∏‚Ä°√Ü¬•‚Ä°√ò√ß</t>
  </si>
  <si>
    <t>KPY Dheena, Maya S. Krishnan, Hareesh Peradi, Karthi, Priyadarshini Rajkumar, Kamal Haasan, Anish Padmanabhan, Pondy Ravi, Elango Kumaravel, Sampath Ram, Aruldoss, Monekha Siva, Fahadh Faasil, G. Marimuthu, Shivani Narayanan, Myna Nandhini, Shreekumar, Gajaraj, Baby Dharsan, Gokulnath, Vinodh Munna, Harish Uthaman, Swathishta Krishnan, Chemban Vinod Jose, Arunodhayan, Arjun Das, Narain, Vijay Sethupathi, Jaffer Sadiq, Maheswari Chanakyan, Santhana Bharathi, Vasanthi Guru, Gayathrie Shankar, Gowtham Sundararajan, Suriya, Thejank, Kalidas Jayaram, Ramesh Thilak</t>
  </si>
  <si>
    <t>Lokesh Kanagaraj</t>
  </si>
  <si>
    <t>Girish Gangadharan</t>
  </si>
  <si>
    <t>Vishnu Edavan, Lokesh Kanagaraj, Heisenberg, Kamal Haasan, Rathna Kumar</t>
  </si>
  <si>
    <t>Kamal Haasan, S. Disney, R. Mahendran</t>
  </si>
  <si>
    <t>Anirudh Ravichander</t>
  </si>
  <si>
    <t>/774UV1aCURb4s4JfEFg3IEMu5Zj.jpg</t>
  </si>
  <si>
    <t>vikram</t>
  </si>
  <si>
    <t>internet (4), blank (9), limited (1), busan international film festival (1), taipei golden horse film festival (1), red lotus asian film festival vienna (1)</t>
  </si>
  <si>
    <t>Watcher</t>
  </si>
  <si>
    <t>tt12004038</t>
  </si>
  <si>
    <t>As a serial killer stalks the city, Julia ‚Äö√Ñ√Æ a young actress who just moved to town with her husband ‚Äö√Ñ√Æ notices a mysterious stranger watching her from across the street.</t>
  </si>
  <si>
    <t>Evil wants to be seen.</t>
  </si>
  <si>
    <t>Horror, Mystery, Thriller</t>
  </si>
  <si>
    <t>image nation abu dhabi, lost city, spooky pictures, agc studios</t>
  </si>
  <si>
    <t>United Arab Emirates, United States of America</t>
  </si>
  <si>
    <t>English, Rom‚àö¬¢n∆í√â</t>
  </si>
  <si>
    <t>Gabriela Butuc, Ciprian Chiriche¬ª√¥, Ioana Abur, Ionut Grama, Simona P∆í√âtruleasa, Marius Cobzariu, Ioana Hirica, ¬ª√≤tefan Iancu, Bogdan Farca¬ª√¥, Adrian Radulescu, Alexandru Ion, Andreea Sovan, Lucian Ionescu, Alice Cora Mihalache, Florian Ghimpu, Burn Gorman, Aida Economu, Maika Monroe, Radu Bunescu, Daniel Nuta, Karl Glusman, Petre Moraru, M‚àö¬£d‚àö¬£lina Anea, Flaviu Crisan, Tudor Petru¬ª√µ, Cristina Deleanu</t>
  </si>
  <si>
    <t>Chloe Okuno</t>
  </si>
  <si>
    <t>Benjamin Kirk Nielsen</t>
  </si>
  <si>
    <t>Zack Ford, Chloe Okuno</t>
  </si>
  <si>
    <t>Roy Lee, Gabi Antal, Ben Ross, Rami Yasin, Elizabeth Grave, James Hoppe, Sean Perrone, John Finemore, Aaron Kaplan, Derek Dauchy, Steven Schneider, Mason Novick</t>
  </si>
  <si>
    <t>Nathan Halpern</t>
  </si>
  <si>
    <t>/dXCjoI3jdtBrwPHgVsyNLkl8Rvs.jpg</t>
  </si>
  <si>
    <t>watcher</t>
  </si>
  <si>
    <t>sundance film festival (1), south by southwest film festival (1), sun valley film festival (1), cleveland international film festival (1), seattle international film festival (1), milwaukee film festival (1), minneapolis-st. paul international film festival (1), pff springfest (1), internet (5), blank (6), sundance film festival london (1), munich international film festival (1), melbourne international film festival (1), dvd premiere (4), blu-ray release (1), deauville american film festival (1), blu ray release (1), imagine film festival (1), belfast film festival (1), g√©rardmer international fantastic film festival (1), tv release (1)</t>
  </si>
  <si>
    <t>Legend of Gatotkaca</t>
  </si>
  <si>
    <t>tt10090058</t>
  </si>
  <si>
    <t>Satria Dewa: Gatotkaca</t>
  </si>
  <si>
    <t>A young man discovers he is the descendant of a powerful warrior and must unlock his hidden abilities to fight an ancient enemy who seeks to alter history and destroy the world.</t>
  </si>
  <si>
    <t>This is our hero!</t>
  </si>
  <si>
    <t>Action, Adventure, Drama, Fantasy, Science Fiction</t>
  </si>
  <si>
    <t>satria dewa studio, caravan studio, magma entertainment, lumine studio</t>
  </si>
  <si>
    <t>Indonesia</t>
  </si>
  <si>
    <t>Bahasa indonesia</t>
  </si>
  <si>
    <t>Artika Amelia, Ninda Fillasputri, Rigen Rakelna, Jenny Zhang, Rieta Nunung, Wiwid Hepi Wicaksono, Bintang Aryastia, Karmel Nicholas, Yati Surachman, Venerabella Arin, Megarita, Aldrin Jepang, Bambang Paningron, Banyu Bening, Norman R. Akyuwen, Wildan, Wardi, Arjun, Fectra Yanuar, Ismi Melinda, Rengga, Aisya Pratama, Aiesha Kehara, Sony Aditya, Bagor Gamplong, Bondan Nusantara, Apuk, Herman Gaess 88, Nizam Tazkia, Danang, Purnomo Wati, Wirda Sheren, Fedi Nuril, Siti Fauziah, Anggun Bunga Jelita Asmara Sakti, Bobby Witomo, H. Dedet, Cherry Panjaitan, Omar Daniel, Aryudha Fasha, Aditya Nugraha Putra, Maharani Ayu Putri, Hamdy Salad, Senoaji Julius, Anang Batas, Haru Sandra, Edward Akbar, Widianto, Sandi Gudel, Indra Jegel, Sri Widayati, Jordan Omar, Butet Kertaradjasa, Retno Sari, Farhan, Rowiena Umboh, Brydden Fablo Escobar, Elkie Kwee, Martin Anugrah, Gilang Bhaskara, Nando Hilmy, Anggipuri, Adhan, Reza Nangin, Harry Izwan, Axel Matthew Thomas, Jasmi Buyung, Eko Budi Antara, Luceng, Shella Sesil, Yu Beruk, Lajo Rega, Aghniny Haque, Fahmi, Resti Deeta, Agik Steve Gumilar, Dede Godel, Muchlis Mustafa, Arya Solo, Jerome Kurnia, Rizky Nazar, Luis Jocom, Eza Yoga, Arifnanto, Ali Fikry, Tio Andito, Yayan Ruhian, Mauro Muhammad Brunner, Zsa Zsa Utari, Vanda Mutiara, Evan Triyono, Yasmin Napper, Freddy Rotterdam, Max Metino, Kevin Kalagita, Dyah Mulani, Husein Abdulaziz, Guna Guntara, Tojiray, Andrean, Apriyanto Tri, Arkadewa Lukman, Cecep Arif Rahman, Hendry Arie, Kukuh Prasetya, Sigi Wimala, Bagas Firdaus, Alvarendra Pramudya Sitompul, Sekar Sari</t>
  </si>
  <si>
    <t>Hanung Bramantyo</t>
  </si>
  <si>
    <t>Galang Galih</t>
  </si>
  <si>
    <t>Syahrun Ramadhan, Hanung Bramantyo, Rahabi Mandra, Rino Febrian</t>
  </si>
  <si>
    <t>Francis Wanandi, Keo Santoso, Ricky Wijaya, Michael Steven, Arifin Sjaichudin, Ronny Wilimas Sugiadha, Fritz Bonny Tobing, Celerina Judisari, Widjaja Tannady, Erick Thohir</t>
  </si>
  <si>
    <t>Ricky Lionardi</t>
  </si>
  <si>
    <t>/tbx0zPMcbPlhGALf1XzAw3CzKMT.jpg</t>
  </si>
  <si>
    <t>legend of gatotkaca</t>
  </si>
  <si>
    <t>blank (3), internet (9)</t>
  </si>
  <si>
    <t>Lightyear</t>
  </si>
  <si>
    <t>tt10298810</t>
  </si>
  <si>
    <t>Legendary Space Ranger Buzz Lightyear embarks on an intergalactic adventure alongside a group of ambitious recruits and his robot companion Sox.</t>
  </si>
  <si>
    <t>Infinity awaits.</t>
  </si>
  <si>
    <t>Animation, Science Fiction, Family, Adventure</t>
  </si>
  <si>
    <t>pixar</t>
  </si>
  <si>
    <t>Uzo Aduba, Keke Palmer, Carlos Alazraqui, Cristina Milizia, Chris Evans, Kimberly Bailey, Jacqueline Pinol, Jackie Gonneau, June Christopher, Ruth Zalduondo, Taika Waititi, Isiah Whitlock, Jr., Piotr Michael, Angus MacLane, Stephanie Komure, Efren Ramirez, James Brolin, Rif Hutton, Terri Douglas, Bill Hader, Shane Sweet, Debra Wilson, Mary McDonald-Lewis, Cory Yee, Matthew Wood, William Calvert, David Cowgill, Dale Soules, Keira Hairston, Matthew Yang King, Griffin Puatu, Arthur Ortiz, Peter Sohn</t>
  </si>
  <si>
    <t>Angus MacLane</t>
  </si>
  <si>
    <t>Ian Megibben, Jeremy Lasky</t>
  </si>
  <si>
    <t>Matthew Aldrich, Rebecca Banks, Dean Kelly, Nicolle Castro, Margaret Spencer, Angus MacLane, Jason Headley</t>
  </si>
  <si>
    <t>Andrew Stanton, Pete Docter, Galyn Susman</t>
  </si>
  <si>
    <t>/b9t3w1loraDh7hjdWmpc9ZsaYns.jpg</t>
  </si>
  <si>
    <t>lightyear</t>
  </si>
  <si>
    <t>blank (66), internet (2), dvd premiere (1)</t>
  </si>
  <si>
    <t>The Black Phone</t>
  </si>
  <si>
    <t>tt7144666</t>
  </si>
  <si>
    <t>Finney Blake, a shy but clever 13-year-old boy, is abducted by a sadistic killer and trapped in a soundproof basement where screaming is of little use. When a disconnected phone on the wall begins to ring, Finney discovers that he can hear the voices of the killer‚Äö√Ñ√¥s previous victims. And they are dead set on making sure that what happened to them doesn‚Äö√Ñ√¥t happen to Finney.</t>
  </si>
  <si>
    <t>Never talk to strangers.</t>
  </si>
  <si>
    <t>Horror, Thriller</t>
  </si>
  <si>
    <t>blumhouse productions, crooked highway</t>
  </si>
  <si>
    <t>English, Espa‚àö¬±ol, Portugu‚àö‚Ñ¢s</t>
  </si>
  <si>
    <t>Jordan Isaiah White, Veronica Russell, Christine Connelly, Brady Ryan, Mark Riccardi, Rebecca Clarke, James Ransone, Chris TC Edge, Banks Repeta, E. Roger Mitchell, Matthew Simmons, Rocco Poveromo, Troy Rudeseal, Mason Thames, Mike Bailey, Sheila M. O'Rear, Ron Blake, J. Gaven Wilde, Madeleine McGraw, Jacob Moran, Miguel Mora, Spencer Fitzgerald, Gina Jun, Brady Hepner, Robert Fortunato, Dashiell Derrickson, Tristan Pravong, Braxton Alexander, T. Maxwell Martin, Bay Allebach, Luca De Massis, Ryan Cronan, Ethan Hawke, Kellan Rhude, Kristina Arjona, Parrish Stikeleather, Jeremy Davies, Andrew Farmer, Megan Petersen, Reagan Shumate</t>
  </si>
  <si>
    <t>Scott Derrickson</t>
  </si>
  <si>
    <t>Brett Jutkiewicz</t>
  </si>
  <si>
    <t>Joe Hill, C. Robert Cargill, Scott Derrickson</t>
  </si>
  <si>
    <t>Ryan Turek, Joe Hill, Jason Blum, Christopher H. Warner, Scott Derrickson, C. Robert Cargill</t>
  </si>
  <si>
    <t>Mark Korven</t>
  </si>
  <si>
    <t>/p9ZUzCyy9wRTDuuQexkQ78R2BgF.jpg</t>
  </si>
  <si>
    <t>the black phone</t>
  </si>
  <si>
    <t>fantastic fest (1), beyond fest (1), madrid - muestra syfy de cine fant√°stico (1), subtitled version (1), event premiere (1), festival internacional de cine de guadalajara (1), limited (1), tribeca film festival (1), blank (53), spain (1), technical premiere (1), internet (1), tv release (1)</t>
  </si>
  <si>
    <t>Brian and Charles</t>
  </si>
  <si>
    <t>tt13270424</t>
  </si>
  <si>
    <t>An endearing outlier, Brian lives alone in a Welsh valley, inventing oddball contraptions that seldom work. After finding a discarded mannequin head, Brian gets an idea. Three days, a washing machine, and sundry spare parts later, he‚Äö√Ñ√¥s invented Charles, an artificially intelligent robot who learns English from a dictionary and proves a charming, cheeky companion. Before long, however, Charles also develops autonomy. Intrigued by the wider world ‚Äö√Ñ√Æ or whatever lies beyond the cottage where Brian has hidden him away ‚Äö√Ñ√Æ Charles craves adventure.</t>
  </si>
  <si>
    <t>Some friendships are built to last.</t>
  </si>
  <si>
    <t>Comedy, Drama, Science Fiction</t>
  </si>
  <si>
    <t>bankside films, bfi, film4 productions, great point media</t>
  </si>
  <si>
    <t>United Kingdom</t>
  </si>
  <si>
    <t>Colin Bennett, Louise Brealey, Mari Izzard, Nina Sosanya, Lowri Izzard, Lynn Hunter, Vivienne Soan, Jamie Michie, Rishi Nair, Chris Hayward, Nicholas Asbury, Sunil Patel, Cara Chase, David Earl</t>
  </si>
  <si>
    <t>Jim Archer</t>
  </si>
  <si>
    <t>Murren Tullet</t>
  </si>
  <si>
    <t>Chris Hayward, David Earl</t>
  </si>
  <si>
    <t>Ollie Madden, Lauren Dark, Rupert Majendie, Damian Jones, Daniel Battsek, Mary Burke</t>
  </si>
  <si>
    <t>Daniel Pemberton</t>
  </si>
  <si>
    <t>/pzP3N9qRo3S91QjfBFWNI0ph0AY.jpg</t>
  </si>
  <si>
    <t>brian and charles</t>
  </si>
  <si>
    <t>sundance film festival (1), blank (6), internet (3), limited (1), munich international film festival (1), melbourne international film festival (1), imagine film festival (1), leiden international film festival (1), taipei golden horse film festival (1), stockholm international film festival (1), tv release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</si>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</sst>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1F6849-4B91-3C4C-8F14-B78711B53E3F}" name="Table1" displayName="Table1" ref="A1:AQ35" totalsRowCount="1">
  <autoFilter ref="A1:AQ34" xr:uid="{951F6849-4B91-3C4C-8F14-B78711B53E3F}">
    <filterColumn colId="41">
      <filters>
        <filter val="no"/>
      </filters>
    </filterColumn>
  </autoFilter>
  <tableColumns count="43">
    <tableColumn id="1" xr3:uid="{FA0EFD09-2E08-754C-B8AD-02078EEFB38F}" name="id" totalsRowLabel="Total"/>
    <tableColumn id="2" xr3:uid="{7457CC5E-6B03-6941-8F79-6583D250D632}" name="title"/>
    <tableColumn id="3" xr3:uid="{BC6273B3-611F-E840-9A8D-C2160B96937E}" name="vote_average"/>
    <tableColumn id="4" xr3:uid="{CD4389C7-B5F2-7446-B494-1214E6179D86}" name="vote_count"/>
    <tableColumn id="5" xr3:uid="{70DF9123-3109-C64F-B67E-8E846A588A7A}" name="status"/>
    <tableColumn id="6" xr3:uid="{5DA8792B-903D-8748-AA25-DEFE962A70A1}" name="release_date" dataDxfId="0"/>
    <tableColumn id="7" xr3:uid="{A3A61204-8767-F54F-A5AA-B27E73625972}" name="revenue"/>
    <tableColumn id="8" xr3:uid="{14B7DA00-D73B-184F-9882-A82D41923F34}" name="runtime"/>
    <tableColumn id="9" xr3:uid="{726E4F13-DBBD-B349-BF3B-12925B2C5F34}" name="budget"/>
    <tableColumn id="10" xr3:uid="{C52B296F-BAD9-BD49-ACBF-6A6E91ACDDC3}" name="imdb_id"/>
    <tableColumn id="11" xr3:uid="{931D0EE3-8927-6E42-AC3B-B21C34CC5D4A}" name="original_language"/>
    <tableColumn id="12" xr3:uid="{39F0042D-FF4B-E044-AFF3-7ECF6F25B2AF}" name="original_title"/>
    <tableColumn id="13" xr3:uid="{4703748E-97BB-3E4E-BBEA-097229E02EAA}" name="overview"/>
    <tableColumn id="14" xr3:uid="{0BEC31A6-5AA0-8F4F-A60B-5CD9E42C1FCE}" name="popularity"/>
    <tableColumn id="15" xr3:uid="{F3A5EB03-C978-2445-8036-20989EA067D1}" name="tagline"/>
    <tableColumn id="16" xr3:uid="{7541C7FF-8C38-694A-A625-660AF05E0DCB}" name="genres"/>
    <tableColumn id="17" xr3:uid="{46D18588-6060-3941-9926-D073CF70F87B}" name="production_companies"/>
    <tableColumn id="18" xr3:uid="{4A557C00-F5AD-3A4E-AD31-9F1D03DBDDBA}" name="production_countries"/>
    <tableColumn id="19" xr3:uid="{2AB43841-71DD-B948-8503-DB45D5EE0728}" name="spoken_languages"/>
    <tableColumn id="20" xr3:uid="{B9588C27-2FFD-D747-88DF-65A9B14BAC5C}" name="cast"/>
    <tableColumn id="21" xr3:uid="{5D173440-7FB7-0045-A43F-F3550981EFE1}" name="director"/>
    <tableColumn id="22" xr3:uid="{9EBF78FE-0995-8642-BD75-12603582A3EA}" name="director_of_photography"/>
    <tableColumn id="23" xr3:uid="{0A5570B7-8AB5-1247-9F0D-C8485AEEAFE2}" name="writers"/>
    <tableColumn id="24" xr3:uid="{AB01C985-13C1-1D45-9F01-8E4D56F4AE45}" name="producers"/>
    <tableColumn id="25" xr3:uid="{6FC2ACFB-1FA3-A547-B0B6-1462202CD72D}" name="music_composer"/>
    <tableColumn id="26" xr3:uid="{62F5FEEF-F3BD-CC45-89EB-7B7ED8AE942F}" name="imdb_rating"/>
    <tableColumn id="27" xr3:uid="{B04F6E2B-C31B-394E-A99F-6FDF4D947D71}" name="imdb_votes"/>
    <tableColumn id="28" xr3:uid="{C0421067-6261-E24A-9EA2-CAFCE10E1500}" name="poster_path"/>
    <tableColumn id="29" xr3:uid="{15CB4AE4-1F8F-264A-A704-B2BAE24414FF}" name="release_month"/>
    <tableColumn id="30" xr3:uid="{D43331D1-7DE4-8340-8B14-E4E938797780}" name="release_year"/>
    <tableColumn id="31" xr3:uid="{9F7D6B10-3830-3F44-95F6-DE4E4482016C}" name="iso_week"/>
    <tableColumn id="32" xr3:uid="{AD2C5DF9-9F81-DD40-BA01-A2116B21A650}" name="title_clean"/>
    <tableColumn id="33" xr3:uid="{884A5BA9-7691-2E4C-A627-FE7B768FFB64}" name="distance"/>
    <tableColumn id="34" xr3:uid="{237E6220-2EAB-B54E-958C-8376DC69D907}" name="strength"/>
    <tableColumn id="35" xr3:uid="{6326694A-426C-604F-8E8A-C8B86F6FACBC}" name="score" totalsRowFunction="sum"/>
    <tableColumn id="36" xr3:uid="{E1A242AC-D68C-8145-B802-A2E5B172474B}" name="marvel_movie"/>
    <tableColumn id="37" xr3:uid="{4E138CA1-2AF6-AD48-95B2-C10D7C96B078}" name="attributes"/>
    <tableColumn id="38" xr3:uid="{4E67E106-E3C5-C746-9083-C124A7EC2E55}" name="blank"/>
    <tableColumn id="39" xr3:uid="{9592EBC1-F3DB-DF4A-A123-AF8496736F41}" name="internet"/>
    <tableColumn id="40" xr3:uid="{EBC662DC-4CCF-8C49-9D89-F9576AF0CA17}" name="total"/>
    <tableColumn id="41" xr3:uid="{C5F2E667-21A9-014B-9A36-085FC3A84936}" name="internet_ratio"/>
    <tableColumn id="42" xr3:uid="{90433F1E-E9FD-A045-8ECF-4854FCABCFC0}" name="internet_dominance"/>
    <tableColumn id="43" xr3:uid="{38B7EEB5-53C6-0644-9DAD-DF5FC0FE831B}"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45F34-7B2C-E347-86A9-99F31706908A}">
  <dimension ref="A1:AQ35"/>
  <sheetViews>
    <sheetView tabSelected="1" topLeftCell="AA1" workbookViewId="0">
      <selection activeCell="AI35" sqref="AI35"/>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752623</v>
      </c>
      <c r="B2" t="s">
        <v>43</v>
      </c>
      <c r="C2">
        <v>6.4740000000000002</v>
      </c>
      <c r="D2">
        <v>3799</v>
      </c>
      <c r="E2" t="s">
        <v>44</v>
      </c>
      <c r="F2" s="1">
        <v>44643</v>
      </c>
      <c r="G2">
        <v>192907684</v>
      </c>
      <c r="H2">
        <v>112</v>
      </c>
      <c r="I2">
        <v>74000000</v>
      </c>
      <c r="J2" t="s">
        <v>45</v>
      </c>
      <c r="K2" t="s">
        <v>46</v>
      </c>
      <c r="L2" t="s">
        <v>43</v>
      </c>
      <c r="M2" t="s">
        <v>47</v>
      </c>
      <c r="N2">
        <v>7.0385</v>
      </c>
      <c r="O2" t="s">
        <v>48</v>
      </c>
      <c r="P2" t="s">
        <v>49</v>
      </c>
      <c r="Q2" t="s">
        <v>50</v>
      </c>
      <c r="R2" t="s">
        <v>51</v>
      </c>
      <c r="S2" t="s">
        <v>52</v>
      </c>
      <c r="T2" t="s">
        <v>53</v>
      </c>
      <c r="U2" t="s">
        <v>54</v>
      </c>
      <c r="V2" t="s">
        <v>55</v>
      </c>
      <c r="W2" t="s">
        <v>56</v>
      </c>
      <c r="X2" t="s">
        <v>57</v>
      </c>
      <c r="Y2" t="s">
        <v>58</v>
      </c>
      <c r="Z2">
        <v>6.1</v>
      </c>
      <c r="AA2">
        <v>173409</v>
      </c>
      <c r="AB2" t="s">
        <v>59</v>
      </c>
      <c r="AC2">
        <v>3</v>
      </c>
      <c r="AD2">
        <v>2022</v>
      </c>
      <c r="AE2">
        <v>12</v>
      </c>
      <c r="AF2" t="s">
        <v>60</v>
      </c>
      <c r="AG2">
        <v>-42</v>
      </c>
      <c r="AH2">
        <v>19.077722316377301</v>
      </c>
      <c r="AI2">
        <v>0.44366796084598498</v>
      </c>
      <c r="AJ2" t="s">
        <v>61</v>
      </c>
      <c r="AK2" t="s">
        <v>62</v>
      </c>
      <c r="AL2">
        <v>51</v>
      </c>
      <c r="AM2">
        <v>3</v>
      </c>
      <c r="AN2">
        <v>58</v>
      </c>
      <c r="AO2">
        <v>0.05</v>
      </c>
      <c r="AP2" t="s">
        <v>63</v>
      </c>
      <c r="AQ2" t="s">
        <v>63</v>
      </c>
    </row>
    <row r="3" spans="1:43" x14ac:dyDescent="0.2">
      <c r="A3">
        <v>545611</v>
      </c>
      <c r="B3" t="s">
        <v>64</v>
      </c>
      <c r="C3">
        <v>7.7</v>
      </c>
      <c r="D3">
        <v>7417</v>
      </c>
      <c r="E3" t="s">
        <v>44</v>
      </c>
      <c r="F3" s="1">
        <v>44644</v>
      </c>
      <c r="G3">
        <v>139200000</v>
      </c>
      <c r="H3">
        <v>140</v>
      </c>
      <c r="I3">
        <v>25000000</v>
      </c>
      <c r="J3" t="s">
        <v>65</v>
      </c>
      <c r="K3" t="s">
        <v>46</v>
      </c>
      <c r="L3" t="s">
        <v>64</v>
      </c>
      <c r="M3" t="s">
        <v>66</v>
      </c>
      <c r="N3">
        <v>9.1652000000000005</v>
      </c>
      <c r="O3" t="s">
        <v>67</v>
      </c>
      <c r="P3" t="s">
        <v>68</v>
      </c>
      <c r="Q3" t="s">
        <v>69</v>
      </c>
      <c r="R3" t="s">
        <v>51</v>
      </c>
      <c r="S3" t="s">
        <v>70</v>
      </c>
      <c r="T3" t="s">
        <v>71</v>
      </c>
      <c r="U3" t="s">
        <v>72</v>
      </c>
      <c r="V3" t="s">
        <v>73</v>
      </c>
      <c r="W3" t="s">
        <v>72</v>
      </c>
      <c r="X3" t="s">
        <v>74</v>
      </c>
      <c r="Y3" t="s">
        <v>75</v>
      </c>
      <c r="Z3">
        <v>7.7</v>
      </c>
      <c r="AA3">
        <v>596667</v>
      </c>
      <c r="AB3" t="s">
        <v>76</v>
      </c>
      <c r="AC3">
        <v>3</v>
      </c>
      <c r="AD3">
        <v>2022</v>
      </c>
      <c r="AE3">
        <v>12</v>
      </c>
      <c r="AF3" t="s">
        <v>77</v>
      </c>
      <c r="AG3">
        <v>-41</v>
      </c>
      <c r="AH3">
        <v>18.751422313048501</v>
      </c>
      <c r="AI3">
        <v>0.44646243602496399</v>
      </c>
      <c r="AJ3" t="s">
        <v>61</v>
      </c>
      <c r="AK3" t="s">
        <v>78</v>
      </c>
      <c r="AL3">
        <v>50</v>
      </c>
      <c r="AM3">
        <v>5</v>
      </c>
      <c r="AN3">
        <v>86</v>
      </c>
      <c r="AO3">
        <v>0.06</v>
      </c>
      <c r="AP3" t="s">
        <v>63</v>
      </c>
      <c r="AQ3" t="s">
        <v>63</v>
      </c>
    </row>
    <row r="4" spans="1:43" x14ac:dyDescent="0.2">
      <c r="A4">
        <v>579974</v>
      </c>
      <c r="B4" t="s">
        <v>79</v>
      </c>
      <c r="C4">
        <v>7.7</v>
      </c>
      <c r="D4">
        <v>1467</v>
      </c>
      <c r="E4" t="s">
        <v>44</v>
      </c>
      <c r="F4" s="1">
        <v>44644</v>
      </c>
      <c r="G4">
        <v>160000000</v>
      </c>
      <c r="H4">
        <v>185</v>
      </c>
      <c r="I4">
        <v>69000000</v>
      </c>
      <c r="J4" t="s">
        <v>80</v>
      </c>
      <c r="K4" t="s">
        <v>81</v>
      </c>
      <c r="L4" t="s">
        <v>82</v>
      </c>
      <c r="M4" t="s">
        <v>83</v>
      </c>
      <c r="N4">
        <v>10.925800000000001</v>
      </c>
      <c r="O4" t="s">
        <v>84</v>
      </c>
      <c r="P4" t="s">
        <v>85</v>
      </c>
      <c r="Q4" t="s">
        <v>86</v>
      </c>
      <c r="R4" t="s">
        <v>87</v>
      </c>
      <c r="S4" t="s">
        <v>88</v>
      </c>
      <c r="T4" t="s">
        <v>89</v>
      </c>
      <c r="U4" t="s">
        <v>90</v>
      </c>
      <c r="V4" t="s">
        <v>91</v>
      </c>
      <c r="W4" t="s">
        <v>92</v>
      </c>
      <c r="X4" t="s">
        <v>93</v>
      </c>
      <c r="Y4" t="s">
        <v>94</v>
      </c>
      <c r="Z4">
        <v>7.8</v>
      </c>
      <c r="AA4">
        <v>183336</v>
      </c>
      <c r="AB4" t="s">
        <v>95</v>
      </c>
      <c r="AC4">
        <v>3</v>
      </c>
      <c r="AD4">
        <v>2022</v>
      </c>
      <c r="AE4">
        <v>12</v>
      </c>
      <c r="AF4" t="s">
        <v>96</v>
      </c>
      <c r="AG4">
        <v>-41</v>
      </c>
      <c r="AH4">
        <v>18.8906843794481</v>
      </c>
      <c r="AI4">
        <v>0.449778199510669</v>
      </c>
      <c r="AJ4" t="s">
        <v>61</v>
      </c>
      <c r="AK4" t="s">
        <v>97</v>
      </c>
      <c r="AL4">
        <v>20</v>
      </c>
      <c r="AM4">
        <v>10</v>
      </c>
      <c r="AN4">
        <v>52</v>
      </c>
      <c r="AO4">
        <v>0.19</v>
      </c>
      <c r="AP4" t="s">
        <v>63</v>
      </c>
      <c r="AQ4" t="s">
        <v>63</v>
      </c>
    </row>
    <row r="5" spans="1:43" x14ac:dyDescent="0.2">
      <c r="A5">
        <v>526896</v>
      </c>
      <c r="B5" t="s">
        <v>98</v>
      </c>
      <c r="C5">
        <v>5.9379999999999997</v>
      </c>
      <c r="D5">
        <v>4630</v>
      </c>
      <c r="E5" t="s">
        <v>44</v>
      </c>
      <c r="F5" s="1">
        <v>44650</v>
      </c>
      <c r="G5">
        <v>167635712</v>
      </c>
      <c r="H5">
        <v>105</v>
      </c>
      <c r="I5">
        <v>75000000</v>
      </c>
      <c r="J5" t="s">
        <v>99</v>
      </c>
      <c r="K5" t="s">
        <v>46</v>
      </c>
      <c r="L5" t="s">
        <v>98</v>
      </c>
      <c r="M5" t="s">
        <v>100</v>
      </c>
      <c r="N5">
        <v>8.4824000000000002</v>
      </c>
      <c r="O5" t="s">
        <v>101</v>
      </c>
      <c r="P5" t="s">
        <v>102</v>
      </c>
      <c r="Q5" t="s">
        <v>103</v>
      </c>
      <c r="R5" t="s">
        <v>51</v>
      </c>
      <c r="S5" t="s">
        <v>104</v>
      </c>
      <c r="T5" t="s">
        <v>105</v>
      </c>
      <c r="U5" t="s">
        <v>106</v>
      </c>
      <c r="V5" t="s">
        <v>107</v>
      </c>
      <c r="W5" t="s">
        <v>108</v>
      </c>
      <c r="X5" t="s">
        <v>109</v>
      </c>
      <c r="Y5" t="s">
        <v>110</v>
      </c>
      <c r="Z5">
        <v>5.0999999999999996</v>
      </c>
      <c r="AA5">
        <v>168354</v>
      </c>
      <c r="AB5" t="s">
        <v>111</v>
      </c>
      <c r="AC5">
        <v>3</v>
      </c>
      <c r="AD5">
        <v>2022</v>
      </c>
      <c r="AE5">
        <v>13</v>
      </c>
      <c r="AF5" t="s">
        <v>112</v>
      </c>
      <c r="AG5">
        <v>-35</v>
      </c>
      <c r="AH5">
        <v>18.937303808038401</v>
      </c>
      <c r="AI5">
        <v>0.52603621688995705</v>
      </c>
      <c r="AJ5" t="s">
        <v>61</v>
      </c>
      <c r="AK5" t="s">
        <v>113</v>
      </c>
      <c r="AL5">
        <v>51</v>
      </c>
      <c r="AM5">
        <v>2</v>
      </c>
      <c r="AN5">
        <v>55</v>
      </c>
      <c r="AO5">
        <v>0.04</v>
      </c>
      <c r="AP5" t="s">
        <v>63</v>
      </c>
      <c r="AQ5" t="s">
        <v>63</v>
      </c>
    </row>
    <row r="6" spans="1:43" x14ac:dyDescent="0.2">
      <c r="A6">
        <v>675353</v>
      </c>
      <c r="B6" t="s">
        <v>114</v>
      </c>
      <c r="C6">
        <v>7.4470000000000001</v>
      </c>
      <c r="D6">
        <v>5676</v>
      </c>
      <c r="E6" t="s">
        <v>44</v>
      </c>
      <c r="F6" s="1">
        <v>44650</v>
      </c>
      <c r="G6">
        <v>405421518</v>
      </c>
      <c r="H6">
        <v>123</v>
      </c>
      <c r="I6">
        <v>110000000</v>
      </c>
      <c r="J6" t="s">
        <v>115</v>
      </c>
      <c r="K6" t="s">
        <v>46</v>
      </c>
      <c r="L6" t="s">
        <v>114</v>
      </c>
      <c r="M6" t="s">
        <v>116</v>
      </c>
      <c r="N6">
        <v>11.824999999999999</v>
      </c>
      <c r="O6" t="s">
        <v>117</v>
      </c>
      <c r="P6" t="s">
        <v>118</v>
      </c>
      <c r="Q6" t="s">
        <v>119</v>
      </c>
      <c r="R6" t="s">
        <v>120</v>
      </c>
      <c r="S6" t="s">
        <v>121</v>
      </c>
      <c r="T6" t="s">
        <v>122</v>
      </c>
      <c r="U6" t="s">
        <v>123</v>
      </c>
      <c r="V6" t="s">
        <v>124</v>
      </c>
      <c r="W6" t="s">
        <v>125</v>
      </c>
      <c r="X6" t="s">
        <v>126</v>
      </c>
      <c r="Y6" t="s">
        <v>127</v>
      </c>
      <c r="Z6">
        <v>6.5</v>
      </c>
      <c r="AA6">
        <v>111926</v>
      </c>
      <c r="AB6" t="s">
        <v>128</v>
      </c>
      <c r="AC6">
        <v>3</v>
      </c>
      <c r="AD6">
        <v>2022</v>
      </c>
      <c r="AE6">
        <v>13</v>
      </c>
      <c r="AF6" t="s">
        <v>129</v>
      </c>
      <c r="AG6">
        <v>-35</v>
      </c>
      <c r="AH6">
        <v>19.820437871481101</v>
      </c>
      <c r="AI6">
        <v>0.55056771865225496</v>
      </c>
      <c r="AJ6" t="s">
        <v>61</v>
      </c>
      <c r="AK6" t="s">
        <v>130</v>
      </c>
      <c r="AL6">
        <v>67</v>
      </c>
      <c r="AM6">
        <v>2</v>
      </c>
      <c r="AN6">
        <v>73</v>
      </c>
      <c r="AO6">
        <v>0.03</v>
      </c>
      <c r="AP6" t="s">
        <v>63</v>
      </c>
      <c r="AQ6" t="s">
        <v>63</v>
      </c>
    </row>
    <row r="7" spans="1:43" x14ac:dyDescent="0.2">
      <c r="A7">
        <v>338953</v>
      </c>
      <c r="B7" t="s">
        <v>131</v>
      </c>
      <c r="C7">
        <v>6.6349999999999998</v>
      </c>
      <c r="D7">
        <v>4877</v>
      </c>
      <c r="E7" t="s">
        <v>44</v>
      </c>
      <c r="F7" s="1">
        <v>44657</v>
      </c>
      <c r="G7">
        <v>407200000</v>
      </c>
      <c r="H7">
        <v>142</v>
      </c>
      <c r="I7">
        <v>200000000</v>
      </c>
      <c r="J7" t="s">
        <v>132</v>
      </c>
      <c r="K7" t="s">
        <v>46</v>
      </c>
      <c r="L7" t="s">
        <v>131</v>
      </c>
      <c r="M7" t="s">
        <v>133</v>
      </c>
      <c r="N7">
        <v>37.988799999999998</v>
      </c>
      <c r="O7" t="s">
        <v>134</v>
      </c>
      <c r="P7" t="s">
        <v>135</v>
      </c>
      <c r="Q7" t="s">
        <v>136</v>
      </c>
      <c r="R7" t="s">
        <v>137</v>
      </c>
      <c r="S7" t="s">
        <v>121</v>
      </c>
      <c r="T7" t="s">
        <v>138</v>
      </c>
      <c r="U7" t="s">
        <v>139</v>
      </c>
      <c r="V7" t="s">
        <v>140</v>
      </c>
      <c r="W7" t="s">
        <v>141</v>
      </c>
      <c r="X7" t="s">
        <v>142</v>
      </c>
      <c r="Y7" t="s">
        <v>143</v>
      </c>
      <c r="Z7">
        <v>6.2</v>
      </c>
      <c r="AA7">
        <v>188091</v>
      </c>
      <c r="AB7" t="s">
        <v>144</v>
      </c>
      <c r="AC7">
        <v>4</v>
      </c>
      <c r="AD7">
        <v>2022</v>
      </c>
      <c r="AE7">
        <v>14</v>
      </c>
      <c r="AF7" t="s">
        <v>145</v>
      </c>
      <c r="AG7">
        <v>-28</v>
      </c>
      <c r="AH7">
        <v>19.824815025656299</v>
      </c>
      <c r="AI7">
        <v>0.68361431122952998</v>
      </c>
      <c r="AJ7" t="s">
        <v>61</v>
      </c>
      <c r="AK7" t="s">
        <v>146</v>
      </c>
      <c r="AL7">
        <v>44</v>
      </c>
      <c r="AM7">
        <v>1</v>
      </c>
      <c r="AN7">
        <v>46</v>
      </c>
      <c r="AO7">
        <v>0.02</v>
      </c>
      <c r="AP7" t="s">
        <v>63</v>
      </c>
      <c r="AQ7" t="s">
        <v>63</v>
      </c>
    </row>
    <row r="8" spans="1:43" x14ac:dyDescent="0.2">
      <c r="A8">
        <v>477462</v>
      </c>
      <c r="B8" t="s">
        <v>147</v>
      </c>
      <c r="C8">
        <v>5.8</v>
      </c>
      <c r="D8">
        <v>228</v>
      </c>
      <c r="E8" t="s">
        <v>44</v>
      </c>
      <c r="F8" s="1">
        <v>44657</v>
      </c>
      <c r="G8">
        <v>492000</v>
      </c>
      <c r="H8">
        <v>109</v>
      </c>
      <c r="I8">
        <v>2620000</v>
      </c>
      <c r="J8" t="s">
        <v>148</v>
      </c>
      <c r="K8" t="s">
        <v>46</v>
      </c>
      <c r="L8" t="s">
        <v>147</v>
      </c>
      <c r="M8" t="s">
        <v>149</v>
      </c>
      <c r="N8">
        <v>2.4590999999999998</v>
      </c>
      <c r="O8" t="s">
        <v>150</v>
      </c>
      <c r="P8" t="s">
        <v>151</v>
      </c>
      <c r="Q8" t="s">
        <v>152</v>
      </c>
      <c r="R8" t="s">
        <v>153</v>
      </c>
      <c r="S8" t="s">
        <v>121</v>
      </c>
      <c r="T8" t="s">
        <v>154</v>
      </c>
      <c r="U8" t="s">
        <v>155</v>
      </c>
      <c r="V8" t="s">
        <v>156</v>
      </c>
      <c r="W8" t="s">
        <v>157</v>
      </c>
      <c r="X8" t="s">
        <v>158</v>
      </c>
      <c r="Y8" t="s">
        <v>159</v>
      </c>
      <c r="Z8">
        <v>5.0999999999999996</v>
      </c>
      <c r="AA8">
        <v>4801</v>
      </c>
      <c r="AB8" t="s">
        <v>160</v>
      </c>
      <c r="AC8">
        <v>4</v>
      </c>
      <c r="AD8">
        <v>2022</v>
      </c>
      <c r="AE8">
        <v>14</v>
      </c>
      <c r="AF8" t="s">
        <v>161</v>
      </c>
      <c r="AG8">
        <v>-28</v>
      </c>
      <c r="AH8">
        <v>13.106236027992701</v>
      </c>
      <c r="AI8">
        <v>0.45193917337905798</v>
      </c>
      <c r="AJ8" t="s">
        <v>61</v>
      </c>
      <c r="AK8" t="s">
        <v>162</v>
      </c>
      <c r="AL8">
        <v>19</v>
      </c>
      <c r="AM8">
        <v>3</v>
      </c>
      <c r="AN8">
        <v>33</v>
      </c>
      <c r="AO8">
        <v>0.09</v>
      </c>
      <c r="AP8" t="s">
        <v>63</v>
      </c>
      <c r="AQ8" t="s">
        <v>63</v>
      </c>
    </row>
    <row r="9" spans="1:43" x14ac:dyDescent="0.2">
      <c r="A9">
        <v>639933</v>
      </c>
      <c r="B9" t="s">
        <v>163</v>
      </c>
      <c r="C9">
        <v>7</v>
      </c>
      <c r="D9">
        <v>4762</v>
      </c>
      <c r="E9" t="s">
        <v>44</v>
      </c>
      <c r="F9" s="1">
        <v>44658</v>
      </c>
      <c r="G9">
        <v>69633110</v>
      </c>
      <c r="H9">
        <v>137</v>
      </c>
      <c r="I9">
        <v>70000000</v>
      </c>
      <c r="J9" t="s">
        <v>164</v>
      </c>
      <c r="K9" t="s">
        <v>46</v>
      </c>
      <c r="L9" t="s">
        <v>163</v>
      </c>
      <c r="M9" t="s">
        <v>165</v>
      </c>
      <c r="N9">
        <v>7.7721999999999998</v>
      </c>
      <c r="O9" t="s">
        <v>166</v>
      </c>
      <c r="P9" t="s">
        <v>167</v>
      </c>
      <c r="Q9" t="s">
        <v>168</v>
      </c>
      <c r="R9" t="s">
        <v>51</v>
      </c>
      <c r="S9" t="s">
        <v>169</v>
      </c>
      <c r="T9" t="s">
        <v>170</v>
      </c>
      <c r="U9" t="s">
        <v>171</v>
      </c>
      <c r="V9" t="s">
        <v>172</v>
      </c>
      <c r="W9" t="s">
        <v>173</v>
      </c>
      <c r="X9" t="s">
        <v>174</v>
      </c>
      <c r="Y9" t="s">
        <v>175</v>
      </c>
      <c r="Z9">
        <v>7</v>
      </c>
      <c r="AA9">
        <v>290161</v>
      </c>
      <c r="AB9" t="s">
        <v>176</v>
      </c>
      <c r="AC9">
        <v>4</v>
      </c>
      <c r="AD9">
        <v>2022</v>
      </c>
      <c r="AE9">
        <v>14</v>
      </c>
      <c r="AF9" t="s">
        <v>177</v>
      </c>
      <c r="AG9">
        <v>-27</v>
      </c>
      <c r="AH9">
        <v>18.058750744938301</v>
      </c>
      <c r="AI9">
        <v>0.64495538374779604</v>
      </c>
      <c r="AJ9" t="s">
        <v>61</v>
      </c>
      <c r="AK9" t="s">
        <v>178</v>
      </c>
      <c r="AL9">
        <v>70</v>
      </c>
      <c r="AM9">
        <v>1</v>
      </c>
      <c r="AN9">
        <v>79</v>
      </c>
      <c r="AO9">
        <v>0.01</v>
      </c>
      <c r="AP9" t="s">
        <v>63</v>
      </c>
      <c r="AQ9" t="s">
        <v>63</v>
      </c>
    </row>
    <row r="10" spans="1:43" hidden="1" x14ac:dyDescent="0.2">
      <c r="A10">
        <v>809140</v>
      </c>
      <c r="B10" t="s">
        <v>179</v>
      </c>
      <c r="C10">
        <v>7.1520000000000001</v>
      </c>
      <c r="D10">
        <v>671</v>
      </c>
      <c r="E10" t="s">
        <v>44</v>
      </c>
      <c r="F10" s="1">
        <v>44664</v>
      </c>
      <c r="G10">
        <v>21591034</v>
      </c>
      <c r="H10">
        <v>124</v>
      </c>
      <c r="I10">
        <v>4000000</v>
      </c>
      <c r="J10" t="s">
        <v>180</v>
      </c>
      <c r="K10" t="s">
        <v>46</v>
      </c>
      <c r="L10" t="s">
        <v>179</v>
      </c>
      <c r="M10" t="s">
        <v>181</v>
      </c>
      <c r="N10">
        <v>2.9523999999999999</v>
      </c>
      <c r="O10" t="s">
        <v>182</v>
      </c>
      <c r="P10" t="s">
        <v>183</v>
      </c>
      <c r="Q10" t="s">
        <v>184</v>
      </c>
      <c r="R10" t="s">
        <v>51</v>
      </c>
      <c r="S10" t="s">
        <v>185</v>
      </c>
      <c r="T10" t="s">
        <v>186</v>
      </c>
      <c r="U10" t="s">
        <v>187</v>
      </c>
      <c r="V10" t="s">
        <v>188</v>
      </c>
      <c r="W10" t="s">
        <v>187</v>
      </c>
      <c r="X10" t="s">
        <v>189</v>
      </c>
      <c r="Y10" t="s">
        <v>190</v>
      </c>
      <c r="Z10">
        <v>6.5</v>
      </c>
      <c r="AA10">
        <v>35124</v>
      </c>
      <c r="AB10" t="s">
        <v>191</v>
      </c>
      <c r="AC10">
        <v>4</v>
      </c>
      <c r="AD10">
        <v>2022</v>
      </c>
      <c r="AE10">
        <v>15</v>
      </c>
      <c r="AF10" t="s">
        <v>192</v>
      </c>
      <c r="AG10">
        <v>-21</v>
      </c>
      <c r="AH10">
        <v>16.887788740202499</v>
      </c>
      <c r="AI10">
        <v>0.76762676091829696</v>
      </c>
      <c r="AJ10" t="s">
        <v>61</v>
      </c>
      <c r="AK10" t="s">
        <v>193</v>
      </c>
      <c r="AL10">
        <v>12</v>
      </c>
      <c r="AM10">
        <v>15</v>
      </c>
      <c r="AN10">
        <v>32</v>
      </c>
      <c r="AO10">
        <v>0.47</v>
      </c>
      <c r="AP10" t="s">
        <v>194</v>
      </c>
      <c r="AQ10" t="s">
        <v>63</v>
      </c>
    </row>
    <row r="11" spans="1:43" x14ac:dyDescent="0.2">
      <c r="A11">
        <v>587412</v>
      </c>
      <c r="B11" t="s">
        <v>195</v>
      </c>
      <c r="C11">
        <v>7.5</v>
      </c>
      <c r="D11">
        <v>177</v>
      </c>
      <c r="E11" t="s">
        <v>44</v>
      </c>
      <c r="F11" s="1">
        <v>44665</v>
      </c>
      <c r="G11">
        <v>90410749</v>
      </c>
      <c r="H11">
        <v>168</v>
      </c>
      <c r="I11">
        <v>13000000</v>
      </c>
      <c r="J11" t="s">
        <v>196</v>
      </c>
      <c r="K11" t="s">
        <v>197</v>
      </c>
      <c r="L11" t="s">
        <v>198</v>
      </c>
      <c r="M11" t="s">
        <v>199</v>
      </c>
      <c r="N11">
        <v>2.7509000000000001</v>
      </c>
      <c r="O11" t="s">
        <v>200</v>
      </c>
      <c r="P11" t="s">
        <v>201</v>
      </c>
      <c r="Q11" t="s">
        <v>202</v>
      </c>
      <c r="R11" t="s">
        <v>87</v>
      </c>
      <c r="S11" t="s">
        <v>203</v>
      </c>
      <c r="T11" t="s">
        <v>204</v>
      </c>
      <c r="U11" t="s">
        <v>205</v>
      </c>
      <c r="V11" t="s">
        <v>206</v>
      </c>
      <c r="W11" t="s">
        <v>207</v>
      </c>
      <c r="X11" t="s">
        <v>208</v>
      </c>
      <c r="Y11" t="s">
        <v>209</v>
      </c>
      <c r="Z11">
        <v>8.1999999999999993</v>
      </c>
      <c r="AA11">
        <v>165523</v>
      </c>
      <c r="AB11" t="s">
        <v>210</v>
      </c>
      <c r="AC11">
        <v>4</v>
      </c>
      <c r="AD11">
        <v>2022</v>
      </c>
      <c r="AE11">
        <v>15</v>
      </c>
      <c r="AF11" t="s">
        <v>211</v>
      </c>
      <c r="AG11">
        <v>-20</v>
      </c>
      <c r="AH11">
        <v>18.319873734221598</v>
      </c>
      <c r="AI11">
        <v>0.87237493972484104</v>
      </c>
      <c r="AJ11" t="s">
        <v>61</v>
      </c>
      <c r="AK11" t="s">
        <v>212</v>
      </c>
      <c r="AL11">
        <v>18</v>
      </c>
      <c r="AM11">
        <v>2</v>
      </c>
      <c r="AN11">
        <v>23</v>
      </c>
      <c r="AO11">
        <v>0.09</v>
      </c>
      <c r="AP11" t="s">
        <v>63</v>
      </c>
      <c r="AQ11" t="s">
        <v>63</v>
      </c>
    </row>
    <row r="12" spans="1:43" x14ac:dyDescent="0.2">
      <c r="A12">
        <v>777831</v>
      </c>
      <c r="B12" t="s">
        <v>213</v>
      </c>
      <c r="C12">
        <v>5.3</v>
      </c>
      <c r="D12">
        <v>139</v>
      </c>
      <c r="E12" t="s">
        <v>44</v>
      </c>
      <c r="F12" s="1">
        <v>44665</v>
      </c>
      <c r="G12">
        <v>193908</v>
      </c>
      <c r="H12">
        <v>96</v>
      </c>
      <c r="I12">
        <v>3000000</v>
      </c>
      <c r="J12" t="s">
        <v>214</v>
      </c>
      <c r="K12" t="s">
        <v>46</v>
      </c>
      <c r="L12" t="s">
        <v>213</v>
      </c>
      <c r="M12" t="s">
        <v>215</v>
      </c>
      <c r="N12">
        <v>3.4388999999999998</v>
      </c>
      <c r="O12" t="s">
        <v>216</v>
      </c>
      <c r="P12" t="s">
        <v>217</v>
      </c>
      <c r="Q12" t="s">
        <v>218</v>
      </c>
      <c r="R12" t="s">
        <v>51</v>
      </c>
      <c r="S12" t="s">
        <v>121</v>
      </c>
      <c r="T12" t="s">
        <v>219</v>
      </c>
      <c r="U12" t="s">
        <v>220</v>
      </c>
      <c r="V12" t="s">
        <v>221</v>
      </c>
      <c r="W12" t="s">
        <v>220</v>
      </c>
      <c r="X12" t="s">
        <v>222</v>
      </c>
      <c r="Y12" t="s">
        <v>223</v>
      </c>
      <c r="Z12">
        <v>4.2</v>
      </c>
      <c r="AA12">
        <v>2931</v>
      </c>
      <c r="AB12" t="s">
        <v>224</v>
      </c>
      <c r="AC12">
        <v>4</v>
      </c>
      <c r="AD12">
        <v>2022</v>
      </c>
      <c r="AE12">
        <v>15</v>
      </c>
      <c r="AF12" t="s">
        <v>225</v>
      </c>
      <c r="AG12">
        <v>-20</v>
      </c>
      <c r="AH12">
        <v>12.1751442558317</v>
      </c>
      <c r="AI12">
        <v>0.57976877408722605</v>
      </c>
      <c r="AJ12" t="s">
        <v>61</v>
      </c>
      <c r="AK12" t="s">
        <v>226</v>
      </c>
      <c r="AL12">
        <v>8</v>
      </c>
      <c r="AM12">
        <v>4</v>
      </c>
      <c r="AN12">
        <v>19</v>
      </c>
      <c r="AO12">
        <v>0.21</v>
      </c>
      <c r="AP12" t="s">
        <v>63</v>
      </c>
      <c r="AQ12" t="s">
        <v>63</v>
      </c>
    </row>
    <row r="13" spans="1:43" x14ac:dyDescent="0.2">
      <c r="A13">
        <v>648579</v>
      </c>
      <c r="B13" t="s">
        <v>227</v>
      </c>
      <c r="C13">
        <v>6.7869999999999999</v>
      </c>
      <c r="D13">
        <v>2292</v>
      </c>
      <c r="E13" t="s">
        <v>44</v>
      </c>
      <c r="F13" s="1">
        <v>44671</v>
      </c>
      <c r="G13">
        <v>29116320</v>
      </c>
      <c r="H13">
        <v>107</v>
      </c>
      <c r="I13">
        <v>30000000</v>
      </c>
      <c r="J13" t="s">
        <v>228</v>
      </c>
      <c r="K13" t="s">
        <v>46</v>
      </c>
      <c r="L13" t="s">
        <v>227</v>
      </c>
      <c r="M13" t="s">
        <v>229</v>
      </c>
      <c r="N13">
        <v>7.2873000000000001</v>
      </c>
      <c r="O13" t="s">
        <v>230</v>
      </c>
      <c r="P13" t="s">
        <v>231</v>
      </c>
      <c r="Q13" t="s">
        <v>232</v>
      </c>
      <c r="R13" t="s">
        <v>51</v>
      </c>
      <c r="S13" t="s">
        <v>233</v>
      </c>
      <c r="T13" t="s">
        <v>234</v>
      </c>
      <c r="U13" t="s">
        <v>235</v>
      </c>
      <c r="V13" t="s">
        <v>236</v>
      </c>
      <c r="W13" t="s">
        <v>237</v>
      </c>
      <c r="X13" t="s">
        <v>238</v>
      </c>
      <c r="Y13" t="s">
        <v>239</v>
      </c>
      <c r="Z13">
        <v>7</v>
      </c>
      <c r="AA13">
        <v>174975</v>
      </c>
      <c r="AB13" t="s">
        <v>240</v>
      </c>
      <c r="AC13">
        <v>4</v>
      </c>
      <c r="AD13">
        <v>2022</v>
      </c>
      <c r="AE13">
        <v>16</v>
      </c>
      <c r="AF13" t="s">
        <v>241</v>
      </c>
      <c r="AG13">
        <v>-14</v>
      </c>
      <c r="AH13">
        <v>17.186809434025498</v>
      </c>
      <c r="AI13">
        <v>1.1457872956016999</v>
      </c>
      <c r="AJ13" t="s">
        <v>61</v>
      </c>
      <c r="AK13" t="s">
        <v>242</v>
      </c>
      <c r="AL13">
        <v>46</v>
      </c>
      <c r="AM13">
        <v>3</v>
      </c>
      <c r="AN13">
        <v>55</v>
      </c>
      <c r="AO13">
        <v>0.05</v>
      </c>
      <c r="AP13" t="s">
        <v>63</v>
      </c>
      <c r="AQ13" t="s">
        <v>63</v>
      </c>
    </row>
    <row r="14" spans="1:43" x14ac:dyDescent="0.2">
      <c r="A14">
        <v>820446</v>
      </c>
      <c r="B14" t="s">
        <v>243</v>
      </c>
      <c r="C14">
        <v>7.2</v>
      </c>
      <c r="D14">
        <v>561</v>
      </c>
      <c r="E14" t="s">
        <v>44</v>
      </c>
      <c r="F14" s="1">
        <v>44678</v>
      </c>
      <c r="G14">
        <v>92651384</v>
      </c>
      <c r="H14">
        <v>124</v>
      </c>
      <c r="I14">
        <v>40000000</v>
      </c>
      <c r="J14" t="s">
        <v>244</v>
      </c>
      <c r="K14" t="s">
        <v>46</v>
      </c>
      <c r="L14" t="s">
        <v>243</v>
      </c>
      <c r="M14" t="s">
        <v>245</v>
      </c>
      <c r="N14">
        <v>4.9066999999999998</v>
      </c>
      <c r="O14" t="s">
        <v>246</v>
      </c>
      <c r="P14" t="s">
        <v>247</v>
      </c>
      <c r="Q14" t="s">
        <v>248</v>
      </c>
      <c r="R14" t="s">
        <v>137</v>
      </c>
      <c r="S14" t="s">
        <v>249</v>
      </c>
      <c r="T14" t="s">
        <v>250</v>
      </c>
      <c r="U14" t="s">
        <v>251</v>
      </c>
      <c r="V14" t="s">
        <v>252</v>
      </c>
      <c r="W14" t="s">
        <v>253</v>
      </c>
      <c r="X14" t="s">
        <v>254</v>
      </c>
      <c r="Y14" t="s">
        <v>255</v>
      </c>
      <c r="Z14">
        <v>7.4</v>
      </c>
      <c r="AA14">
        <v>36863</v>
      </c>
      <c r="AB14" t="s">
        <v>256</v>
      </c>
      <c r="AC14">
        <v>4</v>
      </c>
      <c r="AD14">
        <v>2022</v>
      </c>
      <c r="AE14">
        <v>17</v>
      </c>
      <c r="AF14" t="s">
        <v>257</v>
      </c>
      <c r="AG14">
        <v>-7</v>
      </c>
      <c r="AH14">
        <v>18.344354459315699</v>
      </c>
      <c r="AI14">
        <v>2.2930443074144602</v>
      </c>
      <c r="AJ14" t="s">
        <v>61</v>
      </c>
      <c r="AK14" t="s">
        <v>258</v>
      </c>
      <c r="AL14">
        <v>39</v>
      </c>
      <c r="AM14">
        <v>1</v>
      </c>
      <c r="AN14">
        <v>45</v>
      </c>
      <c r="AO14">
        <v>0.02</v>
      </c>
      <c r="AP14" t="s">
        <v>63</v>
      </c>
      <c r="AQ14" t="s">
        <v>63</v>
      </c>
    </row>
    <row r="15" spans="1:43" x14ac:dyDescent="0.2">
      <c r="A15">
        <v>818397</v>
      </c>
      <c r="B15" t="s">
        <v>259</v>
      </c>
      <c r="C15">
        <v>6.8</v>
      </c>
      <c r="D15">
        <v>1587</v>
      </c>
      <c r="E15" t="s">
        <v>44</v>
      </c>
      <c r="F15" s="1">
        <v>44679</v>
      </c>
      <c r="G15">
        <v>13900000</v>
      </c>
      <c r="H15">
        <v>114</v>
      </c>
      <c r="I15">
        <v>30000000</v>
      </c>
      <c r="J15" t="s">
        <v>260</v>
      </c>
      <c r="K15" t="s">
        <v>46</v>
      </c>
      <c r="L15" t="s">
        <v>259</v>
      </c>
      <c r="M15" t="s">
        <v>261</v>
      </c>
      <c r="N15">
        <v>7.6540999999999997</v>
      </c>
      <c r="O15" t="s">
        <v>262</v>
      </c>
      <c r="P15" t="s">
        <v>263</v>
      </c>
      <c r="Q15" t="s">
        <v>264</v>
      </c>
      <c r="R15" t="s">
        <v>51</v>
      </c>
      <c r="S15" t="s">
        <v>265</v>
      </c>
      <c r="T15" t="s">
        <v>266</v>
      </c>
      <c r="U15" t="s">
        <v>267</v>
      </c>
      <c r="V15" t="s">
        <v>268</v>
      </c>
      <c r="W15" t="s">
        <v>269</v>
      </c>
      <c r="X15" t="s">
        <v>270</v>
      </c>
      <c r="Y15" t="s">
        <v>271</v>
      </c>
      <c r="Z15">
        <v>5.7</v>
      </c>
      <c r="AA15">
        <v>40956</v>
      </c>
      <c r="AB15" t="s">
        <v>272</v>
      </c>
      <c r="AC15">
        <v>4</v>
      </c>
      <c r="AD15">
        <v>2022</v>
      </c>
      <c r="AE15">
        <v>17</v>
      </c>
      <c r="AF15" t="s">
        <v>273</v>
      </c>
      <c r="AG15">
        <v>-6</v>
      </c>
      <c r="AH15">
        <v>16.447399470043301</v>
      </c>
      <c r="AI15">
        <v>2.3496284957204798</v>
      </c>
      <c r="AJ15" t="s">
        <v>61</v>
      </c>
      <c r="AK15" t="s">
        <v>274</v>
      </c>
      <c r="AL15">
        <v>37</v>
      </c>
      <c r="AM15">
        <v>4</v>
      </c>
      <c r="AN15">
        <v>46</v>
      </c>
      <c r="AO15">
        <v>0.09</v>
      </c>
      <c r="AP15" t="s">
        <v>63</v>
      </c>
      <c r="AQ15" t="s">
        <v>63</v>
      </c>
    </row>
    <row r="16" spans="1:43" x14ac:dyDescent="0.2">
      <c r="A16">
        <v>804251</v>
      </c>
      <c r="B16" t="s">
        <v>275</v>
      </c>
      <c r="C16">
        <v>6.7919999999999998</v>
      </c>
      <c r="D16">
        <v>212</v>
      </c>
      <c r="E16" t="s">
        <v>44</v>
      </c>
      <c r="F16" s="1">
        <v>44680</v>
      </c>
      <c r="G16">
        <v>3324521</v>
      </c>
      <c r="H16">
        <v>115</v>
      </c>
      <c r="I16">
        <v>10250000</v>
      </c>
      <c r="J16" t="s">
        <v>276</v>
      </c>
      <c r="K16" t="s">
        <v>277</v>
      </c>
      <c r="L16" t="s">
        <v>275</v>
      </c>
      <c r="M16" t="s">
        <v>278</v>
      </c>
      <c r="N16">
        <v>0.54210000000000003</v>
      </c>
      <c r="O16" t="s">
        <v>279</v>
      </c>
      <c r="P16" t="s">
        <v>183</v>
      </c>
      <c r="Q16" t="s">
        <v>280</v>
      </c>
      <c r="R16" t="s">
        <v>281</v>
      </c>
      <c r="S16" t="s">
        <v>282</v>
      </c>
      <c r="T16" t="s">
        <v>283</v>
      </c>
      <c r="U16" t="s">
        <v>284</v>
      </c>
      <c r="V16" t="s">
        <v>285</v>
      </c>
      <c r="W16" t="s">
        <v>286</v>
      </c>
      <c r="X16" t="s">
        <v>287</v>
      </c>
      <c r="Y16" t="s">
        <v>288</v>
      </c>
      <c r="Z16">
        <v>7</v>
      </c>
      <c r="AA16">
        <v>9148</v>
      </c>
      <c r="AB16" t="s">
        <v>289</v>
      </c>
      <c r="AC16">
        <v>4</v>
      </c>
      <c r="AD16">
        <v>2022</v>
      </c>
      <c r="AE16">
        <v>17</v>
      </c>
      <c r="AF16" t="s">
        <v>290</v>
      </c>
      <c r="AG16">
        <v>-5</v>
      </c>
      <c r="AH16">
        <v>15.016836462339199</v>
      </c>
      <c r="AI16">
        <v>2.5028060770565301</v>
      </c>
      <c r="AJ16" t="s">
        <v>61</v>
      </c>
      <c r="AK16" t="s">
        <v>291</v>
      </c>
      <c r="AL16">
        <v>24</v>
      </c>
      <c r="AM16">
        <v>1</v>
      </c>
      <c r="AN16">
        <v>78</v>
      </c>
      <c r="AO16">
        <v>0.01</v>
      </c>
      <c r="AP16" t="s">
        <v>63</v>
      </c>
      <c r="AQ16" t="s">
        <v>63</v>
      </c>
    </row>
    <row r="17" spans="1:43" x14ac:dyDescent="0.2">
      <c r="A17">
        <v>883502</v>
      </c>
      <c r="B17" t="s">
        <v>292</v>
      </c>
      <c r="C17">
        <v>5.3</v>
      </c>
      <c r="D17">
        <v>169</v>
      </c>
      <c r="E17" t="s">
        <v>44</v>
      </c>
      <c r="F17" s="1">
        <v>44680</v>
      </c>
      <c r="G17">
        <v>69075</v>
      </c>
      <c r="H17">
        <v>87</v>
      </c>
      <c r="I17">
        <v>22000000</v>
      </c>
      <c r="J17" t="s">
        <v>293</v>
      </c>
      <c r="K17" t="s">
        <v>46</v>
      </c>
      <c r="L17" t="s">
        <v>292</v>
      </c>
      <c r="M17" t="s">
        <v>294</v>
      </c>
      <c r="N17">
        <v>2.5124</v>
      </c>
      <c r="O17" t="s">
        <v>295</v>
      </c>
      <c r="P17" t="s">
        <v>263</v>
      </c>
      <c r="Q17" t="s">
        <v>296</v>
      </c>
      <c r="R17" t="s">
        <v>51</v>
      </c>
      <c r="S17" t="s">
        <v>121</v>
      </c>
      <c r="T17" t="s">
        <v>297</v>
      </c>
      <c r="U17" t="s">
        <v>298</v>
      </c>
      <c r="V17" t="s">
        <v>299</v>
      </c>
      <c r="W17" t="s">
        <v>300</v>
      </c>
      <c r="X17" t="s">
        <v>301</v>
      </c>
      <c r="Y17" t="s">
        <v>302</v>
      </c>
      <c r="Z17">
        <v>3</v>
      </c>
      <c r="AA17">
        <v>1890</v>
      </c>
      <c r="AB17" t="s">
        <v>303</v>
      </c>
      <c r="AC17">
        <v>4</v>
      </c>
      <c r="AD17">
        <v>2022</v>
      </c>
      <c r="AE17">
        <v>17</v>
      </c>
      <c r="AF17" t="s">
        <v>304</v>
      </c>
      <c r="AG17">
        <v>-5</v>
      </c>
      <c r="AH17">
        <v>11.142962626704501</v>
      </c>
      <c r="AI17">
        <v>1.85716043778409</v>
      </c>
      <c r="AJ17" t="s">
        <v>61</v>
      </c>
      <c r="AK17" t="s">
        <v>305</v>
      </c>
      <c r="AL17">
        <v>6</v>
      </c>
      <c r="AM17">
        <v>6</v>
      </c>
      <c r="AN17">
        <v>19</v>
      </c>
      <c r="AO17">
        <v>0.32</v>
      </c>
      <c r="AP17" t="s">
        <v>63</v>
      </c>
      <c r="AQ17" t="s">
        <v>63</v>
      </c>
    </row>
    <row r="18" spans="1:43" x14ac:dyDescent="0.2">
      <c r="A18">
        <v>532710</v>
      </c>
      <c r="B18" t="s">
        <v>306</v>
      </c>
      <c r="C18">
        <v>5.5</v>
      </c>
      <c r="D18">
        <v>765</v>
      </c>
      <c r="E18" t="s">
        <v>44</v>
      </c>
      <c r="F18" s="1">
        <v>44693</v>
      </c>
      <c r="G18">
        <v>15000000</v>
      </c>
      <c r="H18">
        <v>94</v>
      </c>
      <c r="I18">
        <v>12000000</v>
      </c>
      <c r="J18" t="s">
        <v>307</v>
      </c>
      <c r="K18" t="s">
        <v>46</v>
      </c>
      <c r="L18" t="s">
        <v>306</v>
      </c>
      <c r="M18" t="s">
        <v>308</v>
      </c>
      <c r="N18">
        <v>12.0817</v>
      </c>
      <c r="O18" t="s">
        <v>309</v>
      </c>
      <c r="P18" t="s">
        <v>310</v>
      </c>
      <c r="Q18" t="s">
        <v>311</v>
      </c>
      <c r="R18" t="s">
        <v>51</v>
      </c>
      <c r="S18" t="s">
        <v>121</v>
      </c>
      <c r="T18" t="s">
        <v>312</v>
      </c>
      <c r="U18" t="s">
        <v>313</v>
      </c>
      <c r="V18" t="s">
        <v>314</v>
      </c>
      <c r="W18" t="s">
        <v>315</v>
      </c>
      <c r="X18" t="s">
        <v>316</v>
      </c>
      <c r="Y18" t="s">
        <v>317</v>
      </c>
      <c r="Z18">
        <v>4.5999999999999996</v>
      </c>
      <c r="AA18">
        <v>25042</v>
      </c>
      <c r="AB18" t="s">
        <v>318</v>
      </c>
      <c r="AC18">
        <v>5</v>
      </c>
      <c r="AD18">
        <v>2022</v>
      </c>
      <c r="AE18">
        <v>19</v>
      </c>
      <c r="AF18" t="s">
        <v>319</v>
      </c>
      <c r="AG18">
        <v>8</v>
      </c>
      <c r="AH18">
        <v>16.523560825733099</v>
      </c>
      <c r="AI18">
        <v>1.83595120285923</v>
      </c>
      <c r="AJ18" t="s">
        <v>61</v>
      </c>
      <c r="AK18" t="s">
        <v>320</v>
      </c>
      <c r="AL18">
        <v>36</v>
      </c>
      <c r="AM18">
        <v>4</v>
      </c>
      <c r="AN18">
        <v>43</v>
      </c>
      <c r="AO18">
        <v>0.09</v>
      </c>
      <c r="AP18" t="s">
        <v>63</v>
      </c>
      <c r="AQ18" t="s">
        <v>63</v>
      </c>
    </row>
    <row r="19" spans="1:43" x14ac:dyDescent="0.2">
      <c r="A19">
        <v>634429</v>
      </c>
      <c r="B19" t="s">
        <v>321</v>
      </c>
      <c r="C19">
        <v>7.4</v>
      </c>
      <c r="D19">
        <v>217</v>
      </c>
      <c r="E19" t="s">
        <v>44</v>
      </c>
      <c r="F19" s="1">
        <v>44694</v>
      </c>
      <c r="G19">
        <v>34441594</v>
      </c>
      <c r="H19">
        <v>112</v>
      </c>
      <c r="I19">
        <v>5500000</v>
      </c>
      <c r="J19" t="s">
        <v>322</v>
      </c>
      <c r="K19" t="s">
        <v>323</v>
      </c>
      <c r="L19" t="s">
        <v>324</v>
      </c>
      <c r="M19" t="s">
        <v>325</v>
      </c>
      <c r="N19">
        <v>5.6650999999999998</v>
      </c>
      <c r="O19" t="s">
        <v>326</v>
      </c>
      <c r="P19" t="s">
        <v>327</v>
      </c>
      <c r="Q19" t="s">
        <v>328</v>
      </c>
      <c r="R19" t="s">
        <v>329</v>
      </c>
      <c r="S19" t="s">
        <v>330</v>
      </c>
      <c r="T19" t="s">
        <v>331</v>
      </c>
      <c r="U19" t="s">
        <v>332</v>
      </c>
      <c r="V19" t="s">
        <v>333</v>
      </c>
      <c r="W19" t="s">
        <v>334</v>
      </c>
      <c r="X19" t="s">
        <v>335</v>
      </c>
      <c r="Y19" t="s">
        <v>336</v>
      </c>
      <c r="Z19">
        <v>6.4</v>
      </c>
      <c r="AA19">
        <v>4704</v>
      </c>
      <c r="AB19" t="s">
        <v>337</v>
      </c>
      <c r="AC19">
        <v>5</v>
      </c>
      <c r="AD19">
        <v>2022</v>
      </c>
      <c r="AE19">
        <v>19</v>
      </c>
      <c r="AF19" t="s">
        <v>338</v>
      </c>
      <c r="AG19">
        <v>9</v>
      </c>
      <c r="AH19">
        <v>17.354775548878798</v>
      </c>
      <c r="AI19">
        <v>1.73547755488788</v>
      </c>
      <c r="AJ19" t="s">
        <v>61</v>
      </c>
      <c r="AK19" t="s">
        <v>339</v>
      </c>
      <c r="AL19">
        <v>18</v>
      </c>
      <c r="AM19">
        <v>1</v>
      </c>
      <c r="AN19">
        <v>41</v>
      </c>
      <c r="AO19">
        <v>0.02</v>
      </c>
      <c r="AP19" t="s">
        <v>63</v>
      </c>
      <c r="AQ19" t="s">
        <v>63</v>
      </c>
    </row>
    <row r="20" spans="1:43" x14ac:dyDescent="0.2">
      <c r="A20">
        <v>619803</v>
      </c>
      <c r="B20" t="s">
        <v>340</v>
      </c>
      <c r="C20">
        <v>7.2990000000000004</v>
      </c>
      <c r="D20">
        <v>375</v>
      </c>
      <c r="E20" t="s">
        <v>44</v>
      </c>
      <c r="F20" s="1">
        <v>44699</v>
      </c>
      <c r="G20">
        <v>101166707</v>
      </c>
      <c r="H20">
        <v>106</v>
      </c>
      <c r="I20">
        <v>7600000</v>
      </c>
      <c r="J20" t="s">
        <v>341</v>
      </c>
      <c r="K20" t="s">
        <v>342</v>
      </c>
      <c r="L20" t="s">
        <v>343</v>
      </c>
      <c r="M20" t="s">
        <v>344</v>
      </c>
      <c r="N20">
        <v>9.0212000000000003</v>
      </c>
      <c r="O20" t="s">
        <v>345</v>
      </c>
      <c r="P20" t="s">
        <v>346</v>
      </c>
      <c r="Q20" t="s">
        <v>347</v>
      </c>
      <c r="R20" t="s">
        <v>348</v>
      </c>
      <c r="S20" t="s">
        <v>349</v>
      </c>
      <c r="T20" t="s">
        <v>350</v>
      </c>
      <c r="U20" t="s">
        <v>351</v>
      </c>
      <c r="V20" t="s">
        <v>352</v>
      </c>
      <c r="W20" t="s">
        <v>353</v>
      </c>
      <c r="X20" t="s">
        <v>354</v>
      </c>
      <c r="Y20" t="s">
        <v>355</v>
      </c>
      <c r="Z20">
        <v>7</v>
      </c>
      <c r="AA20">
        <v>14607</v>
      </c>
      <c r="AB20" t="s">
        <v>356</v>
      </c>
      <c r="AC20">
        <v>5</v>
      </c>
      <c r="AD20">
        <v>2022</v>
      </c>
      <c r="AE20">
        <v>20</v>
      </c>
      <c r="AF20" t="s">
        <v>357</v>
      </c>
      <c r="AG20">
        <v>14</v>
      </c>
      <c r="AH20">
        <v>18.4322802883623</v>
      </c>
      <c r="AI20">
        <v>1.2288186858908201</v>
      </c>
      <c r="AJ20" t="s">
        <v>61</v>
      </c>
      <c r="AK20" t="s">
        <v>358</v>
      </c>
      <c r="AL20">
        <v>19</v>
      </c>
      <c r="AM20">
        <v>4</v>
      </c>
      <c r="AN20">
        <v>34</v>
      </c>
      <c r="AO20">
        <v>0.12</v>
      </c>
      <c r="AP20" t="s">
        <v>63</v>
      </c>
      <c r="AQ20" t="s">
        <v>63</v>
      </c>
    </row>
    <row r="21" spans="1:43" hidden="1" x14ac:dyDescent="0.2">
      <c r="A21">
        <v>420821</v>
      </c>
      <c r="B21" t="s">
        <v>359</v>
      </c>
      <c r="C21">
        <v>7</v>
      </c>
      <c r="D21">
        <v>1311</v>
      </c>
      <c r="E21" t="s">
        <v>44</v>
      </c>
      <c r="F21" s="1">
        <v>44701</v>
      </c>
      <c r="G21">
        <v>623190</v>
      </c>
      <c r="H21">
        <v>99</v>
      </c>
      <c r="I21">
        <v>70000000</v>
      </c>
      <c r="J21" t="s">
        <v>360</v>
      </c>
      <c r="K21" t="s">
        <v>46</v>
      </c>
      <c r="L21" t="s">
        <v>359</v>
      </c>
      <c r="M21" t="s">
        <v>361</v>
      </c>
      <c r="N21">
        <v>2.8715999999999999</v>
      </c>
      <c r="O21" t="s">
        <v>362</v>
      </c>
      <c r="P21" t="s">
        <v>363</v>
      </c>
      <c r="Q21" t="s">
        <v>364</v>
      </c>
      <c r="R21" t="s">
        <v>51</v>
      </c>
      <c r="S21" t="s">
        <v>121</v>
      </c>
      <c r="T21" t="s">
        <v>365</v>
      </c>
      <c r="U21" t="s">
        <v>366</v>
      </c>
      <c r="V21" t="s">
        <v>367</v>
      </c>
      <c r="W21" t="s">
        <v>368</v>
      </c>
      <c r="X21" t="s">
        <v>369</v>
      </c>
      <c r="Y21" t="s">
        <v>370</v>
      </c>
      <c r="Z21">
        <v>6.9</v>
      </c>
      <c r="AA21">
        <v>50066</v>
      </c>
      <c r="AB21" t="s">
        <v>371</v>
      </c>
      <c r="AC21">
        <v>5</v>
      </c>
      <c r="AD21">
        <v>2022</v>
      </c>
      <c r="AE21">
        <v>20</v>
      </c>
      <c r="AF21" t="s">
        <v>372</v>
      </c>
      <c r="AG21">
        <v>16</v>
      </c>
      <c r="AH21">
        <v>13.3426083318426</v>
      </c>
      <c r="AI21">
        <v>0.78485931363780004</v>
      </c>
      <c r="AJ21" t="s">
        <v>61</v>
      </c>
      <c r="AK21" t="s">
        <v>373</v>
      </c>
      <c r="AL21">
        <v>0</v>
      </c>
      <c r="AM21">
        <v>62</v>
      </c>
      <c r="AN21">
        <v>64</v>
      </c>
      <c r="AO21">
        <v>0.97</v>
      </c>
      <c r="AP21" t="s">
        <v>194</v>
      </c>
      <c r="AQ21" t="s">
        <v>63</v>
      </c>
    </row>
    <row r="22" spans="1:43" x14ac:dyDescent="0.2">
      <c r="A22">
        <v>695962</v>
      </c>
      <c r="B22" t="s">
        <v>374</v>
      </c>
      <c r="C22">
        <v>6.3579999999999997</v>
      </c>
      <c r="D22">
        <v>74</v>
      </c>
      <c r="E22" t="s">
        <v>44</v>
      </c>
      <c r="F22" s="1">
        <v>44701</v>
      </c>
      <c r="G22">
        <v>32000000</v>
      </c>
      <c r="H22">
        <v>143</v>
      </c>
      <c r="I22">
        <v>8400000</v>
      </c>
      <c r="J22" t="s">
        <v>375</v>
      </c>
      <c r="K22" t="s">
        <v>376</v>
      </c>
      <c r="L22" t="s">
        <v>377</v>
      </c>
      <c r="M22" t="s">
        <v>378</v>
      </c>
      <c r="N22">
        <v>1.4706999999999999</v>
      </c>
      <c r="O22" t="s">
        <v>379</v>
      </c>
      <c r="P22" t="s">
        <v>380</v>
      </c>
      <c r="Q22" t="s">
        <v>381</v>
      </c>
      <c r="R22" t="s">
        <v>87</v>
      </c>
      <c r="S22" t="s">
        <v>382</v>
      </c>
      <c r="T22" t="s">
        <v>383</v>
      </c>
      <c r="U22" t="s">
        <v>384</v>
      </c>
      <c r="V22" t="s">
        <v>385</v>
      </c>
      <c r="W22" t="s">
        <v>386</v>
      </c>
      <c r="X22" t="s">
        <v>387</v>
      </c>
      <c r="Y22" t="s">
        <v>388</v>
      </c>
      <c r="Z22">
        <v>5.7</v>
      </c>
      <c r="AA22">
        <v>35759</v>
      </c>
      <c r="AB22" t="s">
        <v>389</v>
      </c>
      <c r="AC22">
        <v>5</v>
      </c>
      <c r="AD22">
        <v>2022</v>
      </c>
      <c r="AE22">
        <v>20</v>
      </c>
      <c r="AF22" t="s">
        <v>390</v>
      </c>
      <c r="AG22">
        <v>16</v>
      </c>
      <c r="AH22">
        <v>17.281246492013999</v>
      </c>
      <c r="AI22">
        <v>1.0165439112949399</v>
      </c>
      <c r="AJ22" t="s">
        <v>61</v>
      </c>
      <c r="AK22" t="s">
        <v>391</v>
      </c>
      <c r="AL22">
        <v>6</v>
      </c>
      <c r="AM22">
        <v>5</v>
      </c>
      <c r="AN22">
        <v>12</v>
      </c>
      <c r="AO22">
        <v>0.42</v>
      </c>
      <c r="AP22" t="s">
        <v>63</v>
      </c>
      <c r="AQ22" t="s">
        <v>63</v>
      </c>
    </row>
    <row r="23" spans="1:43" x14ac:dyDescent="0.2">
      <c r="A23">
        <v>780609</v>
      </c>
      <c r="B23" t="s">
        <v>392</v>
      </c>
      <c r="C23">
        <v>6.0890000000000004</v>
      </c>
      <c r="D23">
        <v>1238</v>
      </c>
      <c r="E23" t="s">
        <v>44</v>
      </c>
      <c r="F23" s="1">
        <v>44701</v>
      </c>
      <c r="G23">
        <v>11152071</v>
      </c>
      <c r="H23">
        <v>100</v>
      </c>
      <c r="I23">
        <v>6500000</v>
      </c>
      <c r="J23" t="s">
        <v>393</v>
      </c>
      <c r="K23" t="s">
        <v>46</v>
      </c>
      <c r="L23" t="s">
        <v>392</v>
      </c>
      <c r="M23" t="s">
        <v>394</v>
      </c>
      <c r="N23">
        <v>2.3319000000000001</v>
      </c>
      <c r="O23" t="s">
        <v>395</v>
      </c>
      <c r="P23" t="s">
        <v>396</v>
      </c>
      <c r="Q23" t="s">
        <v>397</v>
      </c>
      <c r="R23" t="s">
        <v>137</v>
      </c>
      <c r="S23" t="s">
        <v>121</v>
      </c>
      <c r="T23" t="s">
        <v>398</v>
      </c>
      <c r="U23" t="s">
        <v>399</v>
      </c>
      <c r="V23" t="s">
        <v>400</v>
      </c>
      <c r="W23" t="s">
        <v>399</v>
      </c>
      <c r="X23" t="s">
        <v>401</v>
      </c>
      <c r="Y23" t="s">
        <v>402</v>
      </c>
      <c r="Z23">
        <v>6</v>
      </c>
      <c r="AA23">
        <v>76125</v>
      </c>
      <c r="AB23" t="s">
        <v>403</v>
      </c>
      <c r="AC23">
        <v>5</v>
      </c>
      <c r="AD23">
        <v>2022</v>
      </c>
      <c r="AE23">
        <v>20</v>
      </c>
      <c r="AF23" t="s">
        <v>404</v>
      </c>
      <c r="AG23">
        <v>16</v>
      </c>
      <c r="AH23">
        <v>16.227135868202598</v>
      </c>
      <c r="AI23">
        <v>0.954537404011919</v>
      </c>
      <c r="AJ23" t="s">
        <v>61</v>
      </c>
      <c r="AK23" t="s">
        <v>405</v>
      </c>
      <c r="AL23">
        <v>34</v>
      </c>
      <c r="AM23">
        <v>2</v>
      </c>
      <c r="AN23">
        <v>44</v>
      </c>
      <c r="AO23">
        <v>0.05</v>
      </c>
      <c r="AP23" t="s">
        <v>63</v>
      </c>
      <c r="AQ23" t="s">
        <v>63</v>
      </c>
    </row>
    <row r="24" spans="1:43" x14ac:dyDescent="0.2">
      <c r="A24">
        <v>933554</v>
      </c>
      <c r="B24" t="s">
        <v>406</v>
      </c>
      <c r="C24">
        <v>5.9</v>
      </c>
      <c r="D24">
        <v>43</v>
      </c>
      <c r="E24" t="s">
        <v>44</v>
      </c>
      <c r="F24" s="1">
        <v>44701</v>
      </c>
      <c r="G24">
        <v>1465513</v>
      </c>
      <c r="H24">
        <v>86</v>
      </c>
      <c r="I24">
        <v>5000000</v>
      </c>
      <c r="J24" t="s">
        <v>407</v>
      </c>
      <c r="K24" t="s">
        <v>46</v>
      </c>
      <c r="L24" t="s">
        <v>406</v>
      </c>
      <c r="M24" t="s">
        <v>408</v>
      </c>
      <c r="N24">
        <v>1.2049000000000001</v>
      </c>
      <c r="O24" t="s">
        <v>409</v>
      </c>
      <c r="P24" t="s">
        <v>410</v>
      </c>
      <c r="Q24" t="s">
        <v>411</v>
      </c>
      <c r="R24" t="s">
        <v>51</v>
      </c>
      <c r="S24" t="s">
        <v>121</v>
      </c>
      <c r="T24" t="s">
        <v>412</v>
      </c>
      <c r="U24" t="s">
        <v>413</v>
      </c>
      <c r="W24" t="s">
        <v>413</v>
      </c>
      <c r="X24" t="s">
        <v>414</v>
      </c>
      <c r="Y24" t="s">
        <v>415</v>
      </c>
      <c r="Z24">
        <v>5</v>
      </c>
      <c r="AA24">
        <v>10615</v>
      </c>
      <c r="AB24" t="s">
        <v>416</v>
      </c>
      <c r="AC24">
        <v>5</v>
      </c>
      <c r="AD24">
        <v>2022</v>
      </c>
      <c r="AE24">
        <v>20</v>
      </c>
      <c r="AF24" t="s">
        <v>417</v>
      </c>
      <c r="AG24">
        <v>16</v>
      </c>
      <c r="AH24">
        <v>14.197716592140999</v>
      </c>
      <c r="AI24">
        <v>0.83515979953770703</v>
      </c>
      <c r="AJ24" t="s">
        <v>61</v>
      </c>
      <c r="AK24" t="s">
        <v>418</v>
      </c>
      <c r="AL24">
        <v>1</v>
      </c>
      <c r="AM24">
        <v>0</v>
      </c>
      <c r="AN24">
        <v>4</v>
      </c>
      <c r="AO24">
        <v>0</v>
      </c>
      <c r="AP24" t="s">
        <v>63</v>
      </c>
      <c r="AQ24" t="s">
        <v>63</v>
      </c>
    </row>
    <row r="25" spans="1:43" x14ac:dyDescent="0.2">
      <c r="A25">
        <v>361743</v>
      </c>
      <c r="B25" t="s">
        <v>419</v>
      </c>
      <c r="C25">
        <v>8.1999999999999993</v>
      </c>
      <c r="D25">
        <v>10317</v>
      </c>
      <c r="E25" t="s">
        <v>44</v>
      </c>
      <c r="F25" s="1">
        <v>44702</v>
      </c>
      <c r="G25">
        <v>1488732821</v>
      </c>
      <c r="H25">
        <v>131</v>
      </c>
      <c r="I25">
        <v>170000000</v>
      </c>
      <c r="J25" t="s">
        <v>420</v>
      </c>
      <c r="K25" t="s">
        <v>46</v>
      </c>
      <c r="L25" t="s">
        <v>419</v>
      </c>
      <c r="M25" t="s">
        <v>421</v>
      </c>
      <c r="N25">
        <v>15.2438</v>
      </c>
      <c r="O25" t="s">
        <v>422</v>
      </c>
      <c r="P25" t="s">
        <v>423</v>
      </c>
      <c r="Q25" t="s">
        <v>424</v>
      </c>
      <c r="R25" t="s">
        <v>51</v>
      </c>
      <c r="S25" t="s">
        <v>121</v>
      </c>
      <c r="T25" t="s">
        <v>425</v>
      </c>
      <c r="U25" t="s">
        <v>426</v>
      </c>
      <c r="V25" t="s">
        <v>427</v>
      </c>
      <c r="W25" t="s">
        <v>428</v>
      </c>
      <c r="X25" t="s">
        <v>429</v>
      </c>
      <c r="Y25" t="s">
        <v>430</v>
      </c>
      <c r="Z25">
        <v>8.1999999999999993</v>
      </c>
      <c r="AA25">
        <v>812310</v>
      </c>
      <c r="AB25" t="s">
        <v>431</v>
      </c>
      <c r="AC25">
        <v>5</v>
      </c>
      <c r="AD25">
        <v>2022</v>
      </c>
      <c r="AE25">
        <v>20</v>
      </c>
      <c r="AF25" t="s">
        <v>432</v>
      </c>
      <c r="AG25">
        <v>17</v>
      </c>
      <c r="AH25">
        <v>21.121191140028099</v>
      </c>
      <c r="AI25">
        <v>1.17339950777934</v>
      </c>
      <c r="AJ25" t="s">
        <v>61</v>
      </c>
      <c r="AK25" t="s">
        <v>433</v>
      </c>
      <c r="AL25">
        <v>49</v>
      </c>
      <c r="AM25">
        <v>1</v>
      </c>
      <c r="AN25">
        <v>71</v>
      </c>
      <c r="AO25">
        <v>0.01</v>
      </c>
      <c r="AP25" t="s">
        <v>63</v>
      </c>
      <c r="AQ25" t="s">
        <v>63</v>
      </c>
    </row>
    <row r="26" spans="1:43" x14ac:dyDescent="0.2">
      <c r="A26">
        <v>819876</v>
      </c>
      <c r="B26" t="s">
        <v>434</v>
      </c>
      <c r="C26">
        <v>6</v>
      </c>
      <c r="D26">
        <v>1185</v>
      </c>
      <c r="E26" t="s">
        <v>44</v>
      </c>
      <c r="F26" s="1">
        <v>44706</v>
      </c>
      <c r="G26">
        <v>4551565</v>
      </c>
      <c r="H26">
        <v>107</v>
      </c>
      <c r="I26">
        <v>27000000</v>
      </c>
      <c r="J26" t="s">
        <v>435</v>
      </c>
      <c r="K26" t="s">
        <v>46</v>
      </c>
      <c r="L26" t="s">
        <v>434</v>
      </c>
      <c r="M26" t="s">
        <v>436</v>
      </c>
      <c r="N26">
        <v>2.9847999999999999</v>
      </c>
      <c r="O26" t="s">
        <v>437</v>
      </c>
      <c r="P26" t="s">
        <v>438</v>
      </c>
      <c r="Q26" t="s">
        <v>439</v>
      </c>
      <c r="R26" t="s">
        <v>440</v>
      </c>
      <c r="S26" t="s">
        <v>233</v>
      </c>
      <c r="T26" t="s">
        <v>441</v>
      </c>
      <c r="U26" t="s">
        <v>442</v>
      </c>
      <c r="V26" t="s">
        <v>443</v>
      </c>
      <c r="W26" t="s">
        <v>442</v>
      </c>
      <c r="X26" t="s">
        <v>444</v>
      </c>
      <c r="Y26" t="s">
        <v>445</v>
      </c>
      <c r="Z26">
        <v>5.8</v>
      </c>
      <c r="AA26">
        <v>45884</v>
      </c>
      <c r="AB26" t="s">
        <v>446</v>
      </c>
      <c r="AC26">
        <v>5</v>
      </c>
      <c r="AD26">
        <v>2022</v>
      </c>
      <c r="AE26">
        <v>21</v>
      </c>
      <c r="AF26" t="s">
        <v>447</v>
      </c>
      <c r="AG26">
        <v>21</v>
      </c>
      <c r="AH26">
        <v>15.3309819075363</v>
      </c>
      <c r="AI26">
        <v>0.69686281397892702</v>
      </c>
      <c r="AJ26" t="s">
        <v>61</v>
      </c>
      <c r="AK26" t="s">
        <v>448</v>
      </c>
      <c r="AL26">
        <v>27</v>
      </c>
      <c r="AM26">
        <v>5</v>
      </c>
      <c r="AN26">
        <v>68</v>
      </c>
      <c r="AO26">
        <v>7.0000000000000007E-2</v>
      </c>
      <c r="AP26" t="s">
        <v>63</v>
      </c>
      <c r="AQ26" t="s">
        <v>63</v>
      </c>
    </row>
    <row r="27" spans="1:43" x14ac:dyDescent="0.2">
      <c r="A27">
        <v>504827</v>
      </c>
      <c r="B27" t="s">
        <v>449</v>
      </c>
      <c r="C27">
        <v>7</v>
      </c>
      <c r="D27">
        <v>338</v>
      </c>
      <c r="E27" t="s">
        <v>44</v>
      </c>
      <c r="F27" s="1">
        <v>44707</v>
      </c>
      <c r="G27">
        <v>34148750</v>
      </c>
      <c r="H27">
        <v>101</v>
      </c>
      <c r="I27">
        <v>38000000</v>
      </c>
      <c r="J27" t="s">
        <v>450</v>
      </c>
      <c r="K27" t="s">
        <v>46</v>
      </c>
      <c r="L27" t="s">
        <v>449</v>
      </c>
      <c r="M27" t="s">
        <v>451</v>
      </c>
      <c r="N27">
        <v>2.4106999999999998</v>
      </c>
      <c r="O27" t="s">
        <v>452</v>
      </c>
      <c r="P27" t="s">
        <v>453</v>
      </c>
      <c r="Q27" t="s">
        <v>454</v>
      </c>
      <c r="R27" t="s">
        <v>51</v>
      </c>
      <c r="S27" t="s">
        <v>121</v>
      </c>
      <c r="T27" t="s">
        <v>455</v>
      </c>
      <c r="U27" t="s">
        <v>456</v>
      </c>
      <c r="W27" t="s">
        <v>457</v>
      </c>
      <c r="X27" t="s">
        <v>458</v>
      </c>
      <c r="Y27" t="s">
        <v>459</v>
      </c>
      <c r="Z27">
        <v>7</v>
      </c>
      <c r="AA27">
        <v>23653</v>
      </c>
      <c r="AB27" t="s">
        <v>460</v>
      </c>
      <c r="AC27">
        <v>5</v>
      </c>
      <c r="AD27">
        <v>2022</v>
      </c>
      <c r="AE27">
        <v>21</v>
      </c>
      <c r="AF27" t="s">
        <v>461</v>
      </c>
      <c r="AG27">
        <v>22</v>
      </c>
      <c r="AH27">
        <v>17.346236569373701</v>
      </c>
      <c r="AI27">
        <v>0.75418419866842201</v>
      </c>
      <c r="AJ27" t="s">
        <v>61</v>
      </c>
      <c r="AK27" t="s">
        <v>462</v>
      </c>
      <c r="AL27">
        <v>18</v>
      </c>
      <c r="AM27">
        <v>11</v>
      </c>
      <c r="AN27">
        <v>32</v>
      </c>
      <c r="AO27">
        <v>0.34</v>
      </c>
      <c r="AP27" t="s">
        <v>63</v>
      </c>
      <c r="AQ27" t="s">
        <v>63</v>
      </c>
    </row>
    <row r="28" spans="1:43" x14ac:dyDescent="0.2">
      <c r="A28">
        <v>507086</v>
      </c>
      <c r="B28" t="s">
        <v>463</v>
      </c>
      <c r="C28">
        <v>6.63</v>
      </c>
      <c r="D28">
        <v>6726</v>
      </c>
      <c r="E28" t="s">
        <v>44</v>
      </c>
      <c r="F28" s="1">
        <v>44713</v>
      </c>
      <c r="G28">
        <v>1004004592</v>
      </c>
      <c r="H28">
        <v>147</v>
      </c>
      <c r="I28">
        <v>583900000</v>
      </c>
      <c r="J28" t="s">
        <v>464</v>
      </c>
      <c r="K28" t="s">
        <v>46</v>
      </c>
      <c r="L28" t="s">
        <v>463</v>
      </c>
      <c r="M28" t="s">
        <v>465</v>
      </c>
      <c r="N28">
        <v>10.515599999999999</v>
      </c>
      <c r="O28" t="s">
        <v>466</v>
      </c>
      <c r="P28" t="s">
        <v>467</v>
      </c>
      <c r="Q28" t="s">
        <v>468</v>
      </c>
      <c r="R28" t="s">
        <v>51</v>
      </c>
      <c r="S28" t="s">
        <v>121</v>
      </c>
      <c r="T28" t="s">
        <v>469</v>
      </c>
      <c r="U28" t="s">
        <v>470</v>
      </c>
      <c r="V28" t="s">
        <v>471</v>
      </c>
      <c r="W28" t="s">
        <v>472</v>
      </c>
      <c r="X28" t="s">
        <v>473</v>
      </c>
      <c r="Y28" t="s">
        <v>474</v>
      </c>
      <c r="Z28">
        <v>5.6</v>
      </c>
      <c r="AA28">
        <v>238005</v>
      </c>
      <c r="AB28" t="s">
        <v>475</v>
      </c>
      <c r="AC28">
        <v>6</v>
      </c>
      <c r="AD28">
        <v>2022</v>
      </c>
      <c r="AE28">
        <v>22</v>
      </c>
      <c r="AF28" t="s">
        <v>476</v>
      </c>
      <c r="AG28">
        <v>28</v>
      </c>
      <c r="AH28">
        <v>20.727262432906599</v>
      </c>
      <c r="AI28">
        <v>0.71473318734160896</v>
      </c>
      <c r="AJ28" t="s">
        <v>61</v>
      </c>
      <c r="AK28" t="s">
        <v>477</v>
      </c>
      <c r="AL28">
        <v>58</v>
      </c>
      <c r="AM28">
        <v>1</v>
      </c>
      <c r="AN28">
        <v>70</v>
      </c>
      <c r="AO28">
        <v>0.01</v>
      </c>
      <c r="AP28" t="s">
        <v>63</v>
      </c>
      <c r="AQ28" t="s">
        <v>63</v>
      </c>
    </row>
    <row r="29" spans="1:43" x14ac:dyDescent="0.2">
      <c r="A29">
        <v>743563</v>
      </c>
      <c r="B29" t="s">
        <v>478</v>
      </c>
      <c r="C29">
        <v>7.6</v>
      </c>
      <c r="D29">
        <v>140</v>
      </c>
      <c r="E29" t="s">
        <v>44</v>
      </c>
      <c r="F29" s="1">
        <v>44714</v>
      </c>
      <c r="G29">
        <v>54172014</v>
      </c>
      <c r="H29">
        <v>174</v>
      </c>
      <c r="I29">
        <v>15354648</v>
      </c>
      <c r="J29" t="s">
        <v>479</v>
      </c>
      <c r="K29" t="s">
        <v>480</v>
      </c>
      <c r="L29" t="s">
        <v>481</v>
      </c>
      <c r="M29" t="s">
        <v>482</v>
      </c>
      <c r="N29">
        <v>4.5484999999999998</v>
      </c>
      <c r="O29" t="s">
        <v>483</v>
      </c>
      <c r="P29" t="s">
        <v>484</v>
      </c>
      <c r="Q29" t="s">
        <v>485</v>
      </c>
      <c r="R29" t="s">
        <v>87</v>
      </c>
      <c r="S29" t="s">
        <v>486</v>
      </c>
      <c r="T29" t="s">
        <v>487</v>
      </c>
      <c r="U29" t="s">
        <v>488</v>
      </c>
      <c r="V29" t="s">
        <v>489</v>
      </c>
      <c r="W29" t="s">
        <v>490</v>
      </c>
      <c r="X29" t="s">
        <v>491</v>
      </c>
      <c r="Y29" t="s">
        <v>492</v>
      </c>
      <c r="Z29">
        <v>8.3000000000000007</v>
      </c>
      <c r="AA29">
        <v>87104</v>
      </c>
      <c r="AB29" t="s">
        <v>493</v>
      </c>
      <c r="AC29">
        <v>6</v>
      </c>
      <c r="AD29">
        <v>2022</v>
      </c>
      <c r="AE29">
        <v>22</v>
      </c>
      <c r="AF29" t="s">
        <v>494</v>
      </c>
      <c r="AG29">
        <v>29</v>
      </c>
      <c r="AH29">
        <v>17.807675004653099</v>
      </c>
      <c r="AI29">
        <v>0.59358916682177199</v>
      </c>
      <c r="AJ29" t="s">
        <v>61</v>
      </c>
      <c r="AK29" t="s">
        <v>495</v>
      </c>
      <c r="AL29">
        <v>9</v>
      </c>
      <c r="AM29">
        <v>4</v>
      </c>
      <c r="AN29">
        <v>17</v>
      </c>
      <c r="AO29">
        <v>0.24</v>
      </c>
      <c r="AP29" t="s">
        <v>63</v>
      </c>
      <c r="AQ29" t="s">
        <v>63</v>
      </c>
    </row>
    <row r="30" spans="1:43" x14ac:dyDescent="0.2">
      <c r="A30">
        <v>807356</v>
      </c>
      <c r="B30" t="s">
        <v>496</v>
      </c>
      <c r="C30">
        <v>6.5</v>
      </c>
      <c r="D30">
        <v>1069</v>
      </c>
      <c r="E30" t="s">
        <v>44</v>
      </c>
      <c r="F30" s="1">
        <v>44715</v>
      </c>
      <c r="G30">
        <v>2543216</v>
      </c>
      <c r="H30">
        <v>96</v>
      </c>
      <c r="I30">
        <v>5000000</v>
      </c>
      <c r="J30" t="s">
        <v>497</v>
      </c>
      <c r="K30" t="s">
        <v>46</v>
      </c>
      <c r="L30" t="s">
        <v>496</v>
      </c>
      <c r="M30" t="s">
        <v>498</v>
      </c>
      <c r="N30">
        <v>4.4400000000000004</v>
      </c>
      <c r="O30" t="s">
        <v>499</v>
      </c>
      <c r="P30" t="s">
        <v>500</v>
      </c>
      <c r="Q30" t="s">
        <v>501</v>
      </c>
      <c r="R30" t="s">
        <v>502</v>
      </c>
      <c r="S30" t="s">
        <v>503</v>
      </c>
      <c r="T30" t="s">
        <v>504</v>
      </c>
      <c r="U30" t="s">
        <v>505</v>
      </c>
      <c r="V30" t="s">
        <v>506</v>
      </c>
      <c r="W30" t="s">
        <v>507</v>
      </c>
      <c r="X30" t="s">
        <v>508</v>
      </c>
      <c r="Y30" t="s">
        <v>509</v>
      </c>
      <c r="Z30">
        <v>6.3</v>
      </c>
      <c r="AA30">
        <v>59484</v>
      </c>
      <c r="AB30" t="s">
        <v>510</v>
      </c>
      <c r="AC30">
        <v>6</v>
      </c>
      <c r="AD30">
        <v>2022</v>
      </c>
      <c r="AE30">
        <v>22</v>
      </c>
      <c r="AF30" t="s">
        <v>511</v>
      </c>
      <c r="AG30">
        <v>30</v>
      </c>
      <c r="AH30">
        <v>14.748940373048301</v>
      </c>
      <c r="AI30">
        <v>0.475772270098334</v>
      </c>
      <c r="AJ30" t="s">
        <v>61</v>
      </c>
      <c r="AK30" t="s">
        <v>512</v>
      </c>
      <c r="AL30">
        <v>6</v>
      </c>
      <c r="AM30">
        <v>5</v>
      </c>
      <c r="AN30">
        <v>33</v>
      </c>
      <c r="AO30">
        <v>0.15</v>
      </c>
      <c r="AP30" t="s">
        <v>63</v>
      </c>
      <c r="AQ30" t="s">
        <v>63</v>
      </c>
    </row>
    <row r="31" spans="1:43" hidden="1" x14ac:dyDescent="0.2">
      <c r="A31">
        <v>667062</v>
      </c>
      <c r="B31" t="s">
        <v>513</v>
      </c>
      <c r="C31">
        <v>6.4</v>
      </c>
      <c r="D31">
        <v>11</v>
      </c>
      <c r="E31" t="s">
        <v>44</v>
      </c>
      <c r="F31" s="1">
        <v>44721</v>
      </c>
      <c r="G31">
        <v>455532</v>
      </c>
      <c r="H31">
        <v>129</v>
      </c>
      <c r="I31">
        <v>1400000</v>
      </c>
      <c r="J31" t="s">
        <v>514</v>
      </c>
      <c r="K31" t="s">
        <v>0</v>
      </c>
      <c r="L31" t="s">
        <v>515</v>
      </c>
      <c r="M31" t="s">
        <v>516</v>
      </c>
      <c r="N31">
        <v>0.40379999999999999</v>
      </c>
      <c r="O31" t="s">
        <v>517</v>
      </c>
      <c r="P31" t="s">
        <v>518</v>
      </c>
      <c r="Q31" t="s">
        <v>519</v>
      </c>
      <c r="R31" t="s">
        <v>520</v>
      </c>
      <c r="S31" t="s">
        <v>521</v>
      </c>
      <c r="T31" t="s">
        <v>522</v>
      </c>
      <c r="U31" t="s">
        <v>523</v>
      </c>
      <c r="V31" t="s">
        <v>524</v>
      </c>
      <c r="W31" t="s">
        <v>525</v>
      </c>
      <c r="X31" t="s">
        <v>526</v>
      </c>
      <c r="Y31" t="s">
        <v>527</v>
      </c>
      <c r="Z31">
        <v>5.3</v>
      </c>
      <c r="AA31">
        <v>960</v>
      </c>
      <c r="AB31" t="s">
        <v>528</v>
      </c>
      <c r="AC31">
        <v>6</v>
      </c>
      <c r="AD31">
        <v>2022</v>
      </c>
      <c r="AE31">
        <v>23</v>
      </c>
      <c r="AF31" t="s">
        <v>529</v>
      </c>
      <c r="AG31">
        <v>36</v>
      </c>
      <c r="AH31">
        <v>13.0292234409174</v>
      </c>
      <c r="AI31">
        <v>0.35214117407884898</v>
      </c>
      <c r="AJ31" t="s">
        <v>61</v>
      </c>
      <c r="AK31" t="s">
        <v>530</v>
      </c>
      <c r="AL31">
        <v>3</v>
      </c>
      <c r="AM31">
        <v>9</v>
      </c>
      <c r="AN31">
        <v>12</v>
      </c>
      <c r="AO31">
        <v>0.75</v>
      </c>
      <c r="AP31" t="s">
        <v>194</v>
      </c>
      <c r="AQ31" t="s">
        <v>63</v>
      </c>
    </row>
    <row r="32" spans="1:43" x14ac:dyDescent="0.2">
      <c r="A32">
        <v>718789</v>
      </c>
      <c r="B32" t="s">
        <v>531</v>
      </c>
      <c r="C32">
        <v>6.9</v>
      </c>
      <c r="D32">
        <v>3656</v>
      </c>
      <c r="E32" t="s">
        <v>44</v>
      </c>
      <c r="F32" s="1">
        <v>44727</v>
      </c>
      <c r="G32">
        <v>226425420</v>
      </c>
      <c r="H32">
        <v>105</v>
      </c>
      <c r="I32">
        <v>200000000</v>
      </c>
      <c r="J32" t="s">
        <v>532</v>
      </c>
      <c r="K32" t="s">
        <v>46</v>
      </c>
      <c r="L32" t="s">
        <v>531</v>
      </c>
      <c r="M32" t="s">
        <v>533</v>
      </c>
      <c r="N32">
        <v>4.5168999999999997</v>
      </c>
      <c r="O32" t="s">
        <v>534</v>
      </c>
      <c r="P32" t="s">
        <v>535</v>
      </c>
      <c r="Q32" t="s">
        <v>536</v>
      </c>
      <c r="R32" t="s">
        <v>51</v>
      </c>
      <c r="S32" t="s">
        <v>121</v>
      </c>
      <c r="T32" t="s">
        <v>537</v>
      </c>
      <c r="U32" t="s">
        <v>538</v>
      </c>
      <c r="V32" t="s">
        <v>539</v>
      </c>
      <c r="W32" t="s">
        <v>540</v>
      </c>
      <c r="X32" t="s">
        <v>541</v>
      </c>
      <c r="Y32" t="s">
        <v>474</v>
      </c>
      <c r="Z32">
        <v>6.1</v>
      </c>
      <c r="AA32">
        <v>133498</v>
      </c>
      <c r="AB32" t="s">
        <v>542</v>
      </c>
      <c r="AC32">
        <v>6</v>
      </c>
      <c r="AD32">
        <v>2022</v>
      </c>
      <c r="AE32">
        <v>24</v>
      </c>
      <c r="AF32" t="s">
        <v>543</v>
      </c>
      <c r="AG32">
        <v>42</v>
      </c>
      <c r="AH32">
        <v>19.237926181558802</v>
      </c>
      <c r="AI32">
        <v>0.44739363212927602</v>
      </c>
      <c r="AJ32" t="s">
        <v>61</v>
      </c>
      <c r="AK32" t="s">
        <v>544</v>
      </c>
      <c r="AL32">
        <v>66</v>
      </c>
      <c r="AM32">
        <v>2</v>
      </c>
      <c r="AN32">
        <v>69</v>
      </c>
      <c r="AO32">
        <v>0.03</v>
      </c>
      <c r="AP32" t="s">
        <v>63</v>
      </c>
      <c r="AQ32" t="s">
        <v>63</v>
      </c>
    </row>
    <row r="33" spans="1:43" x14ac:dyDescent="0.2">
      <c r="A33">
        <v>756999</v>
      </c>
      <c r="B33" t="s">
        <v>545</v>
      </c>
      <c r="C33">
        <v>7.5519999999999996</v>
      </c>
      <c r="D33">
        <v>5477</v>
      </c>
      <c r="E33" t="s">
        <v>44</v>
      </c>
      <c r="F33" s="1">
        <v>44728</v>
      </c>
      <c r="G33">
        <v>161441914</v>
      </c>
      <c r="H33">
        <v>103</v>
      </c>
      <c r="I33">
        <v>16000000</v>
      </c>
      <c r="J33" t="s">
        <v>546</v>
      </c>
      <c r="K33" t="s">
        <v>46</v>
      </c>
      <c r="L33" t="s">
        <v>545</v>
      </c>
      <c r="M33" t="s">
        <v>547</v>
      </c>
      <c r="N33">
        <v>45.416800000000002</v>
      </c>
      <c r="O33" t="s">
        <v>548</v>
      </c>
      <c r="P33" t="s">
        <v>549</v>
      </c>
      <c r="Q33" t="s">
        <v>550</v>
      </c>
      <c r="R33" t="s">
        <v>51</v>
      </c>
      <c r="S33" t="s">
        <v>551</v>
      </c>
      <c r="T33" t="s">
        <v>552</v>
      </c>
      <c r="U33" t="s">
        <v>553</v>
      </c>
      <c r="V33" t="s">
        <v>554</v>
      </c>
      <c r="W33" t="s">
        <v>555</v>
      </c>
      <c r="X33" t="s">
        <v>556</v>
      </c>
      <c r="Y33" t="s">
        <v>557</v>
      </c>
      <c r="Z33">
        <v>6.9</v>
      </c>
      <c r="AA33">
        <v>247877</v>
      </c>
      <c r="AB33" t="s">
        <v>558</v>
      </c>
      <c r="AC33">
        <v>6</v>
      </c>
      <c r="AD33">
        <v>2022</v>
      </c>
      <c r="AE33">
        <v>24</v>
      </c>
      <c r="AF33" t="s">
        <v>559</v>
      </c>
      <c r="AG33">
        <v>43</v>
      </c>
      <c r="AH33">
        <v>18.8996559764912</v>
      </c>
      <c r="AI33">
        <v>0.42953763582934701</v>
      </c>
      <c r="AJ33" t="s">
        <v>61</v>
      </c>
      <c r="AK33" t="s">
        <v>560</v>
      </c>
      <c r="AL33">
        <v>53</v>
      </c>
      <c r="AM33">
        <v>1</v>
      </c>
      <c r="AN33">
        <v>65</v>
      </c>
      <c r="AO33">
        <v>0.02</v>
      </c>
      <c r="AP33" t="s">
        <v>63</v>
      </c>
      <c r="AQ33" t="s">
        <v>63</v>
      </c>
    </row>
    <row r="34" spans="1:43" x14ac:dyDescent="0.2">
      <c r="A34">
        <v>913814</v>
      </c>
      <c r="B34" t="s">
        <v>561</v>
      </c>
      <c r="C34">
        <v>6.327</v>
      </c>
      <c r="D34">
        <v>153</v>
      </c>
      <c r="E34" t="s">
        <v>44</v>
      </c>
      <c r="F34" s="1">
        <v>44729</v>
      </c>
      <c r="G34">
        <v>216220</v>
      </c>
      <c r="H34">
        <v>91</v>
      </c>
      <c r="I34">
        <v>1200000</v>
      </c>
      <c r="J34" t="s">
        <v>562</v>
      </c>
      <c r="K34" t="s">
        <v>46</v>
      </c>
      <c r="L34" t="s">
        <v>561</v>
      </c>
      <c r="M34" t="s">
        <v>563</v>
      </c>
      <c r="N34">
        <v>0.68069999999999997</v>
      </c>
      <c r="O34" t="s">
        <v>564</v>
      </c>
      <c r="P34" t="s">
        <v>565</v>
      </c>
      <c r="Q34" t="s">
        <v>566</v>
      </c>
      <c r="R34" t="s">
        <v>567</v>
      </c>
      <c r="S34" t="s">
        <v>185</v>
      </c>
      <c r="T34" t="s">
        <v>568</v>
      </c>
      <c r="U34" t="s">
        <v>569</v>
      </c>
      <c r="V34" t="s">
        <v>570</v>
      </c>
      <c r="W34" t="s">
        <v>571</v>
      </c>
      <c r="X34" t="s">
        <v>572</v>
      </c>
      <c r="Y34" t="s">
        <v>573</v>
      </c>
      <c r="Z34">
        <v>6.7</v>
      </c>
      <c r="AA34">
        <v>9989</v>
      </c>
      <c r="AB34" t="s">
        <v>574</v>
      </c>
      <c r="AC34">
        <v>6</v>
      </c>
      <c r="AD34">
        <v>2022</v>
      </c>
      <c r="AE34">
        <v>24</v>
      </c>
      <c r="AF34" t="s">
        <v>575</v>
      </c>
      <c r="AG34">
        <v>44</v>
      </c>
      <c r="AH34">
        <v>12.2840563117551</v>
      </c>
      <c r="AI34">
        <v>0.27297902915011402</v>
      </c>
      <c r="AJ34" t="s">
        <v>61</v>
      </c>
      <c r="AK34" t="s">
        <v>576</v>
      </c>
      <c r="AL34">
        <v>6</v>
      </c>
      <c r="AM34">
        <v>3</v>
      </c>
      <c r="AN34">
        <v>18</v>
      </c>
      <c r="AO34">
        <v>0.17</v>
      </c>
      <c r="AP34" t="s">
        <v>63</v>
      </c>
      <c r="AQ34" t="s">
        <v>63</v>
      </c>
    </row>
    <row r="35" spans="1:43" x14ac:dyDescent="0.2">
      <c r="A35" t="s">
        <v>577</v>
      </c>
      <c r="AI35">
        <f>SUBTOTAL(109,Table1[score])</f>
        <v>28.962531727949177</v>
      </c>
      <c r="AQ35">
        <f>SUBTOTAL(103,Table1[error])</f>
        <v>30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Doctor_Strange_in_the_Multivers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2026-02-17T17:11:26Z</dcterms:created>
  <dcterms:modified xsi:type="dcterms:W3CDTF">2026-02-17T17:58:07Z</dcterms:modified>
</cp:coreProperties>
</file>