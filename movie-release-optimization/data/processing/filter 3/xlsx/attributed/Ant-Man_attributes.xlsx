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3/xlsx/attributed/"/>
    </mc:Choice>
  </mc:AlternateContent>
  <xr:revisionPtr revIDLastSave="0" documentId="13_ncr:1_{ED1819FE-2635-3D40-80D8-575E908EDB42}" xr6:coauthVersionLast="47" xr6:coauthVersionMax="47" xr10:uidLastSave="{00000000-0000-0000-0000-000000000000}"/>
  <bookViews>
    <workbookView xWindow="380" yWindow="80" windowWidth="28040" windowHeight="17180" xr2:uid="{B668456B-C224-2F40-9539-81BBCDFC2B32}"/>
  </bookViews>
  <sheets>
    <sheet name="Ant-Man_attribut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8" i="1" l="1"/>
  <c r="AQ48" i="1"/>
</calcChain>
</file>

<file path=xl/sharedStrings.xml><?xml version="1.0" encoding="utf-8"?>
<sst xmlns="http://schemas.openxmlformats.org/spreadsheetml/2006/main" count="1099" uniqueCount="779">
  <si>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</si>
  <si>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</si>
  <si>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</si>
  <si>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</si>
  <si>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</si>
  <si>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</si>
  <si>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</si>
  <si>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</si>
  <si>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</si>
  <si>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</si>
  <si>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</si>
  <si>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</si>
  <si>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</si>
  <si>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</si>
  <si>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</si>
  <si>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</si>
  <si>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</si>
  <si>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</si>
  <si>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</si>
  <si>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</si>
  <si>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</si>
  <si>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</si>
  <si>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</si>
  <si>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</si>
  <si>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</si>
  <si>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</si>
  <si>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</si>
  <si>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</si>
  <si>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</si>
  <si>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</si>
  <si>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</si>
  <si>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</si>
  <si>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</si>
  <si>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</si>
  <si>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</si>
  <si>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</si>
  <si>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</si>
  <si>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</si>
  <si>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</si>
  <si>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</si>
  <si>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</si>
  <si>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</si>
  <si>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</si>
  <si>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Manglehorn</t>
  </si>
  <si>
    <t>Released</t>
  </si>
  <si>
    <t>tt2893490</t>
  </si>
  <si>
    <t>en</t>
  </si>
  <si>
    <t>AJ Manglehorn is an aging, ordinary guy in a small town. He nurses his sick cat, squeezes out a conversation with the local bank teller every Friday, and eats at the same place every day.  But there is more to Manglehorn than meets the eye: he‚Äö√Ñ√¥s an ex-con who, 40 years ago, gave up the woman of his dreams for a big ‚Äö√Ñ√≤job‚Äö√Ñ√¥. After a dramatic effort to start over, Manglehorn faces a terrifying moment and is unmasked as a guy with a very, very dark past.</t>
  </si>
  <si>
    <t>You get one shot at life. Try not to miss.</t>
  </si>
  <si>
    <t>Drama</t>
  </si>
  <si>
    <t>worldview entertainment, rough house pictures</t>
  </si>
  <si>
    <t>United States of America</t>
  </si>
  <si>
    <t>English</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</si>
  <si>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</si>
  <si>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David Gordon Green</t>
  </si>
  <si>
    <t>Tim Orr</t>
  </si>
  <si>
    <t>Paul Logan</t>
  </si>
  <si>
    <t>Danny McBride, Christopher Woodrow, Molly Conners, Sarah E. Johnson, Lisa Muskat, Jody Hill, Maria Cestone, Hoyt David Morgan, Brad Coolidge, David Gordon Green, Todd J. Labarowski, Melissa Coolidge, Derrick Tseng</t>
  </si>
  <si>
    <t>David Wingo</t>
  </si>
  <si>
    <t>/ms27YhpvgE5b0JIwaNiWw6EDC8g.jpg</t>
  </si>
  <si>
    <t>manglehorn</t>
  </si>
  <si>
    <t>ant-man</t>
  </si>
  <si>
    <t>venice film festival (1), toronto international film festival (1), zurich film festival (1), rio de janeiro international film festival (1), busan international film festival (1), american film festival (1), stockholm international film festival (1), south by southwest film festival (1), febio film festival (1), phoenix film festival (1), istanbul film festival (1), cph:pix (1), sarasota film festival (1), beijing international film festival (1), dallas international film festival (1), nashville film festival (1), riverrun international film festival (1), independent film festival boston (1), riviera maya film festival (1), d'a film festival (1), louisiana international film festival (1), montclair film festival (1), seattle international film festival (1), blank (11), limited (2), edinburgh international film festival (1), munich international film festival (1), internet (1), dvd premiere (3), tv premiere (1)</t>
  </si>
  <si>
    <t>no</t>
  </si>
  <si>
    <t>Jurassic World</t>
  </si>
  <si>
    <t>tt0369610</t>
  </si>
  <si>
    <t>Twenty-two years after the events of Jurassic Park, Isla Nublar now features a fully functioning dinosaur theme park, Jurassic World, as originally envisioned by John Hammond.</t>
  </si>
  <si>
    <t>The park is open.</t>
  </si>
  <si>
    <t>Action, Adventure, Science Fiction, Thriller</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</si>
  <si>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</si>
  <si>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</si>
  <si>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Colin Trevorrow</t>
  </si>
  <si>
    <t>John Schwartzman</t>
  </si>
  <si>
    <t>Michael Crichton, Derek Connolly, Colin Trevorrow, Rick Jaffa, Amanda Silver</t>
  </si>
  <si>
    <t>Thomas Tull, Steven Spielberg, Frank Marshall, Patrick Crowley</t>
  </si>
  <si>
    <t>Michael Giacchino</t>
  </si>
  <si>
    <t>/rhr4y79GpxQF9IsfJItRXVaoGs4.jpg</t>
  </si>
  <si>
    <t>jurassic world</t>
  </si>
  <si>
    <t>paris (1), premiere (2), hollywood, california (1), blank (70), tunis (1), okinawa international movie festival (1), 3-d version (2), beijing international film festival (1), internet (1), shanghai international film festival (1)</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</si>
  <si>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</si>
  <si>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</si>
  <si>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</si>
  <si>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</si>
  <si>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</si>
  <si>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pixar</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</si>
  <si>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</si>
  <si>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Pete Docter</t>
  </si>
  <si>
    <t>Patrick Lin</t>
  </si>
  <si>
    <t>Meg LeFauve, Matt Jones, J. Garett Sheldrew, Ronnie del Carmen, James S. Baker, Pete Docter, Josh Cooley</t>
  </si>
  <si>
    <t>John Lasseter, Andrew Stanton, Jonas Rivera</t>
  </si>
  <si>
    <t>/2H1TmgdfNtsKlU9jKdeNyYL5y8T.jpg</t>
  </si>
  <si>
    <t>inside out</t>
  </si>
  <si>
    <t>cannes film festival (1), seattle international film festival (1), los angeles, california (1), premiere (6), sydney film festival (1), los angeles film festival (1), taormina international film festival (1), sydney (1), buenos aires (1), blank (88), edinburgh international film festival (1), madrid (1), london (1), berlin (1), re-release (3), limited (1), tama cinema forum (1), japanese animation film festival (1), west beach filmfestival (1)</t>
  </si>
  <si>
    <t>Minions</t>
  </si>
  <si>
    <t>tt2293640</t>
  </si>
  <si>
    <t>Minions Stuart, Kevin and Bob are recruited by Scarlet Overkill, a super-villain who, alongside her inventor husband Herb, hatches a plot to take over the world.</t>
  </si>
  <si>
    <t>Meet Stuart, Kevin &amp; Bob.</t>
  </si>
  <si>
    <t>Family, Animation, Adventure, Comedy</t>
  </si>
  <si>
    <t>illumination, universal pictures</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</si>
  <si>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</si>
  <si>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</si>
  <si>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</si>
  <si>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</si>
  <si>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Heitor Pereira</t>
  </si>
  <si>
    <t>/vlOgaxUiMOA8sPDG9n3VhQabnEi.jpg</t>
  </si>
  <si>
    <t>minions</t>
  </si>
  <si>
    <t>london (1), premiere (1), blank (79), french speaking region (1), dvd premiere (2), mt. fuji-kawaguchiko lake film festival (1), furuyu movie festival (1), blu-ray premiere (1), hibiya cinema festival (1), internet (1)</t>
  </si>
  <si>
    <t>Mustang</t>
  </si>
  <si>
    <t>tt3966404</t>
  </si>
  <si>
    <t>tr</t>
  </si>
  <si>
    <t>In a Turkish village, five orphaned sisters live under strict rule while members of their family prepare their arranged marriages.</t>
  </si>
  <si>
    <t>Their spirit would never be broken.</t>
  </si>
  <si>
    <t>cg cin‚àö¬©ma, vistamar filmproduktion, uhlandfilm, bam film, kinology</t>
  </si>
  <si>
    <t>Turkey, France, Germany</t>
  </si>
  <si>
    <t>T‚àö¬∫rk‚àö√üe</t>
  </si>
  <si>
    <t>Serpil Ucar, Erol Af‚âà√ºin, Serife Kara, Serpil Reis, Rukiye Sariahmet, Kadir Celebi, Elit ∆í‚àû‚âà√ºcan, Ayberk Pekcan, Burak Yi∆í√ºit, Suzanne Marrot, Tuncer Kumcular, Do∆í√ºa Zeynep Do∆í√ºu‚âà√ºlu, M‚àö¬∫zeyyen Celebi, Aynur Komecoglu, Nihal Kolda‚âà√º, Ercan K‚àö‚àÇksal, Sevval Aydin, G‚àö¬∫ne‚âà√º Nezihe ‚âà√ªensoy, Utku Zeka, Aziz Komecoglu, Enes S‚àö¬∫r‚àö¬∫m, Tu∆í√ºba Sunguro∆í√ºlu, Ilayda Akdo∆í√ºan, Bahar Kerimo∆í√ºlu, Aykut Karatay</t>
  </si>
  <si>
    <t>Deniz Gamze Erg‚àö¬∫ven</t>
  </si>
  <si>
    <t>Ersin G‚àö‚àÇk, David Chizallet</t>
  </si>
  <si>
    <t>Alice Winocour, Deniz Gamze Erg‚àö¬∫ven</t>
  </si>
  <si>
    <t>Charles Gillibert</t>
  </si>
  <si>
    <t>Warren Ellis</t>
  </si>
  <si>
    <t>/8lrsjdydRxhKlKiGuMbbzuFKrdN.jpg</t>
  </si>
  <si>
    <t>mustang</t>
  </si>
  <si>
    <t>cannes directors' fortnight (1), blank (37), karlovy vary international film festival (1), odessa international film festival (1), new zealand international film festival (1), new horizons film festival (1), melbourne international film festival (1), venice days (1), toronto international film festival (1), jameson cinefest international film festival (1), french speaking region (1), reykjavik international film festival (1), rio de janeiro international film festial (1), festa do cinema frances (1), filmekimi (1), hamburg film festival (1), busan international film festival (1), edmonton international film festival (1), chicago international film festival (1), middleburg film festival (1), valladolid international film festival (1), rendez-vous with french cinema (2), thessaloniki international film festival (2), international film festival of curitiba biennial (1), afi fest (1), stockholm international film festival (1), cinedays film festival (1), denver international film festival (1), barcelona (2), premiere (2), limited (2), zagreb film festival (1), dubai international film festival (1), franz√∂sische filmwoche, berlin (1), festival rendez-vous du cin√©ma fran√ßais √† paris (1), palm springs international film festival (1), toronto (1), qu√©bec (1), bengaluru international film festival (1), festival les lumi√®res (1), german speaking region (1), kino pavasaris (1), beijing international film festival (1), sydney film festival (1), select respect film festival (1), rtp 2 (1), tv premiere (1)</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</si>
  <si>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</si>
  <si>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</si>
  <si>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</si>
  <si>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</si>
  <si>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</si>
  <si>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fox 2000 pictures, temple hill entertainment</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</si>
  <si>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</si>
  <si>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Jake Schreier</t>
  </si>
  <si>
    <t>David Lanzenberg</t>
  </si>
  <si>
    <t>Michael H. Weber, John Green, Scott Neustadter</t>
  </si>
  <si>
    <t>Marty Bowen, Wyck Godfrey</t>
  </si>
  <si>
    <t>Ryan Lott</t>
  </si>
  <si>
    <t>/eoF6wYVj1vbrCWjL0rBkdZpgrxS.jpg</t>
  </si>
  <si>
    <t>paper towns</t>
  </si>
  <si>
    <t>blank (62), buenos aires (1), premiere (1), internet (1)</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</si>
  <si>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</si>
  <si>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</si>
  <si>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</si>
  <si>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</si>
  <si>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</si>
  <si>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</si>
  <si>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United Kingdom, United States of America</t>
  </si>
  <si>
    <t>Fran‚àö√üais, English, √ä√≥‚Ä¢√ä√∫¬®√ã‚Ñ¢√ª</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</si>
  <si>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</si>
  <si>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Bill Condon</t>
  </si>
  <si>
    <t>Tobias A. Schliessler</t>
  </si>
  <si>
    <t>Mitch Cullin, Arthur Conan Doyle, Jeffrey Hatcher</t>
  </si>
  <si>
    <t>Christine Langan, Len Blavatnik, Iain Canning, Aviv Giladi, Amy Nauiokas, Vince Holden, Zanne Devine, Emile Sherman, Anne Carey</t>
  </si>
  <si>
    <t>Carter Burwell</t>
  </si>
  <si>
    <t>/nNHkoefLcdtaHyG08G8aDn1yFMw.jpg</t>
  </si>
  <si>
    <t>mr. holmes</t>
  </si>
  <si>
    <t>berlin international film festival (1), san francisco international film festival (1), usa film festival (1), seattle international film festival (1), sydney film festival (1), blank (27), limited (1), deauville film festival (1), jameson cinefest - miskolc international film festival (1), new british film festival (1), kinomania (1), dvd and blu-ray premiere (1), dvd premiere (2), yubari international fantastic film festival (1), copenhagen (1), tv release (1)</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</si>
  <si>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</si>
  <si>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</si>
  <si>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</si>
  <si>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</si>
  <si>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Crime, Drama, Comedy</t>
  </si>
  <si>
    <t>revolt films, significant productions, iamother entertainment</t>
  </si>
  <si>
    <t>Zo‚àö¬¥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</si>
  <si>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</si>
  <si>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Rachel Morrison</t>
  </si>
  <si>
    <t>Rick Famuyiwa, Forest Whitaker, David Lonner, Michael Y. Chow, Pharrell Williams, Nina Yang Bongiovi</t>
  </si>
  <si>
    <t>Germaine Franco</t>
  </si>
  <si>
    <t>/n6u00imN7AX2NiyWUc5kTgHXmEf.jpg</t>
  </si>
  <si>
    <t>dope</t>
  </si>
  <si>
    <t>sundance film festival (1), cannes directors' fortnight (1), sydney film festival (1), los angeles film festival (1), limited (1), blank (11), edinburgh international film festival (1), munich international film festival (1), galway film fleadh (1), odessa international film festival (1), new zealand international film festival (1), melbourne international film festival (1), deauville film festival (1), helsinki international film festival (1), jameson cinefest international film festival (1), zurich film festival (1), festival do rio br (1), american film festival (1), vienna international film festival (1), stockholm international film festival (1), dvd premiere (3), dvd and blu-ray and premiere (1), internet (2), tv premiere (1), tv release (1), west beach filmfestival (1)</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</si>
  <si>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</si>
  <si>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</si>
  <si>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</si>
  <si>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</si>
  <si>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Science Fiction, Action, Thriller, Adventure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</si>
  <si>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</si>
  <si>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</si>
  <si>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Alan Taylor</t>
  </si>
  <si>
    <t>Kramer Morgenthau</t>
  </si>
  <si>
    <t>James Cameron, Laeta Kalogridis, Gale Anne Hurd, Patrick Lussier</t>
  </si>
  <si>
    <t>Paul Schwake, David Ellison, Megan Ellison, Patrick Lussier, Dana Goldberg, Laeta Kalogridis, Bill Carraro</t>
  </si>
  <si>
    <t>Lorne Balfe</t>
  </si>
  <si>
    <t>/oZRVDpNtmHk8M1VYy1aeOWUXgbC.jpg</t>
  </si>
  <si>
    <t>terminator genisys</t>
  </si>
  <si>
    <t>berlin (1), premiere (3), blank (86), jakarta (1), limited (1), french speaking region (1), tokyo (1), german speaking region (1), italian speaking region (1), internet (1)</t>
  </si>
  <si>
    <t>Colonia</t>
  </si>
  <si>
    <t>tt4005402</t>
  </si>
  <si>
    <t>A young woman's desperate search for her abducted boyfriend draws her into the infamous Colonia Dignidad, a sect nobody ever escaped from.</t>
  </si>
  <si>
    <t>There is no turning back</t>
  </si>
  <si>
    <t>Drama, History</t>
  </si>
  <si>
    <t>majestic filmproduktion, rat pack filmproduktion, iris productions, fred films</t>
  </si>
  <si>
    <t>Germany, France, Luxembourg, United Kingdom</t>
  </si>
  <si>
    <t>English, Espa‚àö¬±ol</t>
  </si>
  <si>
    <t>Nicol‚àö¬∞s Barsoff, Rouven Blessing, Emma Watson, Iv‚àö¬∞n Espeche, Jeanne Werner, Daniel Br‚àö¬∫hl, Justina Bustos, Steve Karier, Lucila Gandolfo, Johannes Allmayer, Paul Herwig, C‚àö¬©sar Bord‚àö‚â•n, Jasper Timm, Julian Ovenden, Cuco Wallraff, Johannes Frolich, Gast‚àö‚â•n Filgueira, Jules Waringo, Natalia Se‚àö¬±orales, Lydia Stevens, Jose Antonio Coello Porras, Marcelo Vilaro, Pedro Merlo, Martine Conzemius, Lauren Jane Pringle, ‚àö√¢ric Gigout, Etienne Halsdorf, Michael Nyqvist, Carlos Alejandro L‚àö‚â•pez, Melania Lenoir, Gilles Soeder, Stefan Merki, Richenda Carey, Ariel Nu‚àö¬±ez Di Croce, Alexia Moyano, Martin Wuttke, Pietro Gian, Edgar Moro, Herbert Forthuber, Stephan Szasz, Vicky Krieps, August Zirner, Katharina M‚àö¬∫ller-Elmau, Lalo Rotaveria, Oscar Ali Garci</t>
  </si>
  <si>
    <t>Florian Gallenberger</t>
  </si>
  <si>
    <t>Kolja Brandt</t>
  </si>
  <si>
    <t>Florian Gallenberger, Torsten Wenzel, Tom Kinninmont</t>
  </si>
  <si>
    <t>Benjamin Herrmann, Nicolas Steil</t>
  </si>
  <si>
    <t>Andr‚àö¬© Dziezuk, Fernando Vel‚àö¬∞zquez</t>
  </si>
  <si>
    <t>/p7oGFkMGaQR27R1olN9RoMzg4vS.jpg</t>
  </si>
  <si>
    <t>colonia</t>
  </si>
  <si>
    <t>toronto international film festival (1), zurich film festival (1), berlin international film festival (1), blank (17), german speaking region (1), luxembourg city film festival (1), valenciennes film festival (1), toronto (1), dvd premiere (10), limited (1), blu-ray release (2), internet (2)</t>
  </si>
  <si>
    <t>Ted 2</t>
  </si>
  <si>
    <t>tt2637276</t>
  </si>
  <si>
    <t>Newlywed couple Ted and Tami-Lynn want to have a baby, but in order to qualify to be a parent, Ted will have to prove he's a person in a court of law.</t>
  </si>
  <si>
    <t>Thunder buddies for life.</t>
  </si>
  <si>
    <t>Comedy, Fantasy</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</si>
  <si>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</si>
  <si>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S‚àö¬∞nchez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</si>
  <si>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Seth MacFarlane</t>
  </si>
  <si>
    <t>Michael Barrett</t>
  </si>
  <si>
    <t>Wellesley Wild, Alec Sulkin, Seth MacFarlane</t>
  </si>
  <si>
    <t>Wellesley Wild, Scott Stuber, Alec Sulkin, Jason Clark, Seth MacFarlane, John Jacobs</t>
  </si>
  <si>
    <t>Walter Murphy</t>
  </si>
  <si>
    <t>/38C91I7Xft0gyY7BITm8i4yvuRb.jpg</t>
  </si>
  <si>
    <t>ted 2</t>
  </si>
  <si>
    <t>blank (66), dvd premiere (2), internet (1)</t>
  </si>
  <si>
    <t>Max</t>
  </si>
  <si>
    <t>tt3369806</t>
  </si>
  <si>
    <t>A dog that helped soldiers in Afghanistan returns to the U.S. and is adopted by his handler's family after suffering a traumatic experience.</t>
  </si>
  <si>
    <t>Best Friend. Hero. Marine.</t>
  </si>
  <si>
    <t>Adventure, Drama, Family</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</si>
  <si>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</si>
  <si>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</si>
  <si>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t>
  </si>
  <si>
    <t>Stefan Czapsky</t>
  </si>
  <si>
    <t>Boaz Yakin, Sheldon Lettich</t>
  </si>
  <si>
    <t>Ben Ormand, Karen Rosenfelt, Ken Blancato, Boaz Yakin</t>
  </si>
  <si>
    <t>Trevor Rabin</t>
  </si>
  <si>
    <t>/d3ACos3t4YwXML8keTA0wKN8e36.jpg</t>
  </si>
  <si>
    <t>max</t>
  </si>
  <si>
    <t>blank (15), internet (1), dvd and blu-ray premiere (1), italian speaking region (1), tv premiere (1), tv release (1)</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</si>
  <si>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</si>
  <si>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</si>
  <si>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</si>
  <si>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</si>
  <si>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</si>
  <si>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</si>
  <si>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</si>
  <si>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Espa‚àö¬±ol, English</t>
  </si>
  <si>
    <t>Ignacia Allamand, Antonio Quercia, Ana de Armas, Lorenza Izzo, Megan Baily, Colleen Camp, Dan Baily, Keanu Reeves, Aaron Burns</t>
  </si>
  <si>
    <t>Eli Roth</t>
  </si>
  <si>
    <t>Antonio Quercia</t>
  </si>
  <si>
    <t>Anthony Overman, Nicol‚àö¬∞s L‚àö‚â•pez, Eli Roth, Michael Ronald Ross, Guillermo Amoedo</t>
  </si>
  <si>
    <t>Sondra Locke, Nicol‚àö¬∞s L‚àö‚â•pez, Eli Roth, Cassian Elwes, Peter Traynor, Larry Spiegel, Colleen Camp, Miguel Asensio Llamas, Teddy Schwarzman, Keanu Reeves, Tim Degraye</t>
  </si>
  <si>
    <t>Manuel Riveiro</t>
  </si>
  <si>
    <t>/cUC4rUb1Cs2KMaZ6RD4uYUEEwls.jpg</t>
  </si>
  <si>
    <t>knock knock</t>
  </si>
  <si>
    <t>sundance film festival (1), blank (36), deauville film festival (1), motelx - lisbon international horror film festival (1), internet (2), limited (1), sitges film festival (1), lund international fantastic film festival (1), monsters of film, stockholm (1), night visions film festival (1), dvd premiere (7), tv premiere (1), dvd and blu-ray premiere (1)</t>
  </si>
  <si>
    <t>Strangerland</t>
  </si>
  <si>
    <t>tt2325977</t>
  </si>
  <si>
    <t>Newly arrived to a remote desert town, Catherine and Matthew are tormented by a suspicion when their two teenage children mysteriously vanish.</t>
  </si>
  <si>
    <t>To find the truth they must lose themselves.</t>
  </si>
  <si>
    <t>Drama, Thriller, Mystery</t>
  </si>
  <si>
    <t>screen australia, worldview entertainment, screen nsw, f‚àö‚â†s ‚àö√¢ireann/screen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</si>
  <si>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</si>
  <si>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</si>
  <si>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</si>
  <si>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</si>
  <si>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</si>
  <si>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</si>
  <si>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Keefus Ciancia</t>
  </si>
  <si>
    <t>/Aqx7cDELYw5ZEZkS4EhyjnXXBV0.jpg</t>
  </si>
  <si>
    <t>strangerland</t>
  </si>
  <si>
    <t>sundance film festival (1), marie claire film festival (1), belgrade film festival (1), seattle international film festival (1), sydney film festival (1), galway film fleadh (1), blank (13), toronto (1), fantasy filmfest (1), zurich film festival (1), cork international film festival (1), mediaset premium tv (1), dvd premiere (2), tv release (2)</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</si>
  <si>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</si>
  <si>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</si>
  <si>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</si>
  <si>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</si>
  <si>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</si>
  <si>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</si>
  <si>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Germany, United States of America</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</si>
  <si>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</si>
  <si>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</si>
  <si>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</si>
  <si>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</si>
  <si>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</si>
  <si>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</si>
  <si>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</si>
  <si>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stung</t>
  </si>
  <si>
    <t>tribeca film festival (1), brussels international fantastic film festival (1), cph:pix (1), fantaspoa - international fantastic film festival of porto alegre (1), limited (1), blank (6), neuch√¢tel international fantastic film festival (1), karlovy vary international film festival (1), bifan - bucheon international fantastic film festival (1), berlin fantasy filmfest (1), film4 frightfest (1), l'√©trange festival (1), /slash filmfestival (1), dvd premiere (3), dvd and blu-ray premiere (1), trieste science+fiction festival (1), night visions international film festival (1)</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</si>
  <si>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</si>
  <si>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</si>
  <si>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</si>
  <si>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</si>
  <si>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Comedy, Drama</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</si>
  <si>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</si>
  <si>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Honor‚àö¬©, David Scott Gaudin, Aaron J. Brooks, Tim Louie</t>
  </si>
  <si>
    <t>Anna Boden, Ryan Fleck</t>
  </si>
  <si>
    <t>Andrij Parekh</t>
  </si>
  <si>
    <t>Lynette Howell Taylor, Jamie Patricof, Jeremy Kipp Walker, Randall Emmett, Ben Nearn, Tom Rice, John Lesher</t>
  </si>
  <si>
    <t>Scott Bomar</t>
  </si>
  <si>
    <t>/vS3Bc6BiuZtAbSQpKhhRzPa7c2d.jpg</t>
  </si>
  <si>
    <t>mississippi grind</t>
  </si>
  <si>
    <t>sundance film festival (1), karlovy vary international film festival (1), melbourne international film festival (1), internet (1), blank (5), toronto international film festival (1), limited (1), zurich film festival (1), new hampshire film festival (1), dvd and blu-ray premiere (2), madrid (2), subtitled version (4), dvd premiere (4), tv premiere (3), barcelona (1), deauville film festival (1), valencia (1), tv release (1)</t>
  </si>
  <si>
    <t>Cop Car</t>
  </si>
  <si>
    <t>tt3813310</t>
  </si>
  <si>
    <t>Two kids find themselves in the centre of a deadly game of cat and mouse after taking a sheriff's cruiser for a joy ride.</t>
  </si>
  <si>
    <t>Their first drive could be their last.</t>
  </si>
  <si>
    <t>Crime, Thriller</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</si>
  <si>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</si>
  <si>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</si>
  <si>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</si>
  <si>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</si>
  <si>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</si>
  <si>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</si>
  <si>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</si>
  <si>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</si>
  <si>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cop car</t>
  </si>
  <si>
    <t>sundance film festival (1), san francisco international film festival (1), seattle international film festival (1), taormina international film festival (1), edinburgh international film festival (1), bamcinemafest (1), fantasia international film festival (1), blank (4), berlin fantasy filmfest (1), toronto (1), deauville film festival (1), motelx - lisbon international horror film festival (1), blu ray release (1), dvd premiere (7), edmonton international film festival (1), sitges film festival (1), dvd and blu-ray premiere (2), leiden international film festival (1), barcelona (1), subtitled version (2), madrid (1), internet (1), beijing international film festival (1), tv premiere (1), tv release (1)</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</si>
  <si>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</si>
  <si>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</si>
  <si>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</si>
  <si>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</si>
  <si>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Science Fiction, Action, Thriller</t>
  </si>
  <si>
    <t>ram bergman productions, endgame entertainment</t>
  </si>
  <si>
    <t>Keiton Crump, Brendan McCarthy, Sandra Ellis Lafferty, Clay Chamberlin, Emily Tremaine, Alvin Santana, Mariana Paola Vicente, Steffie Grote, Sam Page, Hannah Jelinovic, Ashley Laliberty, Shelby Skipper, Jimmy Gonz‚àö¬∞les,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</si>
  <si>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Tarsem Singh</t>
  </si>
  <si>
    <t>Brendan Galvin</t>
  </si>
  <si>
    <t>‚àö√Ñlex Pastor, David Pastor, Evan Trent</t>
  </si>
  <si>
    <t>Peter Schlessel, James D. Stern, Julie Goldstein, Ram Bergman, Lia Buman</t>
  </si>
  <si>
    <t>Dudu Aram, Antonio Pinto</t>
  </si>
  <si>
    <t>/jhzjPJnwiQwBzW0nIHBC01fr9GG.jpg</t>
  </si>
  <si>
    <t>self/less</t>
  </si>
  <si>
    <t>blank (45), neuch√¢tel international fantastic film festival (1), blu-ray release (1), dvd premiere (2), internet (1)</t>
  </si>
  <si>
    <t>Equals</t>
  </si>
  <si>
    <t>tt3289728</t>
  </si>
  <si>
    <t>A futuristic love story set in a world where emotions have been eradicated.</t>
  </si>
  <si>
    <t>Find your equal.</t>
  </si>
  <si>
    <t>Drama, Romance, Science Fiction</t>
  </si>
  <si>
    <t>infinite studios, freedom media, route one entertainment, scott free productions</t>
  </si>
  <si>
    <t>Indonesia, United States of America</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</si>
  <si>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</si>
  <si>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Drake Doremus</t>
  </si>
  <si>
    <t>John Guleserian</t>
  </si>
  <si>
    <t>Nathan Parker, Drake Doremus</t>
  </si>
  <si>
    <t>Ridley Scott, Michael Schaefer, Ann Ruark, Russell Levine, Michael A. Pruss, Chip Diggins, Jay Stern</t>
  </si>
  <si>
    <t>Dustin O'Halloran, Sascha Ring</t>
  </si>
  <si>
    <t>/vP1i0dddTbLL3pyddrSCPnJa8S7.jpg</t>
  </si>
  <si>
    <t>equals</t>
  </si>
  <si>
    <t>venice film festival (1), toronto international film festival (1), cleveland international film festival (1), tribeca film festival (1), blank (28), internet (4), seattle international film festival (1), jameson cinefest - miskolc international film festival (1), dvd premiere (5), dvd and blu-ray premiere (3), tv release (1), rtp 1 (1), tv premiere (1)</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</si>
  <si>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</si>
  <si>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</si>
  <si>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</si>
  <si>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</si>
  <si>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</si>
  <si>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</si>
  <si>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</si>
  <si>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</si>
  <si>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Chris Columbus</t>
  </si>
  <si>
    <t>Amir Mokri</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</si>
  <si>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</si>
  <si>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</si>
  <si>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Henry Jackman</t>
  </si>
  <si>
    <t>/d26S5EfVXLNxRXqyFy1yyl3qRq3.jpg</t>
  </si>
  <si>
    <t>pixels</t>
  </si>
  <si>
    <t>blank (80), internet (1)</t>
  </si>
  <si>
    <t>Trainwreck</t>
  </si>
  <si>
    <t>tt3152624</t>
  </si>
  <si>
    <t>Having thought that monogamy was never possible, a commitment-phobic career woman may have to face her fears when she meets a good guy.</t>
  </si>
  <si>
    <t>We all know one.</t>
  </si>
  <si>
    <t>Comedy, Romance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</si>
  <si>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</si>
  <si>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</si>
  <si>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Judd Apatow</t>
  </si>
  <si>
    <t>Jody Lee Lipes</t>
  </si>
  <si>
    <t>Amy Schumer</t>
  </si>
  <si>
    <t>Barry Mendel, David B. Householter, Judd Apatow</t>
  </si>
  <si>
    <t>Jon Brion</t>
  </si>
  <si>
    <t>/wrY629UTCUAKLJ4CxQXz6DCE7pr.jpg</t>
  </si>
  <si>
    <t>trainwreck</t>
  </si>
  <si>
    <t>work-in-progress (1), south by southwest film festival (1), jerusalem film festival (1), blank (53), locarno film festival (1), limited (1), deauville film festival (1), dvd premiere (2), internet (1)</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</si>
  <si>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</si>
  <si>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</si>
  <si>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</si>
  <si>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</si>
  <si>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Thriller, Horror</t>
  </si>
  <si>
    <t>lionsgate, lakeshore entertainment, h2f entertainment, pantelion films</t>
  </si>
  <si>
    <t>English, Deutsch</t>
  </si>
  <si>
    <t>John Patrick Amedori, Cas Anvar, Djimon Hounsou, Peter Andersson, Dougray Scott, Michael Par‚àö¬©, Ashley Gibson, Alison Lohman, Ann Reilly, Kathleen Robertson, Olivia Taylor Dudley, Alex Sparrow, Amie Dellavalle, Michael Halsey, Pope Francis, Noemi Gonzalez, Montanna Gillis, Michael Pe‚àö¬±a, Daniel Bernhardt, Michael Lehr</t>
  </si>
  <si>
    <t>Mark Neveldine</t>
  </si>
  <si>
    <t>Gerardo Madrazo</t>
  </si>
  <si>
    <t>Chris Morgan, Michael C. Martin, Christopher Borrelli</t>
  </si>
  <si>
    <t>Chris Cowles, Chris Fenton, Gary Lucchesi, Chris Morgan, Tom Rosenberg</t>
  </si>
  <si>
    <t>Joseph Bishara</t>
  </si>
  <si>
    <t>/eXN0zdTpm772ZCfnCeLAONguqxe.jpg</t>
  </si>
  <si>
    <t>the vatican tapes</t>
  </si>
  <si>
    <t>blank (35), limited (4), barcelona (1), subtitled version (1), premiere (1)</t>
  </si>
  <si>
    <t>Mission: Impossible - Rogue Nation</t>
  </si>
  <si>
    <t>tt2381249</t>
  </si>
  <si>
    <t>Ethan and team take on their most impossible mission yet‚Äö√Ñ√Æeradicating 'The Syndicate', an International and highly-skilled rogue organization committed to destroying the IMF.</t>
  </si>
  <si>
    <t>Desperate times. Desperate measures.</t>
  </si>
  <si>
    <t>Action, Adventure</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</si>
  <si>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</si>
  <si>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</si>
  <si>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Hult‚àö¬©n,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Barnab‚àö¬∞s R‚àö¬©ti, Tom Lowe, Volkan Ay, Emilio Aniba, Steven G‚àö¬ßtjen,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</si>
  <si>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t>
  </si>
  <si>
    <t>Robert Elswit</t>
  </si>
  <si>
    <t>Christopher McQuarrie, Bruce Geller, Drew Pearce</t>
  </si>
  <si>
    <t>Tom Cruise, Bryan Burk, Jake Myers, J.J. Abrams, David Ellison, Dana Goldberg, Don Granger</t>
  </si>
  <si>
    <t>Joe Kraemer</t>
  </si>
  <si>
    <t>/fRJLXQBHK2wyznK5yZbO7vmsuVK.jpg</t>
  </si>
  <si>
    <t>mission: impossible - rogue nation</t>
  </si>
  <si>
    <t>vienna (1), premiere (4), london (1), new york city, new york (1), blank (74), jakarta (1), limited (1), vod (1), blu-ray and dvd (1), 4k uhd (1), dvd premiere (1), internet (2)</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</si>
  <si>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</si>
  <si>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</si>
  <si>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</si>
  <si>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What could go wrong?</t>
  </si>
  <si>
    <t>Comedy, Adventure</t>
  </si>
  <si>
    <t>new line cinema, benderspink, david dobkin productions</t>
  </si>
  <si>
    <t>Hannah Jeter, Skyler Gisondo, Libby Blake, Leslie Mann, Michael Pe‚àö¬±a,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</si>
  <si>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</si>
  <si>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Barry Peterson</t>
  </si>
  <si>
    <t>Jonathan Goldstein, John Hughes, John Francis Daley</t>
  </si>
  <si>
    <t>Jeff Kleeman, Dave Neustadter, Steven Mnuchin, David Dobkin, Samuel J. Brown, Chris Bender, Marc S. Fischer, Richard Brener, Toby Emmerich</t>
  </si>
  <si>
    <t>Mark Mothersbaugh</t>
  </si>
  <si>
    <t>/fYDALvoCt3DBlSWN6pSAnGQ9ld7.jpg</t>
  </si>
  <si>
    <t>vacation</t>
  </si>
  <si>
    <t>blank (73), tv release (1), dvd premiere (1), internet (1)</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</si>
  <si>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</si>
  <si>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</si>
  <si>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</si>
  <si>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</si>
  <si>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</si>
  <si>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</si>
  <si>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</si>
  <si>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</si>
  <si>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</si>
  <si>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</si>
  <si>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Saint-Exup‚àö¬©ry, Irena Brignull</t>
  </si>
  <si>
    <t>Jinko Gotoh, Paul Rassam, Aton Soumache, Dimitri Rassam, Chip Flaherty, Fr‚àö¬©d‚àö¬©rique Dumas-Zajdela, Thierry Pasquet, Micheal Flaherty, Moritz Borman, Alexis Vonarb</t>
  </si>
  <si>
    <t>Richard Harvey, Hans Zimmer</t>
  </si>
  <si>
    <t>/je5Z7gbFTzrs3FPHINo9yGiHoVo.jpg</t>
  </si>
  <si>
    <t>the little prince</t>
  </si>
  <si>
    <t>cannes film festival (1), anima mundi (2), rio de janeiro (1), s√£o paulo (1), blank (49), french speaking region (1), tunis (1), zurich film festival (1), rome film fest (1), qcinema international film festival (1), tokyo (1), premiere (1), black nights film festival (1), italian speaking region (1), german speaking region (1), capri hollywood film festival (1), santa barbara international film festival (1), brussels animation film festival (1), qu√©bec (1), boulder international film festival (1), new york international children's film festival (1), future film festival (1), voilah! french festival (1), fajr internatinoal film festival (1), roald dahl festival (1), internet (1), blu-ray (1), re-release (1)</t>
  </si>
  <si>
    <t>Drishyam</t>
  </si>
  <si>
    <t>tt4430212</t>
  </si>
  <si>
    <t>hi</t>
  </si>
  <si>
    <t>‚Ä°¬ß¬∂‚Ä°‚Ä¢√â‚Ä°¬ß‚àÇ‚Ä°‚Ä¢√ß‚Ä°¬ß√ò‚Ä°¬ß√Ü‚Ä°‚Ä¢√ß</t>
  </si>
  <si>
    <t>A simple street-smart man tries to protect his family from a cop looking for her missing son who was accidently killed by his daughter.</t>
  </si>
  <si>
    <t>Visuals Can Be Deceptive</t>
  </si>
  <si>
    <t>Crime, Mystery, Thriller</t>
  </si>
  <si>
    <t>panorama studios, viacom18 studios</t>
  </si>
  <si>
    <t>India</t>
  </si>
  <si>
    <t>‚Ä°¬ßœÄ‚Ä°¬ß√∏‚Ä°¬ß¬Æ‚Ä°‚Ä¢√ß‚Ä°¬ß¬∂‚Ä°‚Ä¢√Ñ</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</si>
  <si>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</si>
  <si>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</si>
  <si>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</si>
  <si>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</si>
  <si>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</si>
  <si>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Vishal Bhardwaj</t>
  </si>
  <si>
    <t>/gIClWRv5OSe8rl5Koi0AeUcCZ9Z.jpg</t>
  </si>
  <si>
    <t>drishyam</t>
  </si>
  <si>
    <t>blank (8), internet (11), tv release (1)</t>
  </si>
  <si>
    <t>yes</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</si>
  <si>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</si>
  <si>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</si>
  <si>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</si>
  <si>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</si>
  <si>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</si>
  <si>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</si>
  <si>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Australia, United States of America</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</si>
  <si>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</si>
  <si>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</si>
  <si>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Eduard Grau</t>
  </si>
  <si>
    <t>Rebecca Yeldham, Jeanette Volturno, Oren Aviv, Robert Simonds, Couper Samuelson, Joel Edgerton, Luc Etienne, Adam Fogelson, Jason Blum</t>
  </si>
  <si>
    <t>Danny Bensi, Saunder Jurriaans</t>
  </si>
  <si>
    <t>/kH3qLP8pn68Xq5XwvmPkCyaAU7W.jpg</t>
  </si>
  <si>
    <t>the gift</t>
  </si>
  <si>
    <t>los angeles, california (1), premiere (2), blank (41), sitges international fantastic film festival (1), leiden international film festival (1), internet (2), madrid (1), pontevedra (1), dvd premiere (3), blu-ray premiere (1), barcelona (1)</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</si>
  <si>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</si>
  <si>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</si>
  <si>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</si>
  <si>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</si>
  <si>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Action, Adventure, Science Fiction</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</si>
  <si>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</si>
  <si>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</si>
  <si>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P‚àö¬©re, Tim Bell</t>
  </si>
  <si>
    <t>Josh Trank</t>
  </si>
  <si>
    <t>Matthew Jensen</t>
  </si>
  <si>
    <t>Stan Lee, Jeremy Slater, Jack Kirby, Josh Trank, Simon Kinberg</t>
  </si>
  <si>
    <t>Matthew Vaughn, Stan Lee, Robert Kulzer, Hutch Parker, Gregory Goodman, Simon Kinberg</t>
  </si>
  <si>
    <t>Marco Beltrami, Philip Glass</t>
  </si>
  <si>
    <t>/cDroz5qSlP8xZ6tOpeYoPkBvKyL.jpg</t>
  </si>
  <si>
    <t>fantastic four</t>
  </si>
  <si>
    <t>new york city (1), premiere (2), blank (76), tokyo (1)</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</si>
  <si>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</si>
  <si>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</si>
  <si>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it‚Äö√Ñ√¥s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</si>
  <si>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</si>
  <si>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</si>
  <si>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</si>
  <si>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United States of America, Australia</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</si>
  <si>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</si>
  <si>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Rob Letterman</t>
  </si>
  <si>
    <t>Javier Aguirresarobe</t>
  </si>
  <si>
    <t>Darren Lemke, Scott Alexander, R.L. Stine, Larry Karaszewski</t>
  </si>
  <si>
    <t>Ben Waisbren, Greg Basser, Bruce Berman, Deborah Forte, Tania Landau, Bill Bannerman, Neal H. Moritz</t>
  </si>
  <si>
    <t>Danny Elfman</t>
  </si>
  <si>
    <t>/aeZT9pqEgrmXOGdESFkAuVjX6kw.jpg</t>
  </si>
  <si>
    <t>goosebumps</t>
  </si>
  <si>
    <t>san diego film festival (1), blank (77), bfi london film festival (1), italian speaking region (1), dvd &amp; blu ray release (1), dvd premiere (1), beijing international film festival (1), rtp 1 (1), tv premiere (1), tv release (1), internet (1)</t>
  </si>
  <si>
    <t>Veteran</t>
  </si>
  <si>
    <t>tt4768764</t>
  </si>
  <si>
    <t>ko</t>
  </si>
  <si>
    <t>√é‚â§‚Ä†√å√ñ√•√é√ª√´</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</si>
  <si>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</si>
  <si>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</si>
  <si>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</si>
  <si>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</si>
  <si>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South Korea</t>
  </si>
  <si>
    <t>English, √å√Ø√∫√ç¬µ‚â†√è√±¬•/√è¬∞‚àû√è√ë‚Ä†√é√ü√™, P‚Äî√â‚Äî√Ö‚Äî√Ö‚Äì‚à´‚Äì‚àè‚ÄìœÄ</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</si>
  <si>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</si>
  <si>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Ryoo Seung-wan</t>
  </si>
  <si>
    <t>Choi Young-hwan</t>
  </si>
  <si>
    <t>Cho Sung-min, Kang Hye-jung, Park Jung</t>
  </si>
  <si>
    <t>Bang Jun-seok</t>
  </si>
  <si>
    <t>/59KtPlcr2GQIudEA6B5KNY5NnBf.jpg</t>
  </si>
  <si>
    <t>veteran</t>
  </si>
  <si>
    <t>blank (6), limited (1), night visions film festival (1), filmasia asian film festival (1), belgrade film festival (1), fantasy filmfest nights (1), imagine film festival (1), dvd and blu-ray premiere (2), dvd premiere (1), han cine - korean film festival (1), internet (3), barcelona (1), subtitled version (1), technical release (1), shin-okubo film festival (1)</t>
  </si>
  <si>
    <t>The 33</t>
  </si>
  <si>
    <t>tt2006295</t>
  </si>
  <si>
    <t>Based on the true story of the collapse of a mine in San Jose, Chile‚Äö√Ñ√Æthat left 33 miners isolated underground for 69 days.</t>
  </si>
  <si>
    <t>Hope Runs Deep</t>
  </si>
  <si>
    <t>phoenix pictures</t>
  </si>
  <si>
    <t>Gabriel Byrne, Cote de Pablo, Mario Casas, Marco Antonio Trevi‚àö¬±o, Leonardo Farkas, Luis Alberto Aracena, Trinidad Gonz‚àö¬∞lez, Tenoch Huerta Mej‚àö‚â†a, Juan Pablo Raba, Adriana Barraza, Elizabeth De Razzo, Erik Rodr‚àö‚â†guez, Naomi Scott, Jacob Vargas, Orlando Alfaro, Ariel Sierra, Felipe ‚àö√Ölvarez, Anderson Cooper, Paulina Garc‚àö‚â†a, Diego Noguera, Juan Pablo Auger, Oscar Nu‚àö¬±ez, Fernanda Ram‚àö‚â†rez, Don Francisco, James Brolin, Jorge Diaz, Bob Gunton, Alejandro Goic, Antonio Banderas, Kate del Castillo, Juliette Binoche, Rodrigo Santoro, Monserrat ‚àö√Ölvarez, Cristi‚àö¬∞n Campos, Francisca Concha, Lou Diamond Phillips</t>
  </si>
  <si>
    <t>Patricia Riggen</t>
  </si>
  <si>
    <t>Checco Varese</t>
  </si>
  <si>
    <t>Craig Borten, Mikko Alanne, Jose Rivera, Hector Tobar, Michael Thomas</t>
  </si>
  <si>
    <t>Robert Katz, Leopoldo Enriquez, Alan Zhang, Andr‚àö¬©s Calder‚àö‚â•n, Mike Medavoy, Jos‚àö¬© Luis Escolar, Carlos Eugenio Lavin, Edward McGurn</t>
  </si>
  <si>
    <t>James Horner</t>
  </si>
  <si>
    <t>/hpXkIuAlIlcNYACRE2MssxnHvZQ.jpg</t>
  </si>
  <si>
    <t>the 33</t>
  </si>
  <si>
    <t>santiago de chile (1), premiere (1), blank (28), rio de janeiro international film festival (1), special screening (2), imperial valley film festival (1), chicago international film festival (1), miami international film festival gems (1), afi fest, los angeles (1), camerimage film festival (1), dvd premiere (5), amsterdam spanish film festival (1), traverse city film festival (1), tv premiere (1)</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</si>
  <si>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</si>
  <si>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</si>
  <si>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she‚Äö√Ñ√¥s sleeping with her mother‚Äö√Ñ√¥s boyfriend.</t>
  </si>
  <si>
    <t>Sex, drugs, and recordings of it all.</t>
  </si>
  <si>
    <t>Drama, Romance, Comedy</t>
  </si>
  <si>
    <t>archer gray, cold iron pictures, caviar</t>
  </si>
  <si>
    <t>T‚àö¬∫rk‚àö√üe, English</t>
  </si>
  <si>
    <t>Joshua Grannell, Abby Wait, Bel Powley, Margarita Levieva, Alexander Skarsg‚àö‚Ä¢rd,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</si>
  <si>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</si>
  <si>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Brandon Trost</t>
  </si>
  <si>
    <t>Marielle Heller, Phoebe Gloeckner</t>
  </si>
  <si>
    <t>Anne Carey, Amy Nauiokas, Bert Hamelinck, Amanda Marshall, Madeline Samit, Michael Sagol, Miranda Bailey, Jorma Taccone</t>
  </si>
  <si>
    <t>Nate Heller</t>
  </si>
  <si>
    <t>/5YlUrdYKuscD7pwf3yy9duVLbui.jpg</t>
  </si>
  <si>
    <t>the diary of a teenage girl</t>
  </si>
  <si>
    <t>sundance film festival (1), berlin international film festival (1), new directors/new films (1), sydney film festival (1), los angeles film festival (1), edinburgh international film festival (1), nantucket film festival (1), taipei film festival (1), jerusalem film festival (1), odessa international film festival (1), new zealand international film festival (1), blank (11), limited (2), melbourne international film festival (1), seoul international youth film festival (1), helsinki international film festival (1), zurich film festival (1), american film festival (1), vienna international film festival (1), thessaloniki international film festival (1), stockholm international film festival (1), mexico city (1), dvd premiere (5), stockfish film festival (1), !f istanbul independent film festival (1), belgrade film festival (1), internet (2), dvd release (1), buenos aires international festival of independent cinema (1), copenhagen (1)</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</si>
  <si>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</si>
  <si>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</si>
  <si>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</si>
  <si>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</si>
  <si>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Action, Adventure, Horror, Science Fiction, Thriller</t>
  </si>
  <si>
    <t>vaca films, la ferme! productions, laokoon filmgroup, ombra films, telef‚àö‚â•nica studios</t>
  </si>
  <si>
    <t>France, Hungary, Spain</t>
  </si>
  <si>
    <t>Nikolett Tak‚àö¬∞cs, Daniel Bargue‚àö¬±o, Laura Juh‚àö¬∞sz, K‚àö¬∞ra Jur‚àö¬∞ny, Jeremy Wheeler, Orsolya Bene, Valeria Vereau, Julio Perill‚àö¬∞n, Eduardo Fedriani, Clara Lago, Matthew Fox, Alex Hafner, ‚àö√Öd‚àö¬∞m Zambrzyscki, Em‚àö‚â†lia Gresicki, Matt Devere, Lili Bord‚àö¬∞n, Quinn McColgan, Istv‚àö¬∞n B‚àö¬∞n, D‚àö¬©nes Kiss, Katharine Bubbear, Jeffrey Donovan</t>
  </si>
  <si>
    <t>Miguel ‚àö√Öngel Vivas</t>
  </si>
  <si>
    <t>Josu Inchaustegui</t>
  </si>
  <si>
    <t>Juan de Dios Gardu‚àö¬±o, Miguel ‚àö√Öngel Vivas, Alberto Marini</t>
  </si>
  <si>
    <t>Axel Kuschevatzky, Jaume Collet-Serra</t>
  </si>
  <si>
    <t>Sergio Moure de Oteyza</t>
  </si>
  <si>
    <t>/zwIDreu9pYCqKpv4jomqVM9yX1e.jpg</t>
  </si>
  <si>
    <t>extinction</t>
  </si>
  <si>
    <t>fantasia international film festival (1), blank (2), fantasy filmfest (1), subtitled version (1), limited (1), motelx - lisbon international horror film festival (1), dvd premiere (4), tv premiere (1), tv release (1)</t>
  </si>
  <si>
    <t>Bangistan</t>
  </si>
  <si>
    <t>tt3422462</t>
  </si>
  <si>
    <t>‚Ä°¬ß¬®‚Ä°‚Ä¢√†‚Ä°¬ß√á‚Ä°¬ß√≥‚Ä°¬ß√∏‚Ä°¬ß‚àè‚Ä°‚Ä¢√ß‚Äö√Ñ√ß‚Ä°¬ß¬ß‚Ä°¬ß√¶‚Ä°¬ß¬Æ</t>
  </si>
  <si>
    <t>Two blundering terrorists with lofty ideologies, but ordinary talent, on a mission to change the world.</t>
  </si>
  <si>
    <t>Two Aspiring Terrorists. One Identical Plan. No Damn Clue!</t>
  </si>
  <si>
    <t>excel entertainment, junglee pictures</t>
  </si>
  <si>
    <t>Chandan Roy Sanyal, Marta ‚âà¬™muda-Trzebiatowska, Katarzyna Mo‚âà√µ, Janusz Chabior, Andrzej Blumenfeld, Michalina Olsza‚âà√ëska, Tom Alter, Cezary Pazura, Rajesh Sharma, Bilguun Ariunbaatar, Erika Guntherov‚àö¬∞,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</si>
  <si>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</si>
  <si>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</si>
  <si>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</si>
  <si>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</si>
  <si>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Ram Sampath</t>
  </si>
  <si>
    <t>/zvZ4NHTmkpXuGD33HnvpFNvqNBs.jpg</t>
  </si>
  <si>
    <t>bangistan</t>
  </si>
  <si>
    <t>limited (1), blank (3), internet (1)</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</si>
  <si>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</si>
  <si>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</si>
  <si>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rebels‚Äö√Ñ√Æarmed only with their lyrics, swagger, bravado and raw talent‚Äö√Ñ√Æstood up to the authorities that meant to keep them down and formed the world‚Äö√Ñ√¥s most dangerous group, N.W.A.  And as they spoke the truth that no one had before and exposed life in the hood, their voice ignited a social revolution that is still reverberating today.</t>
  </si>
  <si>
    <t>The world's most dangerous times created the world's most dangerous group.</t>
  </si>
  <si>
    <t>Drama, Music, History</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</si>
  <si>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</si>
  <si>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O‚Äö√Ñ√¥Riley,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Aeri‚àö¬©l Miranda, Matt Corboy, Benicio Hall, Jason Johnson, Bruce Beatty, Greg Collins, Khalid Ghajji, Keith Powers, Jason Mitchell</t>
  </si>
  <si>
    <t>F. Gary Gray</t>
  </si>
  <si>
    <t>Matthew Libatique</t>
  </si>
  <si>
    <t>Alan Wenkus, Jonathan Herman, S. Leigh Savidge, Andrea Berloff</t>
  </si>
  <si>
    <t>Bill Straus, Adam Merims, F. Gary Gray, Dr. Dre, Scott Bernstein, David Engel, Jon Jashni, Ronald G. Muhammad, Thomas Tull, Ice Cube, Will Packer, Tomica Woods-Wright, Matt Alvarez</t>
  </si>
  <si>
    <t>Joseph Trapanese</t>
  </si>
  <si>
    <t>/1CiLJx8Xtv3TbbFj6k7BboSmKgC.jpg</t>
  </si>
  <si>
    <t>straight outta compton</t>
  </si>
  <si>
    <t>los angeles, california (1), premiere (1), blank (38), limited (1), festival do rio br (1), blu ray premiere (1), dvd premiere (3), beijing international film festival (1), cine rock festival (1), internet (2)</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</si>
  <si>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</si>
  <si>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</si>
  <si>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</si>
  <si>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</si>
  <si>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Comedy, Action, Adventure</t>
  </si>
  <si>
    <t>wigram productions, davis entertainment, ratpac entertainment, warner bros. pictures</t>
  </si>
  <si>
    <t>Italiano, English, P‚Äî√â‚Äî√Ö‚Äî√Ö‚Äì‚à´‚Äì‚àè‚ÄìœÄ,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</si>
  <si>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</si>
  <si>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Guy Ritchie</t>
  </si>
  <si>
    <t>John Mathieson</t>
  </si>
  <si>
    <t>Jeff Kleeman, Lionel Wigram, Guy Ritchie, David C. Wilson</t>
  </si>
  <si>
    <t>David Dobkin, John Davis, Steven Mnuchin, Steve Clark-Hall, Jeff Kleeman, Lionel Wigram, Guy Ritchie</t>
  </si>
  <si>
    <t>Daniel Pemberton</t>
  </si>
  <si>
    <t>/y5yZaForGSJbPD66Cvq9AT5WMAD.jpg</t>
  </si>
  <si>
    <t>the man from u.n.c.l.e.</t>
  </si>
  <si>
    <t>barcelona (1), premiere (1), blank (75), deauville american cinema festival (1), beijing international film festival (1)</t>
  </si>
  <si>
    <t>The Clan</t>
  </si>
  <si>
    <t>tt4411504</t>
  </si>
  <si>
    <t>es</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</si>
  <si>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</si>
  <si>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</si>
  <si>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</si>
  <si>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</si>
  <si>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telef‚àö‚â•nica studios, vfx boat, film factory, fox international productions spain</t>
  </si>
  <si>
    <t>Argentina, Spain</t>
  </si>
  <si>
    <t>Tom‚àö¬∞s de las Heras, Nico Piccardo, Franco Masini, Fernando Mir‚àö‚â•, Jorge Sabat‚àö¬©, Fabio Aste, Francisco Donovan, An‚àö‚â†bal Barengo, Gast‚àö‚â•n Cocchiarale, Pablo Caramelo, Peter Lanzani, Miguel ‚àö√Öngel Lembo, Santiago Privitera, Silvina G‚àö‚â•mez Schweizer, Stefan‚àö‚â†a Koessl, Liliana Popovich, Soledad G‚àö‚â•mez Schweizer, Juan Cruz M‚àö¬∞rquez de la Serna, Joaqu‚àö‚â†n Berthold, Guillermo Francella, Antonia Bengoechea, Luis Armesto, Aldo Onofri, Giselle Motta</t>
  </si>
  <si>
    <t>Pablo Trapero</t>
  </si>
  <si>
    <t>Juli‚àö¬∞n Apezteguia</t>
  </si>
  <si>
    <t>Pablo Trapero, Julian Loyola, Esteban Student</t>
  </si>
  <si>
    <t>Leticia Cristi, Pola Zito, Pablo Trapero, Esther Garc‚àö‚â†a, Hugo Sigman, Pedro Almod‚àö‚â•var, Matias Mosteirin, Agust‚àö‚â†n Almod‚àö‚â•var</t>
  </si>
  <si>
    <t>Sebasti‚àö¬∞n Escofet</t>
  </si>
  <si>
    <t>/m6iPqGhtIAgGRQcfqxSYbRrlK3F.jpg</t>
  </si>
  <si>
    <t>the clan</t>
  </si>
  <si>
    <t>blank (22), venice film festival (1), toronto international film festival (1), san sebasti√°n film festival (1), bogota international film festival (1), hamburg film festival (1), miami international film festival gems (1), dubai international film festival (1), palm springs international film festival (1), kustendorf international film and music festival (1), international film festival rotterdam (1), french speaking region (1), belgrade film festival (1), german speaking region (1), sofia international film festival (1), limited (1), hong kong international film festival (1), skopje film festival (1), jeonju international film festival (1), new zealand international film festival (1)</t>
  </si>
  <si>
    <t>Our Times</t>
  </si>
  <si>
    <t>tt4967094</t>
  </si>
  <si>
    <t>zh</t>
  </si>
  <si>
    <t>√ä√†√´√Å√∂√ë√Ç‚àû√´√Ç‚Ä¢‚â•√ä√¥√á‚Ä∞¬™¬£</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</si>
  <si>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</si>
  <si>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</si>
  <si>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Romance, Comedy</t>
  </si>
  <si>
    <t>hualien media international, huace pictures, spring thunder entertainment, focus films limited</t>
  </si>
  <si>
    <t>China, Hong Kong, Taiwan</t>
  </si>
  <si>
    <t>√ä√¥√Ü√à√Ñ√∂√ã√ò√π</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</si>
  <si>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</si>
  <si>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</si>
  <si>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</si>
  <si>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</si>
  <si>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</si>
  <si>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</si>
  <si>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</si>
  <si>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our times</t>
  </si>
  <si>
    <t>shanghai international film festival (1), unknown (1), busan international film festival (1), blank (12), toronto reel asian international film festival (1), osaka asian film festival (1), udine far east film festival (1), taipei film festival (1), niigata international film festival (1)</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</si>
  <si>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</si>
  <si>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</si>
  <si>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</si>
  <si>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</si>
  <si>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</si>
  <si>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</si>
  <si>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‚Ä°¬Æ‚Ñ¢‚Ä°¬©‚àû‚Ä°¬Æ√∫‚Ä°¬Æ√¶‚Ä°¬Æ¬®‚Ä°¬©√Ñ</t>
  </si>
  <si>
    <t>Zafar Dhilon, Girish Sahdev, Rahul Dev, Ronica Singh, Deep Sidhu, Anil Grover</t>
  </si>
  <si>
    <t>Guddu Dhanoa</t>
  </si>
  <si>
    <t>Balaji Sakthivel, Surmeet Maavi, Santosh Dhanoa</t>
  </si>
  <si>
    <t>Vijay Dhanoya, Vijay Singh Dhanoa, Parag Vijra</t>
  </si>
  <si>
    <t>Harry Anand</t>
  </si>
  <si>
    <t>/185s9suCqqkIEc8LonD0WoYnEa8.jpg</t>
  </si>
  <si>
    <t>ramta jogi</t>
  </si>
  <si>
    <t>blank (1)</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</si>
  <si>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</si>
  <si>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</si>
  <si>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</si>
  <si>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</si>
  <si>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Action, Comedy</t>
  </si>
  <si>
    <t>merced media partners, lionsgate, the bridge finance company, circle of confusion, filmnation entertainment, likely story, palmstar media</t>
  </si>
  <si>
    <t>Switzerland, United States of America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</si>
  <si>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P‚àö¬©re,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</si>
  <si>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</si>
  <si>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Michael Bonvillain</t>
  </si>
  <si>
    <t>Max Landis</t>
  </si>
  <si>
    <t>Stuart Brown, Eyal Rimmon, Jonathan Gardner, Kevin Scott Frakes, Buddy Patrick, David Alpert, Z‚àö¬∫lfikar G‚àö¬∫zelg‚àö¬∫n, Ray Angelic, Anthony Bregman, Britton Rizzio, Steffen Aumueller, Tom Rock, Robert Ogden Barnum, Raj Brinder Singh, Gideon Tadmor</t>
  </si>
  <si>
    <t>Paul Hartnoll, Marcelo Zarvos</t>
  </si>
  <si>
    <t>/g9JX6RZQoTInDJhbrKItnOr47qr.jpg</t>
  </si>
  <si>
    <t>american ultra</t>
  </si>
  <si>
    <t>los angeles, california (1), premiere (1), blank (39), blu-ray release (2), dvd premiere (2)</t>
  </si>
  <si>
    <t>Sinister 2</t>
  </si>
  <si>
    <t>tt2752772</t>
  </si>
  <si>
    <t>A young mother and her twin sons move into a rural house that's marked for death.</t>
  </si>
  <si>
    <t>Some Things You Can't Unsee.</t>
  </si>
  <si>
    <t>Horror</t>
  </si>
  <si>
    <t>tank caterpillar, blumhouse productions, automatik entertainment, entertainment one, im global, steady aim, gramercy pictures</t>
  </si>
  <si>
    <t>Canada, United States of America</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</si>
  <si>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</si>
  <si>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Ciar‚àö¬∞n Foy</t>
  </si>
  <si>
    <t>Amy Vincent</t>
  </si>
  <si>
    <t>Scott Derrickson, C. Robert Cargill</t>
  </si>
  <si>
    <t>Scott Derrickson, Jason Blum, Jeanette Volturno, Charles Layton, Brian Kavanaugh-Jones</t>
  </si>
  <si>
    <t>Tom Hajdu, Andy Milburn, tomandandy</t>
  </si>
  <si>
    <t>/hF6ORyihtAWHqKkIQI8BSpLQyON.jpg</t>
  </si>
  <si>
    <t>sinister 2</t>
  </si>
  <si>
    <t>blank (39), dvd premiere (4), internet (2)</t>
  </si>
  <si>
    <t>Hitman: Agent 47</t>
  </si>
  <si>
    <t>tt2679042</t>
  </si>
  <si>
    <t>An assassin teams up with a woman to help her find her father and uncover the mysteries of her ancestry.</t>
  </si>
  <si>
    <t>Your Number is Up.</t>
  </si>
  <si>
    <t>Action, Crime, Thriller</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</si>
  <si>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</si>
  <si>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T‚àö‚àÇdtling, Dan Bakkedahl, Tomas Jester, Gillian Tan, Waye Leon Goh, Michael Knese, Andrew DiBartolomeo, Jesse Hergt, J‚àö¬∫rgen Prochnow, Felix Koch, Hannah Ware, Asuka Tovazzi, Dennis Heath, Rupert Friend, Johannes Suhm, Chris Theisinger, Alvin Chan, Manuel Depta, Eskindir Tesfay, Nils Brunkhorst, David Br‚àö¬∫ckner, Markus Ranglack, Michael Corcoran, Alrik Kreemke, Zachary Quinto, J‚àö‚àÇrg Ellmer, Ciar‚àö¬∞n Hinds, Daniel Michael Nelson, Helena Pieske, Georg Ebinal, Sebastian H‚àö¬∫lk, Rolf Kanies, Florian Hotz, Charlene Beck, Thomas Kretschmann, Matthias G‚àö¬∫nther, Jessica Lois, Peter Paes, Melanie Benna, Michael Bornh‚àö¬∫tter</t>
  </si>
  <si>
    <t>Aleksander Bach</t>
  </si>
  <si>
    <t>‚àö√¨ttar Gu‚àö‚àûnason</t>
  </si>
  <si>
    <t>Skip Woods, Michael Finch</t>
  </si>
  <si>
    <t>Michael Hendrickson, Daniel Alter, Charles Gordon, Skip Woods, Adrian Askarieh, Alex Young, Marco Mehlitz</t>
  </si>
  <si>
    <t>Marco Beltrami</t>
  </si>
  <si>
    <t>/cx9AOBOv9Qf5ufZYQMbfTV7w7VY.jpg</t>
  </si>
  <si>
    <t>hitman: agent 47</t>
  </si>
  <si>
    <t>new york city (1), premiere (1), blank (79), dvd and blu-ray premiere (1), dvd premiere (1)</t>
  </si>
  <si>
    <t>Blinky Bill the Movie</t>
  </si>
  <si>
    <t>tt3700456</t>
  </si>
  <si>
    <t>Blinky Bill is a little koala with a big imagination. An adventurer at heart, he dreams of leaving the little town of Green Patch and following in his missing father‚Äö√Ñ√¥s footsteps. When Blinky discovers a mysterious marker that hints at his Dad‚Äö√Ñ√¥s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</si>
  <si>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</si>
  <si>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</si>
  <si>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</si>
  <si>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Australia</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</si>
  <si>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</si>
  <si>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</si>
  <si>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</si>
  <si>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</si>
  <si>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Dale Cornelius</t>
  </si>
  <si>
    <t>/uVxiQLQKHSJSRvqcnsFHzVjHjvw.jpg</t>
  </si>
  <si>
    <t>blinky bill the movie</t>
  </si>
  <si>
    <t>blank (28), limited (1), video (1), tallinn black nights film festival (1)</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</si>
  <si>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</si>
  <si>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</si>
  <si>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</si>
  <si>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</si>
  <si>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Thriller, Action</t>
  </si>
  <si>
    <t>living films, bold films, brothers dowdle productions</t>
  </si>
  <si>
    <t>Thailand, United States of America</t>
  </si>
  <si>
    <t>Fran‚àö√üais, English, ‚Ä°‚àè‚Ä†‚Ä°‚àè‚â§‚Ä°‚àè¬©‚Ä°‚àè‚â§‚Ä°œÄ√ë‚Ä°‚àè√≥‚Ä°‚àè¬¢</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</si>
  <si>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</si>
  <si>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John Erick Dowdle</t>
  </si>
  <si>
    <t>L‚àö¬©o Hinstin</t>
  </si>
  <si>
    <t>John Erick Dowdle, Drew Dowdle</t>
  </si>
  <si>
    <t>Andrew Pfeffer, Drew Dowdle, David Lancaster, Michel Litvak, Steve Alexander, Gary Michael Walters</t>
  </si>
  <si>
    <t>Marco Beltrami, Buck Sanders</t>
  </si>
  <si>
    <t>/jIXZEvL4dmgkjyhD5JUDeOaASKB.jpg</t>
  </si>
  <si>
    <t>no escape</t>
  </si>
  <si>
    <t>blank (43), comunidad valenciana (1), dvd premiere (3), dvd and blu-ray premiere (1), internet (3)</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</si>
  <si>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</si>
  <si>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</si>
  <si>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</si>
  <si>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</si>
  <si>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</si>
  <si>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</si>
  <si>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United Kingdom, France</t>
  </si>
  <si>
    <t>English, Espa‚àö¬±ol,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</si>
  <si>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N∆í√¨v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</si>
  <si>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</si>
  <si>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Brett Pawlak</t>
  </si>
  <si>
    <t>Max Joseph, Meaghan Oppenheimer, Richard Silverman</t>
  </si>
  <si>
    <t>Nathan Kelly, Richard Silverman, David Diliberto, Eric Fellner, Olivier Courson, Liza Chasin, Tim Bevan, Ron Halpern</t>
  </si>
  <si>
    <t>Matthew Simpson</t>
  </si>
  <si>
    <t>/7RzpN4aLjM5FUc7Q3WsvNn2MuaR.jpg</t>
  </si>
  <si>
    <t>we are your friends</t>
  </si>
  <si>
    <t>london (1), premiere (2), hollywood, california (1), blank (37), dvd premiere (1)</t>
  </si>
  <si>
    <t>The Wave</t>
  </si>
  <si>
    <t>tt3616916</t>
  </si>
  <si>
    <t>B‚àö‚àèlgen</t>
  </si>
  <si>
    <t>Although theorised, no one is really ready when a mountain pass above the scenic and narrow Geiranger fjord in Norway collapses and creates a tsunami over 300 feet high. A geologist is one of those caught in the middle of it.</t>
  </si>
  <si>
    <t>It was only a matter of time.</t>
  </si>
  <si>
    <t>Action, Thriller, Drama</t>
  </si>
  <si>
    <t>fantefilm, film i v‚àö¬ßst, tre v‚àö¬ßnner</t>
  </si>
  <si>
    <t>Norway</t>
  </si>
  <si>
    <t>Norsk</t>
  </si>
  <si>
    <t>Arthur Berning, Herman Bernhoft, H‚àö‚Ä¢kon Moe, Silje Breivik, Tyra Holmen, Kristoffer Joner, Thomas Bo Larsen, Ane Dahl Torp, Fridtjov S‚àö‚Ä¢heim, Lado Hadzic, Mette Agnete Horn, Eili Harboe, Tom Larsen, Jonas Hoff Oftebro, Laila Goody, Edith Haagenrud-Sande</t>
  </si>
  <si>
    <t>Roar Uthaug</t>
  </si>
  <si>
    <t>John Christian Rosenlund</t>
  </si>
  <si>
    <t>John K‚àö‚Ä¢re Raake, Harald Rosenl‚àö‚àèw-Eeg, Roar Uthaug, Martin Sundland</t>
  </si>
  <si>
    <t>Jan Eirik Lang‚àö‚àèen, Martin Sundland, Are Heidenstr‚àö‚àèm</t>
  </si>
  <si>
    <t>Magnus Beite</t>
  </si>
  <si>
    <t>/nUra0UF9MLlTRZH9LCA8xYvhd6D.jpg</t>
  </si>
  <si>
    <t>the wave</t>
  </si>
  <si>
    <t>haugesund film festival (1), blank (31), toronto international film festival (1), hamptons international film festival (1), bfi london film festival (1), virginia film festival (1), stockholm international film festival (1), torino film festival (1), les arcs european film festival (1), jakarta (1), premiere (1), palm springs international film festival (1), dvd premiere (5), limited (2), sofia international film festival (1), imagine film festival (1), transilvania international film festival (1), neuch√¢tel international fantastic film festival (1), motelx - lisbon international horror film festival (1), internet (1), european union film festival (1)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</si>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</sst>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DC4AE3-29EA-B74A-B764-67E57C8854E7}" name="Table1" displayName="Table1" ref="A1:AQ48" totalsRowCount="1">
  <autoFilter ref="A1:AQ47" xr:uid="{C3DC4AE3-29EA-B74A-B764-67E57C8854E7}">
    <filterColumn colId="41">
      <filters>
        <filter val="no"/>
      </filters>
    </filterColumn>
  </autoFilter>
  <tableColumns count="43">
    <tableColumn id="1" xr3:uid="{93F18548-DF6E-3F48-93E5-11069C47C3B9}" name="id" totalsRowLabel="Total"/>
    <tableColumn id="2" xr3:uid="{AD3C355F-A32C-FB47-AEAE-CA17525B37A9}" name="title"/>
    <tableColumn id="3" xr3:uid="{749B094E-E202-044F-BCAF-EE9A82050A1A}" name="vote_average"/>
    <tableColumn id="4" xr3:uid="{CBB86099-F67E-644F-9B77-9AF54724D96F}" name="vote_count"/>
    <tableColumn id="5" xr3:uid="{1630CFC8-2E3C-D342-B032-1560FACA3396}" name="status"/>
    <tableColumn id="6" xr3:uid="{F5B78573-76DF-7E42-BDB8-A58A2411A35F}" name="release_date" dataDxfId="0"/>
    <tableColumn id="7" xr3:uid="{BC5C5877-5CF6-F844-99E7-A7751769E839}" name="revenue"/>
    <tableColumn id="8" xr3:uid="{363408CC-0CD2-5445-A99C-473C76052071}" name="runtime"/>
    <tableColumn id="9" xr3:uid="{26C2EA9E-0228-154F-8268-48DEC2A68432}" name="budget"/>
    <tableColumn id="10" xr3:uid="{FCC1F962-4C3A-5346-B740-DD278A72C824}" name="imdb_id"/>
    <tableColumn id="11" xr3:uid="{45E3E07A-B9D4-664C-AB28-CA3F5C76E880}" name="original_language"/>
    <tableColumn id="12" xr3:uid="{98BE5CA9-98CB-5F4E-848C-A11C2AD6DB4A}" name="original_title"/>
    <tableColumn id="13" xr3:uid="{8BDA06B7-010C-154E-8B75-F353A6A5B2CF}" name="overview"/>
    <tableColumn id="14" xr3:uid="{B09A6E60-F5D5-2141-81CB-AAAE92F0C6E8}" name="popularity"/>
    <tableColumn id="15" xr3:uid="{06EF51F3-AA74-AC40-BBD8-4371BBFEDFB1}" name="tagline"/>
    <tableColumn id="16" xr3:uid="{165581AE-15A4-8946-B8B0-82DE408801D1}" name="genres"/>
    <tableColumn id="17" xr3:uid="{B25C0A9D-545F-AB4D-86CC-C2FE75630268}" name="production_companies"/>
    <tableColumn id="18" xr3:uid="{ADAA1BC4-80B7-7646-9048-A12CD0B38D21}" name="production_countries"/>
    <tableColumn id="19" xr3:uid="{39DB7D10-7930-F34B-8CD7-7DDB7AAA8A52}" name="spoken_languages"/>
    <tableColumn id="20" xr3:uid="{1DA98F95-FBDC-6D4F-8A09-9781E3A04D33}" name="cast"/>
    <tableColumn id="21" xr3:uid="{E4987091-80A2-774A-9E7F-07534E7D58F9}" name="director"/>
    <tableColumn id="22" xr3:uid="{80B213D8-3849-0246-A549-0BC936AA52F2}" name="director_of_photography"/>
    <tableColumn id="23" xr3:uid="{EA4D3BF9-4C15-5D49-901B-665475F16AB6}" name="writers"/>
    <tableColumn id="24" xr3:uid="{7BDACDEF-B5E9-654E-8795-91529C0AAEBE}" name="producers"/>
    <tableColumn id="25" xr3:uid="{9A86F6DD-F8F5-D742-B41D-64A08D1CEB43}" name="music_composer"/>
    <tableColumn id="26" xr3:uid="{B54CFB4A-62EE-0E4C-B8FC-117B8A8A1BB0}" name="imdb_rating"/>
    <tableColumn id="27" xr3:uid="{3B932711-47C2-714D-A6C1-624CC23AA913}" name="imdb_votes"/>
    <tableColumn id="28" xr3:uid="{2AF181F7-2061-4147-96E6-466822896AD9}" name="poster_path"/>
    <tableColumn id="29" xr3:uid="{31976F0B-BB65-9B4E-AD3E-882FCE9AEED8}" name="release_month"/>
    <tableColumn id="30" xr3:uid="{5C3AB332-2968-794E-837A-8E6E0C2B0E3B}" name="release_year"/>
    <tableColumn id="31" xr3:uid="{98C984F8-C6C1-D842-BB69-FF8BE1FE2B46}" name="iso_week"/>
    <tableColumn id="32" xr3:uid="{DDF36C77-D647-C648-9D31-6CC616B10BEE}" name="title_clean"/>
    <tableColumn id="33" xr3:uid="{3A4A22D6-DB13-A345-BD45-959C43948993}" name="distance"/>
    <tableColumn id="34" xr3:uid="{C46730F9-58DF-2247-8B31-08BE874201D6}" name="strength"/>
    <tableColumn id="35" xr3:uid="{259120F8-1584-D448-AD5F-4AEC2A0CEDC8}" name="score" totalsRowFunction="sum"/>
    <tableColumn id="36" xr3:uid="{D70BCD32-F92D-FB4F-BF64-B37A50C592EC}" name="marvel_movie"/>
    <tableColumn id="37" xr3:uid="{E4BF5D67-5836-7841-8FFA-43DCD1B5B0C6}" name="attributes"/>
    <tableColumn id="38" xr3:uid="{38B9B5B0-7E94-604C-B2C6-1E4BBB86CB32}" name="blank"/>
    <tableColumn id="39" xr3:uid="{98CAFA5F-B39F-CE41-A287-909023093316}" name="internet"/>
    <tableColumn id="40" xr3:uid="{4AA5260E-82A2-DF4F-A85F-84B338D23C1D}" name="total"/>
    <tableColumn id="41" xr3:uid="{EF7AAD35-3D0E-2A4C-89E2-85F2FC0BC181}" name="internet_ratio"/>
    <tableColumn id="42" xr3:uid="{C83D3DC1-BE5D-EF4F-AB2C-150F1B9F5AB0}" name="internet_dominance"/>
    <tableColumn id="43" xr3:uid="{730960D5-3231-0842-91D4-03682940A19D}" name="error"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0E72-FDC0-F343-B074-598E18DA52E7}">
  <dimension ref="A1:AQ48"/>
  <sheetViews>
    <sheetView tabSelected="1" topLeftCell="Z26" workbookViewId="0">
      <selection activeCell="AI54" sqref="AI54"/>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254905</v>
      </c>
      <c r="B2" t="s">
        <v>43</v>
      </c>
      <c r="C2">
        <v>5.4</v>
      </c>
      <c r="D2">
        <v>213</v>
      </c>
      <c r="E2" t="s">
        <v>44</v>
      </c>
      <c r="F2" s="1">
        <v>42158</v>
      </c>
      <c r="G2">
        <v>143101</v>
      </c>
      <c r="H2">
        <v>97</v>
      </c>
      <c r="I2">
        <v>4000000</v>
      </c>
      <c r="J2" t="s">
        <v>45</v>
      </c>
      <c r="K2" t="s">
        <v>46</v>
      </c>
      <c r="L2" t="s">
        <v>43</v>
      </c>
      <c r="M2" t="s">
        <v>47</v>
      </c>
      <c r="N2">
        <v>1.4530000000000001</v>
      </c>
      <c r="O2" t="s">
        <v>48</v>
      </c>
      <c r="P2" t="s">
        <v>49</v>
      </c>
      <c r="Q2" t="s">
        <v>50</v>
      </c>
      <c r="R2" t="s">
        <v>51</v>
      </c>
      <c r="S2" t="s">
        <v>52</v>
      </c>
      <c r="T2" t="s">
        <v>53</v>
      </c>
      <c r="U2" t="s">
        <v>54</v>
      </c>
      <c r="V2" t="s">
        <v>55</v>
      </c>
      <c r="W2" t="s">
        <v>56</v>
      </c>
      <c r="X2" t="s">
        <v>57</v>
      </c>
      <c r="Y2" t="s">
        <v>58</v>
      </c>
      <c r="Z2">
        <v>5.5</v>
      </c>
      <c r="AA2">
        <v>8330</v>
      </c>
      <c r="AB2" t="s">
        <v>59</v>
      </c>
      <c r="AC2">
        <v>6</v>
      </c>
      <c r="AD2">
        <v>2015</v>
      </c>
      <c r="AE2">
        <v>23</v>
      </c>
      <c r="AF2" t="s">
        <v>60</v>
      </c>
      <c r="AG2">
        <v>-41</v>
      </c>
      <c r="AH2">
        <v>11.871312941687201</v>
      </c>
      <c r="AI2">
        <v>0.28265030813541098</v>
      </c>
      <c r="AJ2" t="s">
        <v>61</v>
      </c>
      <c r="AK2" t="s">
        <v>62</v>
      </c>
      <c r="AL2">
        <v>11</v>
      </c>
      <c r="AM2">
        <v>1</v>
      </c>
      <c r="AN2">
        <v>43</v>
      </c>
      <c r="AO2">
        <v>0.02</v>
      </c>
      <c r="AP2" t="s">
        <v>63</v>
      </c>
      <c r="AQ2" t="s">
        <v>63</v>
      </c>
    </row>
    <row r="3" spans="1:43" x14ac:dyDescent="0.2">
      <c r="A3">
        <v>135397</v>
      </c>
      <c r="B3" t="s">
        <v>64</v>
      </c>
      <c r="C3">
        <v>6.6989999999999998</v>
      </c>
      <c r="D3">
        <v>21092</v>
      </c>
      <c r="E3" t="s">
        <v>44</v>
      </c>
      <c r="F3" s="1">
        <v>42161</v>
      </c>
      <c r="G3">
        <v>1671537444</v>
      </c>
      <c r="H3">
        <v>124</v>
      </c>
      <c r="I3">
        <v>150000000</v>
      </c>
      <c r="J3" t="s">
        <v>65</v>
      </c>
      <c r="K3" t="s">
        <v>46</v>
      </c>
      <c r="L3" t="s">
        <v>64</v>
      </c>
      <c r="M3" t="s">
        <v>66</v>
      </c>
      <c r="N3">
        <v>16.786999999999999</v>
      </c>
      <c r="O3" t="s">
        <v>67</v>
      </c>
      <c r="P3" t="s">
        <v>68</v>
      </c>
      <c r="Q3" t="s">
        <v>69</v>
      </c>
      <c r="R3" t="s">
        <v>51</v>
      </c>
      <c r="S3" t="s">
        <v>52</v>
      </c>
      <c r="T3" t="s">
        <v>70</v>
      </c>
      <c r="U3" t="s">
        <v>71</v>
      </c>
      <c r="V3" t="s">
        <v>72</v>
      </c>
      <c r="W3" t="s">
        <v>73</v>
      </c>
      <c r="X3" t="s">
        <v>74</v>
      </c>
      <c r="Y3" t="s">
        <v>75</v>
      </c>
      <c r="Z3">
        <v>6.9</v>
      </c>
      <c r="AA3">
        <v>717387</v>
      </c>
      <c r="AB3" t="s">
        <v>76</v>
      </c>
      <c r="AC3">
        <v>6</v>
      </c>
      <c r="AD3">
        <v>2015</v>
      </c>
      <c r="AE3">
        <v>23</v>
      </c>
      <c r="AF3" t="s">
        <v>77</v>
      </c>
      <c r="AG3">
        <v>-38</v>
      </c>
      <c r="AH3">
        <v>21.237009665607602</v>
      </c>
      <c r="AI3">
        <v>0.54453870937455395</v>
      </c>
      <c r="AJ3" t="s">
        <v>61</v>
      </c>
      <c r="AK3" t="s">
        <v>78</v>
      </c>
      <c r="AL3">
        <v>70</v>
      </c>
      <c r="AM3">
        <v>1</v>
      </c>
      <c r="AN3">
        <v>81</v>
      </c>
      <c r="AO3">
        <v>0.01</v>
      </c>
      <c r="AP3" t="s">
        <v>63</v>
      </c>
      <c r="AQ3" t="s">
        <v>63</v>
      </c>
    </row>
    <row r="4" spans="1:43" x14ac:dyDescent="0.2">
      <c r="A4">
        <v>150540</v>
      </c>
      <c r="B4" t="s">
        <v>79</v>
      </c>
      <c r="C4">
        <v>7.91</v>
      </c>
      <c r="D4">
        <v>22907</v>
      </c>
      <c r="E4" t="s">
        <v>44</v>
      </c>
      <c r="F4" s="1">
        <v>42172</v>
      </c>
      <c r="G4">
        <v>857611174</v>
      </c>
      <c r="H4">
        <v>95</v>
      </c>
      <c r="I4">
        <v>175000000</v>
      </c>
      <c r="J4" t="s">
        <v>80</v>
      </c>
      <c r="K4" t="s">
        <v>46</v>
      </c>
      <c r="L4" t="s">
        <v>79</v>
      </c>
      <c r="M4" t="s">
        <v>81</v>
      </c>
      <c r="N4">
        <v>18.572299999999998</v>
      </c>
      <c r="O4" t="s">
        <v>82</v>
      </c>
      <c r="P4" t="s">
        <v>83</v>
      </c>
      <c r="Q4" t="s">
        <v>84</v>
      </c>
      <c r="R4" t="s">
        <v>51</v>
      </c>
      <c r="S4" t="s">
        <v>52</v>
      </c>
      <c r="T4" t="s">
        <v>85</v>
      </c>
      <c r="U4" t="s">
        <v>86</v>
      </c>
      <c r="V4" t="s">
        <v>87</v>
      </c>
      <c r="W4" t="s">
        <v>88</v>
      </c>
      <c r="X4" t="s">
        <v>89</v>
      </c>
      <c r="Y4" t="s">
        <v>75</v>
      </c>
      <c r="Z4">
        <v>8.1</v>
      </c>
      <c r="AA4">
        <v>890652</v>
      </c>
      <c r="AB4" t="s">
        <v>90</v>
      </c>
      <c r="AC4">
        <v>6</v>
      </c>
      <c r="AD4">
        <v>2015</v>
      </c>
      <c r="AE4">
        <v>25</v>
      </c>
      <c r="AF4" t="s">
        <v>91</v>
      </c>
      <c r="AG4">
        <v>-27</v>
      </c>
      <c r="AH4">
        <v>20.569661378746201</v>
      </c>
      <c r="AI4">
        <v>0.73463076352665302</v>
      </c>
      <c r="AJ4" t="s">
        <v>61</v>
      </c>
      <c r="AK4" t="s">
        <v>92</v>
      </c>
      <c r="AL4">
        <v>88</v>
      </c>
      <c r="AM4">
        <v>0</v>
      </c>
      <c r="AN4">
        <v>113</v>
      </c>
      <c r="AO4">
        <v>0</v>
      </c>
      <c r="AP4" t="s">
        <v>63</v>
      </c>
      <c r="AQ4" t="s">
        <v>63</v>
      </c>
    </row>
    <row r="5" spans="1:43" x14ac:dyDescent="0.2">
      <c r="A5">
        <v>211672</v>
      </c>
      <c r="B5" t="s">
        <v>93</v>
      </c>
      <c r="C5">
        <v>6.4</v>
      </c>
      <c r="D5">
        <v>10873</v>
      </c>
      <c r="E5" t="s">
        <v>44</v>
      </c>
      <c r="F5" s="1">
        <v>42172</v>
      </c>
      <c r="G5">
        <v>1159457503</v>
      </c>
      <c r="H5">
        <v>91</v>
      </c>
      <c r="I5">
        <v>74000000</v>
      </c>
      <c r="J5" t="s">
        <v>94</v>
      </c>
      <c r="K5" t="s">
        <v>46</v>
      </c>
      <c r="L5" t="s">
        <v>93</v>
      </c>
      <c r="M5" t="s">
        <v>95</v>
      </c>
      <c r="N5">
        <v>3.8331</v>
      </c>
      <c r="O5" t="s">
        <v>96</v>
      </c>
      <c r="P5" t="s">
        <v>97</v>
      </c>
      <c r="Q5" t="s">
        <v>98</v>
      </c>
      <c r="R5" t="s">
        <v>51</v>
      </c>
      <c r="S5" t="s">
        <v>52</v>
      </c>
      <c r="T5" t="s">
        <v>99</v>
      </c>
      <c r="U5" t="s">
        <v>100</v>
      </c>
      <c r="W5" t="s">
        <v>101</v>
      </c>
      <c r="X5" t="s">
        <v>102</v>
      </c>
      <c r="Y5" t="s">
        <v>103</v>
      </c>
      <c r="Z5">
        <v>6.4</v>
      </c>
      <c r="AA5">
        <v>278519</v>
      </c>
      <c r="AB5" t="s">
        <v>104</v>
      </c>
      <c r="AC5">
        <v>6</v>
      </c>
      <c r="AD5">
        <v>2015</v>
      </c>
      <c r="AE5">
        <v>25</v>
      </c>
      <c r="AF5" t="s">
        <v>105</v>
      </c>
      <c r="AG5">
        <v>-27</v>
      </c>
      <c r="AH5">
        <v>20.8712180637079</v>
      </c>
      <c r="AI5">
        <v>0.74540064513242599</v>
      </c>
      <c r="AJ5" t="s">
        <v>61</v>
      </c>
      <c r="AK5" t="s">
        <v>106</v>
      </c>
      <c r="AL5">
        <v>79</v>
      </c>
      <c r="AM5">
        <v>1</v>
      </c>
      <c r="AN5">
        <v>89</v>
      </c>
      <c r="AO5">
        <v>0.01</v>
      </c>
      <c r="AP5" t="s">
        <v>63</v>
      </c>
      <c r="AQ5" t="s">
        <v>63</v>
      </c>
    </row>
    <row r="6" spans="1:43" x14ac:dyDescent="0.2">
      <c r="A6">
        <v>336804</v>
      </c>
      <c r="B6" t="s">
        <v>107</v>
      </c>
      <c r="C6">
        <v>7.7370000000000001</v>
      </c>
      <c r="D6">
        <v>1410</v>
      </c>
      <c r="E6" t="s">
        <v>44</v>
      </c>
      <c r="F6" s="1">
        <v>42172</v>
      </c>
      <c r="G6">
        <v>5300000</v>
      </c>
      <c r="H6">
        <v>97</v>
      </c>
      <c r="I6">
        <v>1300000</v>
      </c>
      <c r="J6" t="s">
        <v>108</v>
      </c>
      <c r="K6" t="s">
        <v>109</v>
      </c>
      <c r="L6" t="s">
        <v>107</v>
      </c>
      <c r="M6" t="s">
        <v>110</v>
      </c>
      <c r="N6">
        <v>2.4159999999999999</v>
      </c>
      <c r="O6" t="s">
        <v>111</v>
      </c>
      <c r="P6" t="s">
        <v>49</v>
      </c>
      <c r="Q6" t="s">
        <v>112</v>
      </c>
      <c r="R6" t="s">
        <v>113</v>
      </c>
      <c r="S6" t="s">
        <v>114</v>
      </c>
      <c r="T6" t="s">
        <v>115</v>
      </c>
      <c r="U6" t="s">
        <v>116</v>
      </c>
      <c r="V6" t="s">
        <v>117</v>
      </c>
      <c r="W6" t="s">
        <v>118</v>
      </c>
      <c r="X6" t="s">
        <v>119</v>
      </c>
      <c r="Y6" t="s">
        <v>120</v>
      </c>
      <c r="Z6">
        <v>7.6</v>
      </c>
      <c r="AA6">
        <v>42461</v>
      </c>
      <c r="AB6" t="s">
        <v>121</v>
      </c>
      <c r="AC6">
        <v>6</v>
      </c>
      <c r="AD6">
        <v>2015</v>
      </c>
      <c r="AE6">
        <v>25</v>
      </c>
      <c r="AF6" t="s">
        <v>122</v>
      </c>
      <c r="AG6">
        <v>-27</v>
      </c>
      <c r="AH6">
        <v>15.4832175672015</v>
      </c>
      <c r="AI6">
        <v>0.55297205597148402</v>
      </c>
      <c r="AJ6" t="s">
        <v>61</v>
      </c>
      <c r="AK6" t="s">
        <v>123</v>
      </c>
      <c r="AL6">
        <v>37</v>
      </c>
      <c r="AM6">
        <v>0</v>
      </c>
      <c r="AN6">
        <v>88</v>
      </c>
      <c r="AO6">
        <v>0</v>
      </c>
      <c r="AP6" t="s">
        <v>63</v>
      </c>
      <c r="AQ6" t="s">
        <v>63</v>
      </c>
    </row>
    <row r="7" spans="1:43" x14ac:dyDescent="0.2">
      <c r="A7">
        <v>286565</v>
      </c>
      <c r="B7" t="s">
        <v>124</v>
      </c>
      <c r="C7">
        <v>6.2</v>
      </c>
      <c r="D7">
        <v>5119</v>
      </c>
      <c r="E7" t="s">
        <v>44</v>
      </c>
      <c r="F7" s="1">
        <v>42173</v>
      </c>
      <c r="G7">
        <v>85500000</v>
      </c>
      <c r="H7">
        <v>109</v>
      </c>
      <c r="I7">
        <v>12000000</v>
      </c>
      <c r="J7" t="s">
        <v>125</v>
      </c>
      <c r="K7" t="s">
        <v>46</v>
      </c>
      <c r="L7" t="s">
        <v>124</v>
      </c>
      <c r="M7" t="s">
        <v>126</v>
      </c>
      <c r="N7">
        <v>2.9087000000000001</v>
      </c>
      <c r="O7" t="s">
        <v>127</v>
      </c>
      <c r="P7" t="s">
        <v>128</v>
      </c>
      <c r="Q7" t="s">
        <v>129</v>
      </c>
      <c r="R7" t="s">
        <v>51</v>
      </c>
      <c r="S7" t="s">
        <v>52</v>
      </c>
      <c r="T7" t="s">
        <v>130</v>
      </c>
      <c r="U7" t="s">
        <v>131</v>
      </c>
      <c r="V7" t="s">
        <v>132</v>
      </c>
      <c r="W7" t="s">
        <v>133</v>
      </c>
      <c r="X7" t="s">
        <v>134</v>
      </c>
      <c r="Y7" t="s">
        <v>135</v>
      </c>
      <c r="Z7">
        <v>6.2</v>
      </c>
      <c r="AA7">
        <v>110951</v>
      </c>
      <c r="AB7" t="s">
        <v>136</v>
      </c>
      <c r="AC7">
        <v>6</v>
      </c>
      <c r="AD7">
        <v>2015</v>
      </c>
      <c r="AE7">
        <v>25</v>
      </c>
      <c r="AF7" t="s">
        <v>137</v>
      </c>
      <c r="AG7">
        <v>-26</v>
      </c>
      <c r="AH7">
        <v>18.264026945602801</v>
      </c>
      <c r="AI7">
        <v>0.67644544242973603</v>
      </c>
      <c r="AJ7" t="s">
        <v>61</v>
      </c>
      <c r="AK7" t="s">
        <v>138</v>
      </c>
      <c r="AL7">
        <v>62</v>
      </c>
      <c r="AM7">
        <v>1</v>
      </c>
      <c r="AN7">
        <v>65</v>
      </c>
      <c r="AO7">
        <v>0.02</v>
      </c>
      <c r="AP7" t="s">
        <v>63</v>
      </c>
      <c r="AQ7" t="s">
        <v>63</v>
      </c>
    </row>
    <row r="8" spans="1:43" x14ac:dyDescent="0.2">
      <c r="A8">
        <v>280996</v>
      </c>
      <c r="B8" t="s">
        <v>139</v>
      </c>
      <c r="C8">
        <v>6.5</v>
      </c>
      <c r="D8">
        <v>1909</v>
      </c>
      <c r="E8" t="s">
        <v>44</v>
      </c>
      <c r="F8" s="1">
        <v>42174</v>
      </c>
      <c r="G8">
        <v>29355203</v>
      </c>
      <c r="H8">
        <v>104</v>
      </c>
      <c r="I8">
        <v>11000000</v>
      </c>
      <c r="J8" t="s">
        <v>140</v>
      </c>
      <c r="K8" t="s">
        <v>46</v>
      </c>
      <c r="L8" t="s">
        <v>139</v>
      </c>
      <c r="M8" t="s">
        <v>141</v>
      </c>
      <c r="N8">
        <v>3.3471000000000002</v>
      </c>
      <c r="O8" t="s">
        <v>142</v>
      </c>
      <c r="P8" t="s">
        <v>143</v>
      </c>
      <c r="Q8" t="s">
        <v>144</v>
      </c>
      <c r="R8" t="s">
        <v>145</v>
      </c>
      <c r="S8" t="s">
        <v>146</v>
      </c>
      <c r="T8" t="s">
        <v>147</v>
      </c>
      <c r="U8" t="s">
        <v>148</v>
      </c>
      <c r="V8" t="s">
        <v>149</v>
      </c>
      <c r="W8" t="s">
        <v>150</v>
      </c>
      <c r="X8" t="s">
        <v>151</v>
      </c>
      <c r="Y8" t="s">
        <v>152</v>
      </c>
      <c r="Z8">
        <v>6.8</v>
      </c>
      <c r="AA8">
        <v>69869</v>
      </c>
      <c r="AB8" t="s">
        <v>153</v>
      </c>
      <c r="AC8">
        <v>6</v>
      </c>
      <c r="AD8">
        <v>2015</v>
      </c>
      <c r="AE8">
        <v>25</v>
      </c>
      <c r="AF8" t="s">
        <v>154</v>
      </c>
      <c r="AG8">
        <v>-25</v>
      </c>
      <c r="AH8">
        <v>17.194980396868601</v>
      </c>
      <c r="AI8">
        <v>0.66134539987956298</v>
      </c>
      <c r="AJ8" t="s">
        <v>61</v>
      </c>
      <c r="AK8" t="s">
        <v>155</v>
      </c>
      <c r="AL8">
        <v>27</v>
      </c>
      <c r="AM8">
        <v>0</v>
      </c>
      <c r="AN8">
        <v>43</v>
      </c>
      <c r="AO8">
        <v>0</v>
      </c>
      <c r="AP8" t="s">
        <v>63</v>
      </c>
      <c r="AQ8" t="s">
        <v>63</v>
      </c>
    </row>
    <row r="9" spans="1:43" x14ac:dyDescent="0.2">
      <c r="A9">
        <v>308639</v>
      </c>
      <c r="B9" t="s">
        <v>156</v>
      </c>
      <c r="C9">
        <v>7.0640000000000001</v>
      </c>
      <c r="D9">
        <v>1521</v>
      </c>
      <c r="E9" t="s">
        <v>44</v>
      </c>
      <c r="F9" s="1">
        <v>42174</v>
      </c>
      <c r="G9">
        <v>17986781</v>
      </c>
      <c r="H9">
        <v>103</v>
      </c>
      <c r="I9">
        <v>7000000</v>
      </c>
      <c r="J9" t="s">
        <v>157</v>
      </c>
      <c r="K9" t="s">
        <v>46</v>
      </c>
      <c r="L9" t="s">
        <v>156</v>
      </c>
      <c r="M9" t="s">
        <v>158</v>
      </c>
      <c r="N9">
        <v>3.8677000000000001</v>
      </c>
      <c r="O9" t="s">
        <v>159</v>
      </c>
      <c r="P9" t="s">
        <v>160</v>
      </c>
      <c r="Q9" t="s">
        <v>161</v>
      </c>
      <c r="R9" t="s">
        <v>51</v>
      </c>
      <c r="S9" t="s">
        <v>52</v>
      </c>
      <c r="T9" t="s">
        <v>162</v>
      </c>
      <c r="U9" t="s">
        <v>163</v>
      </c>
      <c r="V9" t="s">
        <v>164</v>
      </c>
      <c r="W9" t="s">
        <v>163</v>
      </c>
      <c r="X9" t="s">
        <v>165</v>
      </c>
      <c r="Y9" t="s">
        <v>166</v>
      </c>
      <c r="Z9">
        <v>7.2</v>
      </c>
      <c r="AA9">
        <v>91247</v>
      </c>
      <c r="AB9" t="s">
        <v>167</v>
      </c>
      <c r="AC9">
        <v>6</v>
      </c>
      <c r="AD9">
        <v>2015</v>
      </c>
      <c r="AE9">
        <v>25</v>
      </c>
      <c r="AF9" t="s">
        <v>168</v>
      </c>
      <c r="AG9">
        <v>-25</v>
      </c>
      <c r="AH9">
        <v>16.705147712772298</v>
      </c>
      <c r="AI9">
        <v>0.64250568126047303</v>
      </c>
      <c r="AJ9" t="s">
        <v>61</v>
      </c>
      <c r="AK9" t="s">
        <v>169</v>
      </c>
      <c r="AL9">
        <v>11</v>
      </c>
      <c r="AM9">
        <v>2</v>
      </c>
      <c r="AN9">
        <v>39</v>
      </c>
      <c r="AO9">
        <v>0.05</v>
      </c>
      <c r="AP9" t="s">
        <v>63</v>
      </c>
      <c r="AQ9" t="s">
        <v>63</v>
      </c>
    </row>
    <row r="10" spans="1:43" x14ac:dyDescent="0.2">
      <c r="A10">
        <v>87101</v>
      </c>
      <c r="B10" t="s">
        <v>170</v>
      </c>
      <c r="C10">
        <v>5.9450000000000003</v>
      </c>
      <c r="D10">
        <v>8692</v>
      </c>
      <c r="E10" t="s">
        <v>44</v>
      </c>
      <c r="F10" s="1">
        <v>42178</v>
      </c>
      <c r="G10">
        <v>440603537</v>
      </c>
      <c r="H10">
        <v>126</v>
      </c>
      <c r="I10">
        <v>155000000</v>
      </c>
      <c r="J10" t="s">
        <v>171</v>
      </c>
      <c r="K10" t="s">
        <v>46</v>
      </c>
      <c r="L10" t="s">
        <v>170</v>
      </c>
      <c r="M10" t="s">
        <v>172</v>
      </c>
      <c r="N10">
        <v>8.9878999999999998</v>
      </c>
      <c r="O10" t="s">
        <v>173</v>
      </c>
      <c r="P10" t="s">
        <v>174</v>
      </c>
      <c r="Q10" t="s">
        <v>175</v>
      </c>
      <c r="R10" t="s">
        <v>51</v>
      </c>
      <c r="S10" t="s">
        <v>52</v>
      </c>
      <c r="T10" t="s">
        <v>176</v>
      </c>
      <c r="U10" t="s">
        <v>177</v>
      </c>
      <c r="V10" t="s">
        <v>178</v>
      </c>
      <c r="W10" t="s">
        <v>179</v>
      </c>
      <c r="X10" t="s">
        <v>180</v>
      </c>
      <c r="Y10" t="s">
        <v>181</v>
      </c>
      <c r="Z10">
        <v>6.3</v>
      </c>
      <c r="AA10">
        <v>303699</v>
      </c>
      <c r="AB10" t="s">
        <v>182</v>
      </c>
      <c r="AC10">
        <v>6</v>
      </c>
      <c r="AD10">
        <v>2015</v>
      </c>
      <c r="AE10">
        <v>26</v>
      </c>
      <c r="AF10" t="s">
        <v>183</v>
      </c>
      <c r="AG10">
        <v>-21</v>
      </c>
      <c r="AH10">
        <v>19.903656022259401</v>
      </c>
      <c r="AI10">
        <v>0.90471163737542803</v>
      </c>
      <c r="AJ10" t="s">
        <v>61</v>
      </c>
      <c r="AK10" t="s">
        <v>184</v>
      </c>
      <c r="AL10">
        <v>86</v>
      </c>
      <c r="AM10">
        <v>1</v>
      </c>
      <c r="AN10">
        <v>97</v>
      </c>
      <c r="AO10">
        <v>0.01</v>
      </c>
      <c r="AP10" t="s">
        <v>63</v>
      </c>
      <c r="AQ10" t="s">
        <v>63</v>
      </c>
    </row>
    <row r="11" spans="1:43" x14ac:dyDescent="0.2">
      <c r="A11">
        <v>318781</v>
      </c>
      <c r="B11" t="s">
        <v>185</v>
      </c>
      <c r="C11">
        <v>7.3</v>
      </c>
      <c r="D11">
        <v>1945</v>
      </c>
      <c r="E11" t="s">
        <v>44</v>
      </c>
      <c r="F11" s="1">
        <v>42179</v>
      </c>
      <c r="G11">
        <v>3621046</v>
      </c>
      <c r="H11">
        <v>106</v>
      </c>
      <c r="I11">
        <v>14000000</v>
      </c>
      <c r="J11" t="s">
        <v>186</v>
      </c>
      <c r="K11" t="s">
        <v>46</v>
      </c>
      <c r="L11" t="s">
        <v>185</v>
      </c>
      <c r="M11" t="s">
        <v>187</v>
      </c>
      <c r="N11">
        <v>2.8083999999999998</v>
      </c>
      <c r="O11" t="s">
        <v>188</v>
      </c>
      <c r="P11" t="s">
        <v>189</v>
      </c>
      <c r="Q11" t="s">
        <v>190</v>
      </c>
      <c r="R11" t="s">
        <v>191</v>
      </c>
      <c r="S11" t="s">
        <v>192</v>
      </c>
      <c r="T11" t="s">
        <v>193</v>
      </c>
      <c r="U11" t="s">
        <v>194</v>
      </c>
      <c r="V11" t="s">
        <v>195</v>
      </c>
      <c r="W11" t="s">
        <v>196</v>
      </c>
      <c r="X11" t="s">
        <v>197</v>
      </c>
      <c r="Y11" t="s">
        <v>198</v>
      </c>
      <c r="Z11">
        <v>7</v>
      </c>
      <c r="AA11">
        <v>59166</v>
      </c>
      <c r="AB11" t="s">
        <v>199</v>
      </c>
      <c r="AC11">
        <v>6</v>
      </c>
      <c r="AD11">
        <v>2015</v>
      </c>
      <c r="AE11">
        <v>26</v>
      </c>
      <c r="AF11" t="s">
        <v>200</v>
      </c>
      <c r="AG11">
        <v>-20</v>
      </c>
      <c r="AH11">
        <v>15.1022737685033</v>
      </c>
      <c r="AI11">
        <v>0.71915589373825495</v>
      </c>
      <c r="AJ11" t="s">
        <v>61</v>
      </c>
      <c r="AK11" t="s">
        <v>201</v>
      </c>
      <c r="AL11">
        <v>17</v>
      </c>
      <c r="AM11">
        <v>2</v>
      </c>
      <c r="AN11">
        <v>39</v>
      </c>
      <c r="AO11">
        <v>0.05</v>
      </c>
      <c r="AP11" t="s">
        <v>63</v>
      </c>
      <c r="AQ11" t="s">
        <v>63</v>
      </c>
    </row>
    <row r="12" spans="1:43" x14ac:dyDescent="0.2">
      <c r="A12">
        <v>214756</v>
      </c>
      <c r="B12" t="s">
        <v>202</v>
      </c>
      <c r="C12">
        <v>6.3</v>
      </c>
      <c r="D12">
        <v>7777</v>
      </c>
      <c r="E12" t="s">
        <v>44</v>
      </c>
      <c r="F12" s="1">
        <v>42180</v>
      </c>
      <c r="G12">
        <v>215863606</v>
      </c>
      <c r="H12">
        <v>115</v>
      </c>
      <c r="I12">
        <v>68000000</v>
      </c>
      <c r="J12" t="s">
        <v>203</v>
      </c>
      <c r="K12" t="s">
        <v>46</v>
      </c>
      <c r="L12" t="s">
        <v>202</v>
      </c>
      <c r="M12" t="s">
        <v>204</v>
      </c>
      <c r="N12">
        <v>11.190799999999999</v>
      </c>
      <c r="O12" t="s">
        <v>205</v>
      </c>
      <c r="P12" t="s">
        <v>206</v>
      </c>
      <c r="Q12" t="s">
        <v>207</v>
      </c>
      <c r="R12" t="s">
        <v>51</v>
      </c>
      <c r="S12" t="s">
        <v>52</v>
      </c>
      <c r="T12" t="s">
        <v>208</v>
      </c>
      <c r="U12" t="s">
        <v>209</v>
      </c>
      <c r="V12" t="s">
        <v>210</v>
      </c>
      <c r="W12" t="s">
        <v>211</v>
      </c>
      <c r="X12" t="s">
        <v>212</v>
      </c>
      <c r="Y12" t="s">
        <v>213</v>
      </c>
      <c r="Z12">
        <v>6.3</v>
      </c>
      <c r="AA12">
        <v>254334</v>
      </c>
      <c r="AB12" t="s">
        <v>214</v>
      </c>
      <c r="AC12">
        <v>6</v>
      </c>
      <c r="AD12">
        <v>2015</v>
      </c>
      <c r="AE12">
        <v>26</v>
      </c>
      <c r="AF12" t="s">
        <v>215</v>
      </c>
      <c r="AG12">
        <v>-19</v>
      </c>
      <c r="AH12">
        <v>19.190157317126399</v>
      </c>
      <c r="AI12">
        <v>0.95950786585632097</v>
      </c>
      <c r="AJ12" t="s">
        <v>61</v>
      </c>
      <c r="AK12" t="s">
        <v>216</v>
      </c>
      <c r="AL12">
        <v>66</v>
      </c>
      <c r="AM12">
        <v>1</v>
      </c>
      <c r="AN12">
        <v>69</v>
      </c>
      <c r="AO12">
        <v>0.01</v>
      </c>
      <c r="AP12" t="s">
        <v>63</v>
      </c>
      <c r="AQ12" t="s">
        <v>63</v>
      </c>
    </row>
    <row r="13" spans="1:43" x14ac:dyDescent="0.2">
      <c r="A13">
        <v>272878</v>
      </c>
      <c r="B13" t="s">
        <v>217</v>
      </c>
      <c r="C13">
        <v>7.1</v>
      </c>
      <c r="D13">
        <v>860</v>
      </c>
      <c r="E13" t="s">
        <v>44</v>
      </c>
      <c r="F13" s="1">
        <v>42180</v>
      </c>
      <c r="G13">
        <v>43956255</v>
      </c>
      <c r="H13">
        <v>111</v>
      </c>
      <c r="I13">
        <v>20000000</v>
      </c>
      <c r="J13" t="s">
        <v>218</v>
      </c>
      <c r="K13" t="s">
        <v>46</v>
      </c>
      <c r="L13" t="s">
        <v>217</v>
      </c>
      <c r="M13" t="s">
        <v>219</v>
      </c>
      <c r="N13">
        <v>1.9903999999999999</v>
      </c>
      <c r="O13" t="s">
        <v>220</v>
      </c>
      <c r="P13" t="s">
        <v>221</v>
      </c>
      <c r="Q13" t="s">
        <v>222</v>
      </c>
      <c r="R13" t="s">
        <v>51</v>
      </c>
      <c r="S13" t="s">
        <v>52</v>
      </c>
      <c r="T13" t="s">
        <v>223</v>
      </c>
      <c r="U13" t="s">
        <v>224</v>
      </c>
      <c r="V13" t="s">
        <v>225</v>
      </c>
      <c r="W13" t="s">
        <v>226</v>
      </c>
      <c r="X13" t="s">
        <v>227</v>
      </c>
      <c r="Y13" t="s">
        <v>228</v>
      </c>
      <c r="Z13">
        <v>6.6</v>
      </c>
      <c r="AA13">
        <v>29549</v>
      </c>
      <c r="AB13" t="s">
        <v>229</v>
      </c>
      <c r="AC13">
        <v>6</v>
      </c>
      <c r="AD13">
        <v>2015</v>
      </c>
      <c r="AE13">
        <v>26</v>
      </c>
      <c r="AF13" t="s">
        <v>230</v>
      </c>
      <c r="AG13">
        <v>-19</v>
      </c>
      <c r="AH13">
        <v>17.598705515537802</v>
      </c>
      <c r="AI13">
        <v>0.87993527577689001</v>
      </c>
      <c r="AJ13" t="s">
        <v>61</v>
      </c>
      <c r="AK13" t="s">
        <v>231</v>
      </c>
      <c r="AL13">
        <v>15</v>
      </c>
      <c r="AM13">
        <v>1</v>
      </c>
      <c r="AN13">
        <v>20</v>
      </c>
      <c r="AO13">
        <v>0.05</v>
      </c>
      <c r="AP13" t="s">
        <v>63</v>
      </c>
      <c r="AQ13" t="s">
        <v>63</v>
      </c>
    </row>
    <row r="14" spans="1:43" x14ac:dyDescent="0.2">
      <c r="A14">
        <v>263472</v>
      </c>
      <c r="B14" t="s">
        <v>232</v>
      </c>
      <c r="C14">
        <v>5.4</v>
      </c>
      <c r="D14">
        <v>3363</v>
      </c>
      <c r="E14" t="s">
        <v>44</v>
      </c>
      <c r="F14" s="1">
        <v>42181</v>
      </c>
      <c r="G14">
        <v>6341684</v>
      </c>
      <c r="H14">
        <v>99</v>
      </c>
      <c r="I14">
        <v>10000000</v>
      </c>
      <c r="J14" t="s">
        <v>233</v>
      </c>
      <c r="K14" t="s">
        <v>46</v>
      </c>
      <c r="L14" t="s">
        <v>232</v>
      </c>
      <c r="M14" t="s">
        <v>234</v>
      </c>
      <c r="N14">
        <v>8.8414000000000001</v>
      </c>
      <c r="O14" t="s">
        <v>235</v>
      </c>
      <c r="P14" t="s">
        <v>236</v>
      </c>
      <c r="Q14" t="s">
        <v>237</v>
      </c>
      <c r="R14" t="s">
        <v>238</v>
      </c>
      <c r="S14" t="s">
        <v>239</v>
      </c>
      <c r="T14" t="s">
        <v>240</v>
      </c>
      <c r="U14" t="s">
        <v>241</v>
      </c>
      <c r="V14" t="s">
        <v>242</v>
      </c>
      <c r="W14" t="s">
        <v>243</v>
      </c>
      <c r="X14" t="s">
        <v>244</v>
      </c>
      <c r="Y14" t="s">
        <v>245</v>
      </c>
      <c r="Z14">
        <v>4.9000000000000004</v>
      </c>
      <c r="AA14">
        <v>113162</v>
      </c>
      <c r="AB14" t="s">
        <v>246</v>
      </c>
      <c r="AC14">
        <v>6</v>
      </c>
      <c r="AD14">
        <v>2015</v>
      </c>
      <c r="AE14">
        <v>26</v>
      </c>
      <c r="AF14" t="s">
        <v>247</v>
      </c>
      <c r="AG14">
        <v>-18</v>
      </c>
      <c r="AH14">
        <v>15.6626550639727</v>
      </c>
      <c r="AI14">
        <v>0.82435026652487897</v>
      </c>
      <c r="AJ14" t="s">
        <v>61</v>
      </c>
      <c r="AK14" t="s">
        <v>248</v>
      </c>
      <c r="AL14">
        <v>36</v>
      </c>
      <c r="AM14">
        <v>2</v>
      </c>
      <c r="AN14">
        <v>55</v>
      </c>
      <c r="AO14">
        <v>0.04</v>
      </c>
      <c r="AP14" t="s">
        <v>63</v>
      </c>
      <c r="AQ14" t="s">
        <v>63</v>
      </c>
    </row>
    <row r="15" spans="1:43" x14ac:dyDescent="0.2">
      <c r="A15">
        <v>245846</v>
      </c>
      <c r="B15" t="s">
        <v>249</v>
      </c>
      <c r="C15">
        <v>5.3</v>
      </c>
      <c r="D15">
        <v>267</v>
      </c>
      <c r="E15" t="s">
        <v>44</v>
      </c>
      <c r="F15" s="1">
        <v>42186</v>
      </c>
      <c r="G15">
        <v>111107</v>
      </c>
      <c r="H15">
        <v>111</v>
      </c>
      <c r="I15">
        <v>10000000</v>
      </c>
      <c r="J15" t="s">
        <v>250</v>
      </c>
      <c r="K15" t="s">
        <v>46</v>
      </c>
      <c r="L15" t="s">
        <v>249</v>
      </c>
      <c r="M15" t="s">
        <v>251</v>
      </c>
      <c r="N15">
        <v>1.6887000000000001</v>
      </c>
      <c r="O15" t="s">
        <v>252</v>
      </c>
      <c r="P15" t="s">
        <v>253</v>
      </c>
      <c r="Q15" t="s">
        <v>254</v>
      </c>
      <c r="R15" t="s">
        <v>255</v>
      </c>
      <c r="S15" t="s">
        <v>52</v>
      </c>
      <c r="T15" t="s">
        <v>256</v>
      </c>
      <c r="U15" t="s">
        <v>257</v>
      </c>
      <c r="V15" t="s">
        <v>258</v>
      </c>
      <c r="W15" t="s">
        <v>259</v>
      </c>
      <c r="X15" t="s">
        <v>260</v>
      </c>
      <c r="Y15" t="s">
        <v>261</v>
      </c>
      <c r="Z15">
        <v>5.2</v>
      </c>
      <c r="AA15">
        <v>10470</v>
      </c>
      <c r="AB15" t="s">
        <v>262</v>
      </c>
      <c r="AC15">
        <v>7</v>
      </c>
      <c r="AD15">
        <v>2015</v>
      </c>
      <c r="AE15">
        <v>27</v>
      </c>
      <c r="AF15" t="s">
        <v>263</v>
      </c>
      <c r="AG15">
        <v>-13</v>
      </c>
      <c r="AH15">
        <v>11.618257980236001</v>
      </c>
      <c r="AI15">
        <v>0.82987557001685996</v>
      </c>
      <c r="AJ15" t="s">
        <v>61</v>
      </c>
      <c r="AK15" t="s">
        <v>264</v>
      </c>
      <c r="AL15">
        <v>13</v>
      </c>
      <c r="AM15">
        <v>0</v>
      </c>
      <c r="AN15">
        <v>28</v>
      </c>
      <c r="AO15">
        <v>0</v>
      </c>
      <c r="AP15" t="s">
        <v>63</v>
      </c>
      <c r="AQ15" t="s">
        <v>63</v>
      </c>
    </row>
    <row r="16" spans="1:43" x14ac:dyDescent="0.2">
      <c r="A16">
        <v>254472</v>
      </c>
      <c r="B16" t="s">
        <v>265</v>
      </c>
      <c r="C16">
        <v>5.3049999999999997</v>
      </c>
      <c r="D16">
        <v>203</v>
      </c>
      <c r="E16" t="s">
        <v>44</v>
      </c>
      <c r="F16" s="1">
        <v>42188</v>
      </c>
      <c r="G16">
        <v>71085</v>
      </c>
      <c r="H16">
        <v>87</v>
      </c>
      <c r="I16">
        <v>2500000</v>
      </c>
      <c r="J16" t="s">
        <v>266</v>
      </c>
      <c r="K16" t="s">
        <v>46</v>
      </c>
      <c r="L16" t="s">
        <v>265</v>
      </c>
      <c r="M16" t="s">
        <v>267</v>
      </c>
      <c r="N16">
        <v>3.8795000000000002</v>
      </c>
      <c r="O16" t="s">
        <v>268</v>
      </c>
      <c r="P16" t="s">
        <v>269</v>
      </c>
      <c r="Q16" t="s">
        <v>270</v>
      </c>
      <c r="R16" t="s">
        <v>271</v>
      </c>
      <c r="S16" t="s">
        <v>52</v>
      </c>
      <c r="T16" t="s">
        <v>272</v>
      </c>
      <c r="U16" t="s">
        <v>273</v>
      </c>
      <c r="V16" t="s">
        <v>274</v>
      </c>
      <c r="W16" t="s">
        <v>275</v>
      </c>
      <c r="X16" t="s">
        <v>276</v>
      </c>
      <c r="Y16" t="s">
        <v>277</v>
      </c>
      <c r="Z16">
        <v>5.0999999999999996</v>
      </c>
      <c r="AA16">
        <v>5468</v>
      </c>
      <c r="AB16" t="s">
        <v>278</v>
      </c>
      <c r="AC16">
        <v>7</v>
      </c>
      <c r="AD16">
        <v>2015</v>
      </c>
      <c r="AE16">
        <v>27</v>
      </c>
      <c r="AF16" t="s">
        <v>279</v>
      </c>
      <c r="AG16">
        <v>-11</v>
      </c>
      <c r="AH16">
        <v>11.1716456906363</v>
      </c>
      <c r="AI16">
        <v>0.93097047421969303</v>
      </c>
      <c r="AJ16" t="s">
        <v>61</v>
      </c>
      <c r="AK16" t="s">
        <v>280</v>
      </c>
      <c r="AL16">
        <v>6</v>
      </c>
      <c r="AM16">
        <v>0</v>
      </c>
      <c r="AN16">
        <v>24</v>
      </c>
      <c r="AO16">
        <v>0</v>
      </c>
      <c r="AP16" t="s">
        <v>63</v>
      </c>
      <c r="AQ16" t="s">
        <v>63</v>
      </c>
    </row>
    <row r="17" spans="1:43" x14ac:dyDescent="0.2">
      <c r="A17">
        <v>309242</v>
      </c>
      <c r="B17" t="s">
        <v>281</v>
      </c>
      <c r="C17">
        <v>6</v>
      </c>
      <c r="D17">
        <v>538</v>
      </c>
      <c r="E17" t="s">
        <v>44</v>
      </c>
      <c r="F17" s="1">
        <v>42189</v>
      </c>
      <c r="G17">
        <v>130541</v>
      </c>
      <c r="H17">
        <v>108</v>
      </c>
      <c r="I17">
        <v>7100000</v>
      </c>
      <c r="J17" t="s">
        <v>282</v>
      </c>
      <c r="K17" t="s">
        <v>46</v>
      </c>
      <c r="L17" t="s">
        <v>281</v>
      </c>
      <c r="M17" t="s">
        <v>283</v>
      </c>
      <c r="N17">
        <v>1.4827999999999999</v>
      </c>
      <c r="O17" t="s">
        <v>284</v>
      </c>
      <c r="P17" t="s">
        <v>285</v>
      </c>
      <c r="Q17" t="s">
        <v>286</v>
      </c>
      <c r="R17" t="s">
        <v>51</v>
      </c>
      <c r="S17" t="s">
        <v>52</v>
      </c>
      <c r="T17" t="s">
        <v>287</v>
      </c>
      <c r="U17" t="s">
        <v>288</v>
      </c>
      <c r="V17" t="s">
        <v>289</v>
      </c>
      <c r="W17" t="s">
        <v>288</v>
      </c>
      <c r="X17" t="s">
        <v>290</v>
      </c>
      <c r="Y17" t="s">
        <v>291</v>
      </c>
      <c r="Z17">
        <v>6.4</v>
      </c>
      <c r="AA17">
        <v>27317</v>
      </c>
      <c r="AB17" t="s">
        <v>292</v>
      </c>
      <c r="AC17">
        <v>7</v>
      </c>
      <c r="AD17">
        <v>2015</v>
      </c>
      <c r="AE17">
        <v>27</v>
      </c>
      <c r="AF17" t="s">
        <v>293</v>
      </c>
      <c r="AG17">
        <v>-10</v>
      </c>
      <c r="AH17">
        <v>11.7794502930462</v>
      </c>
      <c r="AI17">
        <v>1.07085911754965</v>
      </c>
      <c r="AJ17" t="s">
        <v>61</v>
      </c>
      <c r="AK17" t="s">
        <v>294</v>
      </c>
      <c r="AL17">
        <v>5</v>
      </c>
      <c r="AM17">
        <v>1</v>
      </c>
      <c r="AN17">
        <v>32</v>
      </c>
      <c r="AO17">
        <v>0.03</v>
      </c>
      <c r="AP17" t="s">
        <v>63</v>
      </c>
      <c r="AQ17" t="s">
        <v>63</v>
      </c>
    </row>
    <row r="18" spans="1:43" x14ac:dyDescent="0.2">
      <c r="A18">
        <v>310133</v>
      </c>
      <c r="B18" t="s">
        <v>295</v>
      </c>
      <c r="C18">
        <v>6</v>
      </c>
      <c r="D18">
        <v>889</v>
      </c>
      <c r="E18" t="s">
        <v>44</v>
      </c>
      <c r="F18" s="1">
        <v>42193</v>
      </c>
      <c r="G18">
        <v>143658</v>
      </c>
      <c r="H18">
        <v>88</v>
      </c>
      <c r="I18">
        <v>800000</v>
      </c>
      <c r="J18" t="s">
        <v>296</v>
      </c>
      <c r="K18" t="s">
        <v>46</v>
      </c>
      <c r="L18" t="s">
        <v>295</v>
      </c>
      <c r="M18" t="s">
        <v>297</v>
      </c>
      <c r="N18">
        <v>1.879</v>
      </c>
      <c r="O18" t="s">
        <v>298</v>
      </c>
      <c r="P18" t="s">
        <v>299</v>
      </c>
      <c r="Q18" t="s">
        <v>300</v>
      </c>
      <c r="R18" t="s">
        <v>51</v>
      </c>
      <c r="S18" t="s">
        <v>52</v>
      </c>
      <c r="T18" t="s">
        <v>301</v>
      </c>
      <c r="U18" t="s">
        <v>302</v>
      </c>
      <c r="V18" t="s">
        <v>303</v>
      </c>
      <c r="W18" t="s">
        <v>304</v>
      </c>
      <c r="X18" t="s">
        <v>305</v>
      </c>
      <c r="Y18" t="s">
        <v>306</v>
      </c>
      <c r="Z18">
        <v>6.3</v>
      </c>
      <c r="AA18">
        <v>36385</v>
      </c>
      <c r="AB18" t="s">
        <v>307</v>
      </c>
      <c r="AC18">
        <v>7</v>
      </c>
      <c r="AD18">
        <v>2015</v>
      </c>
      <c r="AE18">
        <v>28</v>
      </c>
      <c r="AF18" t="s">
        <v>308</v>
      </c>
      <c r="AG18">
        <v>-6</v>
      </c>
      <c r="AH18">
        <v>11.875197714724701</v>
      </c>
      <c r="AI18">
        <v>1.69645681638924</v>
      </c>
      <c r="AJ18" t="s">
        <v>61</v>
      </c>
      <c r="AK18" t="s">
        <v>309</v>
      </c>
      <c r="AL18">
        <v>4</v>
      </c>
      <c r="AM18">
        <v>1</v>
      </c>
      <c r="AN18">
        <v>36</v>
      </c>
      <c r="AO18">
        <v>0.03</v>
      </c>
      <c r="AP18" t="s">
        <v>63</v>
      </c>
      <c r="AQ18" t="s">
        <v>63</v>
      </c>
    </row>
    <row r="19" spans="1:43" x14ac:dyDescent="0.2">
      <c r="A19">
        <v>238615</v>
      </c>
      <c r="B19" t="s">
        <v>310</v>
      </c>
      <c r="C19">
        <v>6.4</v>
      </c>
      <c r="D19">
        <v>3204</v>
      </c>
      <c r="E19" t="s">
        <v>44</v>
      </c>
      <c r="F19" s="1">
        <v>42195</v>
      </c>
      <c r="G19">
        <v>31807156</v>
      </c>
      <c r="H19">
        <v>117</v>
      </c>
      <c r="I19">
        <v>26000000</v>
      </c>
      <c r="J19" t="s">
        <v>311</v>
      </c>
      <c r="K19" t="s">
        <v>46</v>
      </c>
      <c r="L19" t="s">
        <v>310</v>
      </c>
      <c r="M19" t="s">
        <v>312</v>
      </c>
      <c r="N19">
        <v>4.4831000000000003</v>
      </c>
      <c r="O19" t="s">
        <v>313</v>
      </c>
      <c r="P19" t="s">
        <v>314</v>
      </c>
      <c r="Q19" t="s">
        <v>315</v>
      </c>
      <c r="R19" t="s">
        <v>51</v>
      </c>
      <c r="S19" t="s">
        <v>52</v>
      </c>
      <c r="T19" t="s">
        <v>316</v>
      </c>
      <c r="U19" t="s">
        <v>317</v>
      </c>
      <c r="V19" t="s">
        <v>318</v>
      </c>
      <c r="W19" t="s">
        <v>319</v>
      </c>
      <c r="X19" t="s">
        <v>320</v>
      </c>
      <c r="Y19" t="s">
        <v>321</v>
      </c>
      <c r="Z19">
        <v>6.5</v>
      </c>
      <c r="AA19">
        <v>106902</v>
      </c>
      <c r="AB19" t="s">
        <v>322</v>
      </c>
      <c r="AC19">
        <v>7</v>
      </c>
      <c r="AD19">
        <v>2015</v>
      </c>
      <c r="AE19">
        <v>28</v>
      </c>
      <c r="AF19" t="s">
        <v>323</v>
      </c>
      <c r="AG19">
        <v>-4</v>
      </c>
      <c r="AH19">
        <v>17.275201885320602</v>
      </c>
      <c r="AI19">
        <v>3.4550403770641198</v>
      </c>
      <c r="AJ19" t="s">
        <v>61</v>
      </c>
      <c r="AK19" t="s">
        <v>324</v>
      </c>
      <c r="AL19">
        <v>45</v>
      </c>
      <c r="AM19">
        <v>1</v>
      </c>
      <c r="AN19">
        <v>50</v>
      </c>
      <c r="AO19">
        <v>0.02</v>
      </c>
      <c r="AP19" t="s">
        <v>63</v>
      </c>
      <c r="AQ19" t="s">
        <v>63</v>
      </c>
    </row>
    <row r="20" spans="1:43" x14ac:dyDescent="0.2">
      <c r="A20">
        <v>301875</v>
      </c>
      <c r="B20" t="s">
        <v>325</v>
      </c>
      <c r="C20">
        <v>6.1109999999999998</v>
      </c>
      <c r="D20">
        <v>1414</v>
      </c>
      <c r="E20" t="s">
        <v>44</v>
      </c>
      <c r="F20" s="1">
        <v>42200</v>
      </c>
      <c r="G20">
        <v>2084628</v>
      </c>
      <c r="H20">
        <v>102</v>
      </c>
      <c r="I20">
        <v>16000000</v>
      </c>
      <c r="J20" t="s">
        <v>326</v>
      </c>
      <c r="K20" t="s">
        <v>46</v>
      </c>
      <c r="L20" t="s">
        <v>325</v>
      </c>
      <c r="M20" t="s">
        <v>327</v>
      </c>
      <c r="N20">
        <v>2.4874999999999998</v>
      </c>
      <c r="O20" t="s">
        <v>328</v>
      </c>
      <c r="P20" t="s">
        <v>329</v>
      </c>
      <c r="Q20" t="s">
        <v>330</v>
      </c>
      <c r="R20" t="s">
        <v>331</v>
      </c>
      <c r="S20" t="s">
        <v>52</v>
      </c>
      <c r="T20" t="s">
        <v>332</v>
      </c>
      <c r="U20" t="s">
        <v>333</v>
      </c>
      <c r="V20" t="s">
        <v>334</v>
      </c>
      <c r="W20" t="s">
        <v>335</v>
      </c>
      <c r="X20" t="s">
        <v>336</v>
      </c>
      <c r="Y20" t="s">
        <v>337</v>
      </c>
      <c r="Z20">
        <v>6</v>
      </c>
      <c r="AA20">
        <v>34155</v>
      </c>
      <c r="AB20" t="s">
        <v>338</v>
      </c>
      <c r="AC20">
        <v>7</v>
      </c>
      <c r="AD20">
        <v>2015</v>
      </c>
      <c r="AE20">
        <v>29</v>
      </c>
      <c r="AF20" t="s">
        <v>339</v>
      </c>
      <c r="AG20">
        <v>1</v>
      </c>
      <c r="AH20">
        <v>14.5501014597323</v>
      </c>
      <c r="AI20">
        <v>7.2750507298661802</v>
      </c>
      <c r="AJ20" t="s">
        <v>61</v>
      </c>
      <c r="AK20" t="s">
        <v>340</v>
      </c>
      <c r="AL20">
        <v>28</v>
      </c>
      <c r="AM20">
        <v>4</v>
      </c>
      <c r="AN20">
        <v>49</v>
      </c>
      <c r="AO20">
        <v>0.08</v>
      </c>
      <c r="AP20" t="s">
        <v>63</v>
      </c>
      <c r="AQ20" t="s">
        <v>63</v>
      </c>
    </row>
    <row r="21" spans="1:43" x14ac:dyDescent="0.2">
      <c r="A21">
        <v>257344</v>
      </c>
      <c r="B21" t="s">
        <v>341</v>
      </c>
      <c r="C21">
        <v>5.8</v>
      </c>
      <c r="D21">
        <v>7809</v>
      </c>
      <c r="E21" t="s">
        <v>44</v>
      </c>
      <c r="F21" s="1">
        <v>42201</v>
      </c>
      <c r="G21">
        <v>244900000</v>
      </c>
      <c r="H21">
        <v>106</v>
      </c>
      <c r="I21">
        <v>88000000</v>
      </c>
      <c r="J21" t="s">
        <v>342</v>
      </c>
      <c r="K21" t="s">
        <v>46</v>
      </c>
      <c r="L21" t="s">
        <v>341</v>
      </c>
      <c r="M21" t="s">
        <v>343</v>
      </c>
      <c r="N21">
        <v>8.1167999999999996</v>
      </c>
      <c r="O21" t="s">
        <v>344</v>
      </c>
      <c r="P21" t="s">
        <v>345</v>
      </c>
      <c r="Q21" t="s">
        <v>346</v>
      </c>
      <c r="R21" t="s">
        <v>347</v>
      </c>
      <c r="S21" t="s">
        <v>52</v>
      </c>
      <c r="T21" t="s">
        <v>348</v>
      </c>
      <c r="U21" t="s">
        <v>349</v>
      </c>
      <c r="V21" t="s">
        <v>350</v>
      </c>
      <c r="W21" t="s">
        <v>351</v>
      </c>
      <c r="X21" t="s">
        <v>352</v>
      </c>
      <c r="Y21" t="s">
        <v>353</v>
      </c>
      <c r="Z21">
        <v>5.6</v>
      </c>
      <c r="AA21">
        <v>174796</v>
      </c>
      <c r="AB21" t="s">
        <v>354</v>
      </c>
      <c r="AC21">
        <v>7</v>
      </c>
      <c r="AD21">
        <v>2015</v>
      </c>
      <c r="AE21">
        <v>29</v>
      </c>
      <c r="AF21" t="s">
        <v>355</v>
      </c>
      <c r="AG21">
        <v>2</v>
      </c>
      <c r="AH21">
        <v>19.316360526005599</v>
      </c>
      <c r="AI21">
        <v>6.4387868420018899</v>
      </c>
      <c r="AJ21" t="s">
        <v>61</v>
      </c>
      <c r="AK21" t="s">
        <v>356</v>
      </c>
      <c r="AL21">
        <v>80</v>
      </c>
      <c r="AM21">
        <v>1</v>
      </c>
      <c r="AN21">
        <v>81</v>
      </c>
      <c r="AO21">
        <v>0.01</v>
      </c>
      <c r="AP21" t="s">
        <v>63</v>
      </c>
      <c r="AQ21" t="s">
        <v>63</v>
      </c>
    </row>
    <row r="22" spans="1:43" x14ac:dyDescent="0.2">
      <c r="A22">
        <v>271718</v>
      </c>
      <c r="B22" t="s">
        <v>357</v>
      </c>
      <c r="C22">
        <v>5.8010000000000002</v>
      </c>
      <c r="D22">
        <v>2641</v>
      </c>
      <c r="E22" t="s">
        <v>44</v>
      </c>
      <c r="F22" s="1">
        <v>42202</v>
      </c>
      <c r="G22">
        <v>140795793</v>
      </c>
      <c r="H22">
        <v>125</v>
      </c>
      <c r="I22">
        <v>35000000</v>
      </c>
      <c r="J22" t="s">
        <v>358</v>
      </c>
      <c r="K22" t="s">
        <v>46</v>
      </c>
      <c r="L22" t="s">
        <v>357</v>
      </c>
      <c r="M22" t="s">
        <v>359</v>
      </c>
      <c r="N22">
        <v>4.9226999999999999</v>
      </c>
      <c r="O22" t="s">
        <v>360</v>
      </c>
      <c r="P22" t="s">
        <v>361</v>
      </c>
      <c r="Q22" t="s">
        <v>362</v>
      </c>
      <c r="R22" t="s">
        <v>51</v>
      </c>
      <c r="S22" t="s">
        <v>52</v>
      </c>
      <c r="T22" t="s">
        <v>363</v>
      </c>
      <c r="U22" t="s">
        <v>364</v>
      </c>
      <c r="V22" t="s">
        <v>365</v>
      </c>
      <c r="W22" t="s">
        <v>366</v>
      </c>
      <c r="X22" t="s">
        <v>367</v>
      </c>
      <c r="Y22" t="s">
        <v>368</v>
      </c>
      <c r="Z22">
        <v>6.2</v>
      </c>
      <c r="AA22">
        <v>146388</v>
      </c>
      <c r="AB22" t="s">
        <v>369</v>
      </c>
      <c r="AC22">
        <v>7</v>
      </c>
      <c r="AD22">
        <v>2015</v>
      </c>
      <c r="AE22">
        <v>29</v>
      </c>
      <c r="AF22" t="s">
        <v>370</v>
      </c>
      <c r="AG22">
        <v>3</v>
      </c>
      <c r="AH22">
        <v>18.762821129082901</v>
      </c>
      <c r="AI22">
        <v>4.6907052822707298</v>
      </c>
      <c r="AJ22" t="s">
        <v>61</v>
      </c>
      <c r="AK22" t="s">
        <v>371</v>
      </c>
      <c r="AL22">
        <v>53</v>
      </c>
      <c r="AM22">
        <v>1</v>
      </c>
      <c r="AN22">
        <v>62</v>
      </c>
      <c r="AO22">
        <v>0.02</v>
      </c>
      <c r="AP22" t="s">
        <v>63</v>
      </c>
      <c r="AQ22" t="s">
        <v>63</v>
      </c>
    </row>
    <row r="23" spans="1:43" x14ac:dyDescent="0.2">
      <c r="A23">
        <v>157544</v>
      </c>
      <c r="B23" t="s">
        <v>372</v>
      </c>
      <c r="C23">
        <v>5.4</v>
      </c>
      <c r="D23">
        <v>790</v>
      </c>
      <c r="E23" t="s">
        <v>44</v>
      </c>
      <c r="F23" s="1">
        <v>42208</v>
      </c>
      <c r="G23">
        <v>1784763</v>
      </c>
      <c r="H23">
        <v>91</v>
      </c>
      <c r="I23">
        <v>13000000</v>
      </c>
      <c r="J23" t="s">
        <v>373</v>
      </c>
      <c r="K23" t="s">
        <v>46</v>
      </c>
      <c r="L23" t="s">
        <v>372</v>
      </c>
      <c r="M23" t="s">
        <v>374</v>
      </c>
      <c r="N23">
        <v>3.2911999999999999</v>
      </c>
      <c r="O23" t="s">
        <v>375</v>
      </c>
      <c r="P23" t="s">
        <v>376</v>
      </c>
      <c r="Q23" t="s">
        <v>377</v>
      </c>
      <c r="R23" t="s">
        <v>51</v>
      </c>
      <c r="S23" t="s">
        <v>378</v>
      </c>
      <c r="T23" t="s">
        <v>379</v>
      </c>
      <c r="U23" t="s">
        <v>380</v>
      </c>
      <c r="V23" t="s">
        <v>381</v>
      </c>
      <c r="W23" t="s">
        <v>382</v>
      </c>
      <c r="X23" t="s">
        <v>383</v>
      </c>
      <c r="Y23" t="s">
        <v>384</v>
      </c>
      <c r="Z23">
        <v>4.7</v>
      </c>
      <c r="AA23">
        <v>19849</v>
      </c>
      <c r="AB23" t="s">
        <v>385</v>
      </c>
      <c r="AC23">
        <v>7</v>
      </c>
      <c r="AD23">
        <v>2015</v>
      </c>
      <c r="AE23">
        <v>30</v>
      </c>
      <c r="AF23" t="s">
        <v>386</v>
      </c>
      <c r="AG23">
        <v>9</v>
      </c>
      <c r="AH23">
        <v>14.3947967515698</v>
      </c>
      <c r="AI23">
        <v>1.4394796751569801</v>
      </c>
      <c r="AJ23" t="s">
        <v>61</v>
      </c>
      <c r="AK23" t="s">
        <v>387</v>
      </c>
      <c r="AL23">
        <v>35</v>
      </c>
      <c r="AM23">
        <v>0</v>
      </c>
      <c r="AN23">
        <v>42</v>
      </c>
      <c r="AO23">
        <v>0</v>
      </c>
      <c r="AP23" t="s">
        <v>63</v>
      </c>
      <c r="AQ23" t="s">
        <v>63</v>
      </c>
    </row>
    <row r="24" spans="1:43" x14ac:dyDescent="0.2">
      <c r="A24">
        <v>177677</v>
      </c>
      <c r="B24" t="s">
        <v>388</v>
      </c>
      <c r="C24">
        <v>7.2</v>
      </c>
      <c r="D24">
        <v>9369</v>
      </c>
      <c r="E24" t="s">
        <v>44</v>
      </c>
      <c r="F24" s="1">
        <v>42213</v>
      </c>
      <c r="G24">
        <v>682716636</v>
      </c>
      <c r="H24">
        <v>131</v>
      </c>
      <c r="I24">
        <v>150000000</v>
      </c>
      <c r="J24" t="s">
        <v>389</v>
      </c>
      <c r="K24" t="s">
        <v>46</v>
      </c>
      <c r="L24" t="s">
        <v>388</v>
      </c>
      <c r="M24" t="s">
        <v>390</v>
      </c>
      <c r="N24">
        <v>6.2896999999999998</v>
      </c>
      <c r="O24" t="s">
        <v>391</v>
      </c>
      <c r="P24" t="s">
        <v>392</v>
      </c>
      <c r="Q24" t="s">
        <v>393</v>
      </c>
      <c r="R24" t="s">
        <v>51</v>
      </c>
      <c r="S24" t="s">
        <v>394</v>
      </c>
      <c r="T24" t="s">
        <v>395</v>
      </c>
      <c r="U24" t="s">
        <v>396</v>
      </c>
      <c r="V24" t="s">
        <v>397</v>
      </c>
      <c r="W24" t="s">
        <v>398</v>
      </c>
      <c r="X24" t="s">
        <v>399</v>
      </c>
      <c r="Y24" t="s">
        <v>400</v>
      </c>
      <c r="Z24">
        <v>7.4</v>
      </c>
      <c r="AA24">
        <v>439503</v>
      </c>
      <c r="AB24" t="s">
        <v>401</v>
      </c>
      <c r="AC24">
        <v>7</v>
      </c>
      <c r="AD24">
        <v>2015</v>
      </c>
      <c r="AE24">
        <v>31</v>
      </c>
      <c r="AF24" t="s">
        <v>402</v>
      </c>
      <c r="AG24">
        <v>14</v>
      </c>
      <c r="AH24">
        <v>20.341590451507098</v>
      </c>
      <c r="AI24">
        <v>1.3561060301004699</v>
      </c>
      <c r="AJ24" t="s">
        <v>61</v>
      </c>
      <c r="AK24" t="s">
        <v>403</v>
      </c>
      <c r="AL24">
        <v>74</v>
      </c>
      <c r="AM24">
        <v>2</v>
      </c>
      <c r="AN24">
        <v>89</v>
      </c>
      <c r="AO24">
        <v>0.02</v>
      </c>
      <c r="AP24" t="s">
        <v>63</v>
      </c>
      <c r="AQ24" t="s">
        <v>63</v>
      </c>
    </row>
    <row r="25" spans="1:43" x14ac:dyDescent="0.2">
      <c r="A25">
        <v>296099</v>
      </c>
      <c r="B25" t="s">
        <v>404</v>
      </c>
      <c r="C25">
        <v>6.3040000000000003</v>
      </c>
      <c r="D25">
        <v>3857</v>
      </c>
      <c r="E25" t="s">
        <v>44</v>
      </c>
      <c r="F25" s="1">
        <v>42213</v>
      </c>
      <c r="G25">
        <v>104400000</v>
      </c>
      <c r="H25">
        <v>99</v>
      </c>
      <c r="I25">
        <v>31000000</v>
      </c>
      <c r="J25" t="s">
        <v>405</v>
      </c>
      <c r="K25" t="s">
        <v>46</v>
      </c>
      <c r="L25" t="s">
        <v>404</v>
      </c>
      <c r="M25" t="s">
        <v>406</v>
      </c>
      <c r="N25">
        <v>5.3060999999999998</v>
      </c>
      <c r="O25" t="s">
        <v>407</v>
      </c>
      <c r="P25" t="s">
        <v>408</v>
      </c>
      <c r="Q25" t="s">
        <v>409</v>
      </c>
      <c r="R25" t="s">
        <v>51</v>
      </c>
      <c r="S25" t="s">
        <v>52</v>
      </c>
      <c r="T25" t="s">
        <v>410</v>
      </c>
      <c r="U25" t="s">
        <v>411</v>
      </c>
      <c r="V25" t="s">
        <v>412</v>
      </c>
      <c r="W25" t="s">
        <v>413</v>
      </c>
      <c r="X25" t="s">
        <v>414</v>
      </c>
      <c r="Y25" t="s">
        <v>415</v>
      </c>
      <c r="Z25">
        <v>6.2</v>
      </c>
      <c r="AA25">
        <v>129684</v>
      </c>
      <c r="AB25" t="s">
        <v>416</v>
      </c>
      <c r="AC25">
        <v>7</v>
      </c>
      <c r="AD25">
        <v>2015</v>
      </c>
      <c r="AE25">
        <v>31</v>
      </c>
      <c r="AF25" t="s">
        <v>417</v>
      </c>
      <c r="AG25">
        <v>14</v>
      </c>
      <c r="AH25">
        <v>18.4637402429913</v>
      </c>
      <c r="AI25">
        <v>1.2309160161994199</v>
      </c>
      <c r="AJ25" t="s">
        <v>61</v>
      </c>
      <c r="AK25" t="s">
        <v>418</v>
      </c>
      <c r="AL25">
        <v>73</v>
      </c>
      <c r="AM25">
        <v>1</v>
      </c>
      <c r="AN25">
        <v>76</v>
      </c>
      <c r="AO25">
        <v>0.01</v>
      </c>
      <c r="AP25" t="s">
        <v>63</v>
      </c>
      <c r="AQ25" t="s">
        <v>63</v>
      </c>
    </row>
    <row r="26" spans="1:43" x14ac:dyDescent="0.2">
      <c r="A26">
        <v>309809</v>
      </c>
      <c r="B26" t="s">
        <v>419</v>
      </c>
      <c r="C26">
        <v>7.6130000000000004</v>
      </c>
      <c r="D26">
        <v>2878</v>
      </c>
      <c r="E26" t="s">
        <v>44</v>
      </c>
      <c r="F26" s="1">
        <v>42214</v>
      </c>
      <c r="G26">
        <v>97571250</v>
      </c>
      <c r="H26">
        <v>108</v>
      </c>
      <c r="I26">
        <v>64000000</v>
      </c>
      <c r="J26" t="s">
        <v>420</v>
      </c>
      <c r="K26" t="s">
        <v>46</v>
      </c>
      <c r="L26" t="s">
        <v>419</v>
      </c>
      <c r="M26" t="s">
        <v>421</v>
      </c>
      <c r="N26">
        <v>7.3804999999999996</v>
      </c>
      <c r="O26" t="s">
        <v>422</v>
      </c>
      <c r="P26" t="s">
        <v>423</v>
      </c>
      <c r="Q26" t="s">
        <v>424</v>
      </c>
      <c r="R26" t="s">
        <v>425</v>
      </c>
      <c r="S26" t="s">
        <v>52</v>
      </c>
      <c r="T26" t="s">
        <v>426</v>
      </c>
      <c r="U26" t="s">
        <v>427</v>
      </c>
      <c r="V26" t="s">
        <v>428</v>
      </c>
      <c r="W26" t="s">
        <v>429</v>
      </c>
      <c r="X26" t="s">
        <v>430</v>
      </c>
      <c r="Y26" t="s">
        <v>431</v>
      </c>
      <c r="Z26">
        <v>7.6</v>
      </c>
      <c r="AA26">
        <v>70261</v>
      </c>
      <c r="AB26" t="s">
        <v>432</v>
      </c>
      <c r="AC26">
        <v>7</v>
      </c>
      <c r="AD26">
        <v>2015</v>
      </c>
      <c r="AE26">
        <v>31</v>
      </c>
      <c r="AF26" t="s">
        <v>433</v>
      </c>
      <c r="AG26">
        <v>15</v>
      </c>
      <c r="AH26">
        <v>18.3960934485659</v>
      </c>
      <c r="AI26">
        <v>1.1497558405353701</v>
      </c>
      <c r="AJ26" t="s">
        <v>61</v>
      </c>
      <c r="AK26" t="s">
        <v>434</v>
      </c>
      <c r="AL26">
        <v>49</v>
      </c>
      <c r="AM26">
        <v>1</v>
      </c>
      <c r="AN26">
        <v>77</v>
      </c>
      <c r="AO26">
        <v>0.01</v>
      </c>
      <c r="AP26" t="s">
        <v>63</v>
      </c>
      <c r="AQ26" t="s">
        <v>63</v>
      </c>
    </row>
    <row r="27" spans="1:43" hidden="1" x14ac:dyDescent="0.2">
      <c r="A27">
        <v>352173</v>
      </c>
      <c r="B27" t="s">
        <v>435</v>
      </c>
      <c r="C27">
        <v>7.6</v>
      </c>
      <c r="D27">
        <v>429</v>
      </c>
      <c r="E27" t="s">
        <v>44</v>
      </c>
      <c r="F27" s="1">
        <v>42215</v>
      </c>
      <c r="G27">
        <v>18000000</v>
      </c>
      <c r="H27">
        <v>163</v>
      </c>
      <c r="I27">
        <v>4600000</v>
      </c>
      <c r="J27" t="s">
        <v>436</v>
      </c>
      <c r="K27" t="s">
        <v>437</v>
      </c>
      <c r="L27" t="s">
        <v>438</v>
      </c>
      <c r="M27" t="s">
        <v>439</v>
      </c>
      <c r="N27">
        <v>2.2176999999999998</v>
      </c>
      <c r="O27" t="s">
        <v>440</v>
      </c>
      <c r="P27" t="s">
        <v>441</v>
      </c>
      <c r="Q27" t="s">
        <v>442</v>
      </c>
      <c r="R27" t="s">
        <v>443</v>
      </c>
      <c r="S27" t="s">
        <v>444</v>
      </c>
      <c r="T27" t="s">
        <v>445</v>
      </c>
      <c r="U27" t="s">
        <v>446</v>
      </c>
      <c r="V27" t="s">
        <v>447</v>
      </c>
      <c r="W27" t="s">
        <v>448</v>
      </c>
      <c r="X27" t="s">
        <v>449</v>
      </c>
      <c r="Y27" t="s">
        <v>450</v>
      </c>
      <c r="Z27">
        <v>8.1999999999999993</v>
      </c>
      <c r="AA27">
        <v>105165</v>
      </c>
      <c r="AB27" t="s">
        <v>451</v>
      </c>
      <c r="AC27">
        <v>7</v>
      </c>
      <c r="AD27">
        <v>2015</v>
      </c>
      <c r="AE27">
        <v>31</v>
      </c>
      <c r="AF27" t="s">
        <v>452</v>
      </c>
      <c r="AG27">
        <v>16</v>
      </c>
      <c r="AH27">
        <v>16.7058823714159</v>
      </c>
      <c r="AI27">
        <v>0.98269896302447002</v>
      </c>
      <c r="AJ27" t="s">
        <v>61</v>
      </c>
      <c r="AK27" t="s">
        <v>453</v>
      </c>
      <c r="AL27">
        <v>8</v>
      </c>
      <c r="AM27">
        <v>11</v>
      </c>
      <c r="AN27">
        <v>20</v>
      </c>
      <c r="AO27">
        <v>0.55000000000000004</v>
      </c>
      <c r="AP27" t="s">
        <v>454</v>
      </c>
      <c r="AQ27" t="s">
        <v>63</v>
      </c>
    </row>
    <row r="28" spans="1:43" x14ac:dyDescent="0.2">
      <c r="A28">
        <v>328425</v>
      </c>
      <c r="B28" t="s">
        <v>455</v>
      </c>
      <c r="C28">
        <v>6.7</v>
      </c>
      <c r="D28">
        <v>3366</v>
      </c>
      <c r="E28" t="s">
        <v>44</v>
      </c>
      <c r="F28" s="1">
        <v>42216</v>
      </c>
      <c r="G28">
        <v>58978653</v>
      </c>
      <c r="H28">
        <v>108</v>
      </c>
      <c r="I28">
        <v>5000000</v>
      </c>
      <c r="J28" t="s">
        <v>456</v>
      </c>
      <c r="K28" t="s">
        <v>46</v>
      </c>
      <c r="L28" t="s">
        <v>455</v>
      </c>
      <c r="M28" t="s">
        <v>457</v>
      </c>
      <c r="N28">
        <v>2.7425000000000002</v>
      </c>
      <c r="O28" t="s">
        <v>458</v>
      </c>
      <c r="P28" t="s">
        <v>459</v>
      </c>
      <c r="Q28" t="s">
        <v>460</v>
      </c>
      <c r="R28" t="s">
        <v>461</v>
      </c>
      <c r="S28" t="s">
        <v>52</v>
      </c>
      <c r="T28" t="s">
        <v>462</v>
      </c>
      <c r="U28" t="s">
        <v>463</v>
      </c>
      <c r="V28" t="s">
        <v>464</v>
      </c>
      <c r="W28" t="s">
        <v>463</v>
      </c>
      <c r="X28" t="s">
        <v>465</v>
      </c>
      <c r="Y28" t="s">
        <v>466</v>
      </c>
      <c r="Z28">
        <v>7</v>
      </c>
      <c r="AA28">
        <v>182465</v>
      </c>
      <c r="AB28" t="s">
        <v>467</v>
      </c>
      <c r="AC28">
        <v>7</v>
      </c>
      <c r="AD28">
        <v>2015</v>
      </c>
      <c r="AE28">
        <v>31</v>
      </c>
      <c r="AF28" t="s">
        <v>468</v>
      </c>
      <c r="AG28">
        <v>17</v>
      </c>
      <c r="AH28">
        <v>17.8926861397956</v>
      </c>
      <c r="AI28">
        <v>0.99403811887753502</v>
      </c>
      <c r="AJ28" t="s">
        <v>61</v>
      </c>
      <c r="AK28" t="s">
        <v>469</v>
      </c>
      <c r="AL28">
        <v>41</v>
      </c>
      <c r="AM28">
        <v>2</v>
      </c>
      <c r="AN28">
        <v>55</v>
      </c>
      <c r="AO28">
        <v>0.04</v>
      </c>
      <c r="AP28" t="s">
        <v>63</v>
      </c>
      <c r="AQ28" t="s">
        <v>63</v>
      </c>
    </row>
    <row r="29" spans="1:43" x14ac:dyDescent="0.2">
      <c r="A29">
        <v>166424</v>
      </c>
      <c r="B29" t="s">
        <v>470</v>
      </c>
      <c r="C29">
        <v>4.4000000000000004</v>
      </c>
      <c r="D29">
        <v>6255</v>
      </c>
      <c r="E29" t="s">
        <v>44</v>
      </c>
      <c r="F29" s="1">
        <v>42221</v>
      </c>
      <c r="G29">
        <v>167977596</v>
      </c>
      <c r="H29">
        <v>100</v>
      </c>
      <c r="I29">
        <v>120000000</v>
      </c>
      <c r="J29" t="s">
        <v>471</v>
      </c>
      <c r="K29" t="s">
        <v>46</v>
      </c>
      <c r="L29" t="s">
        <v>470</v>
      </c>
      <c r="M29" t="s">
        <v>472</v>
      </c>
      <c r="N29">
        <v>4.0811000000000002</v>
      </c>
      <c r="O29" t="s">
        <v>473</v>
      </c>
      <c r="P29" t="s">
        <v>474</v>
      </c>
      <c r="Q29" t="s">
        <v>475</v>
      </c>
      <c r="R29" t="s">
        <v>476</v>
      </c>
      <c r="S29" t="s">
        <v>52</v>
      </c>
      <c r="T29" t="s">
        <v>477</v>
      </c>
      <c r="U29" t="s">
        <v>478</v>
      </c>
      <c r="V29" t="s">
        <v>479</v>
      </c>
      <c r="W29" t="s">
        <v>480</v>
      </c>
      <c r="X29" t="s">
        <v>481</v>
      </c>
      <c r="Y29" t="s">
        <v>482</v>
      </c>
      <c r="Z29">
        <v>4.3</v>
      </c>
      <c r="AA29">
        <v>189951</v>
      </c>
      <c r="AB29" t="s">
        <v>483</v>
      </c>
      <c r="AC29">
        <v>8</v>
      </c>
      <c r="AD29">
        <v>2015</v>
      </c>
      <c r="AE29">
        <v>32</v>
      </c>
      <c r="AF29" t="s">
        <v>484</v>
      </c>
      <c r="AG29">
        <v>22</v>
      </c>
      <c r="AH29">
        <v>18.939341177285002</v>
      </c>
      <c r="AI29">
        <v>0.82344961640369496</v>
      </c>
      <c r="AJ29" t="s">
        <v>61</v>
      </c>
      <c r="AK29" t="s">
        <v>485</v>
      </c>
      <c r="AL29">
        <v>76</v>
      </c>
      <c r="AM29">
        <v>0</v>
      </c>
      <c r="AN29">
        <v>80</v>
      </c>
      <c r="AO29">
        <v>0</v>
      </c>
      <c r="AP29" t="s">
        <v>63</v>
      </c>
      <c r="AQ29" t="s">
        <v>63</v>
      </c>
    </row>
    <row r="30" spans="1:43" x14ac:dyDescent="0.2">
      <c r="A30">
        <v>257445</v>
      </c>
      <c r="B30" t="s">
        <v>486</v>
      </c>
      <c r="C30">
        <v>6.3</v>
      </c>
      <c r="D30">
        <v>3893</v>
      </c>
      <c r="E30" t="s">
        <v>44</v>
      </c>
      <c r="F30" s="1">
        <v>42221</v>
      </c>
      <c r="G30">
        <v>158261424</v>
      </c>
      <c r="H30">
        <v>103</v>
      </c>
      <c r="I30">
        <v>58000000</v>
      </c>
      <c r="J30" t="s">
        <v>487</v>
      </c>
      <c r="K30" t="s">
        <v>46</v>
      </c>
      <c r="L30" t="s">
        <v>486</v>
      </c>
      <c r="M30" t="s">
        <v>488</v>
      </c>
      <c r="N30">
        <v>4.6242999999999999</v>
      </c>
      <c r="O30" t="s">
        <v>489</v>
      </c>
      <c r="P30" t="s">
        <v>490</v>
      </c>
      <c r="Q30" t="s">
        <v>491</v>
      </c>
      <c r="R30" t="s">
        <v>492</v>
      </c>
      <c r="S30" t="s">
        <v>52</v>
      </c>
      <c r="T30" t="s">
        <v>493</v>
      </c>
      <c r="U30" t="s">
        <v>494</v>
      </c>
      <c r="V30" t="s">
        <v>495</v>
      </c>
      <c r="W30" t="s">
        <v>496</v>
      </c>
      <c r="X30" t="s">
        <v>497</v>
      </c>
      <c r="Y30" t="s">
        <v>498</v>
      </c>
      <c r="Z30">
        <v>6.3</v>
      </c>
      <c r="AA30">
        <v>100964</v>
      </c>
      <c r="AB30" t="s">
        <v>499</v>
      </c>
      <c r="AC30">
        <v>8</v>
      </c>
      <c r="AD30">
        <v>2015</v>
      </c>
      <c r="AE30">
        <v>32</v>
      </c>
      <c r="AF30" t="s">
        <v>500</v>
      </c>
      <c r="AG30">
        <v>22</v>
      </c>
      <c r="AH30">
        <v>18.879758812275099</v>
      </c>
      <c r="AI30">
        <v>0.82085907879457098</v>
      </c>
      <c r="AJ30" t="s">
        <v>61</v>
      </c>
      <c r="AK30" t="s">
        <v>501</v>
      </c>
      <c r="AL30">
        <v>77</v>
      </c>
      <c r="AM30">
        <v>1</v>
      </c>
      <c r="AN30">
        <v>87</v>
      </c>
      <c r="AO30">
        <v>0.01</v>
      </c>
      <c r="AP30" t="s">
        <v>63</v>
      </c>
      <c r="AQ30" t="s">
        <v>63</v>
      </c>
    </row>
    <row r="31" spans="1:43" x14ac:dyDescent="0.2">
      <c r="A31">
        <v>346646</v>
      </c>
      <c r="B31" t="s">
        <v>502</v>
      </c>
      <c r="C31">
        <v>6.9</v>
      </c>
      <c r="D31">
        <v>228</v>
      </c>
      <c r="E31" t="s">
        <v>44</v>
      </c>
      <c r="F31" s="1">
        <v>42221</v>
      </c>
      <c r="G31">
        <v>87970000</v>
      </c>
      <c r="H31">
        <v>123</v>
      </c>
      <c r="I31">
        <v>7528230</v>
      </c>
      <c r="J31" t="s">
        <v>503</v>
      </c>
      <c r="K31" t="s">
        <v>504</v>
      </c>
      <c r="L31" t="s">
        <v>505</v>
      </c>
      <c r="M31" t="s">
        <v>506</v>
      </c>
      <c r="N31">
        <v>3.2214</v>
      </c>
      <c r="O31" t="s">
        <v>507</v>
      </c>
      <c r="P31" t="s">
        <v>508</v>
      </c>
      <c r="Q31" t="s">
        <v>509</v>
      </c>
      <c r="R31" t="s">
        <v>510</v>
      </c>
      <c r="S31" t="s">
        <v>511</v>
      </c>
      <c r="T31" t="s">
        <v>512</v>
      </c>
      <c r="U31" t="s">
        <v>513</v>
      </c>
      <c r="V31" t="s">
        <v>514</v>
      </c>
      <c r="W31" t="s">
        <v>513</v>
      </c>
      <c r="X31" t="s">
        <v>515</v>
      </c>
      <c r="Y31" t="s">
        <v>516</v>
      </c>
      <c r="Z31">
        <v>7</v>
      </c>
      <c r="AA31">
        <v>9011</v>
      </c>
      <c r="AB31" t="s">
        <v>517</v>
      </c>
      <c r="AC31">
        <v>8</v>
      </c>
      <c r="AD31">
        <v>2015</v>
      </c>
      <c r="AE31">
        <v>32</v>
      </c>
      <c r="AF31" t="s">
        <v>518</v>
      </c>
      <c r="AG31">
        <v>22</v>
      </c>
      <c r="AH31">
        <v>18.2925064165963</v>
      </c>
      <c r="AI31">
        <v>0.79532636593897199</v>
      </c>
      <c r="AJ31" t="s">
        <v>61</v>
      </c>
      <c r="AK31" t="s">
        <v>519</v>
      </c>
      <c r="AL31">
        <v>6</v>
      </c>
      <c r="AM31">
        <v>3</v>
      </c>
      <c r="AN31">
        <v>23</v>
      </c>
      <c r="AO31">
        <v>0.13</v>
      </c>
      <c r="AP31" t="s">
        <v>63</v>
      </c>
      <c r="AQ31" t="s">
        <v>63</v>
      </c>
    </row>
    <row r="32" spans="1:43" x14ac:dyDescent="0.2">
      <c r="A32">
        <v>293646</v>
      </c>
      <c r="B32" t="s">
        <v>520</v>
      </c>
      <c r="C32">
        <v>6.4</v>
      </c>
      <c r="D32">
        <v>955</v>
      </c>
      <c r="E32" t="s">
        <v>44</v>
      </c>
      <c r="F32" s="1">
        <v>42222</v>
      </c>
      <c r="G32">
        <v>27972023</v>
      </c>
      <c r="H32">
        <v>120</v>
      </c>
      <c r="I32">
        <v>25000000</v>
      </c>
      <c r="J32" t="s">
        <v>521</v>
      </c>
      <c r="K32" t="s">
        <v>46</v>
      </c>
      <c r="L32" t="s">
        <v>520</v>
      </c>
      <c r="M32" t="s">
        <v>522</v>
      </c>
      <c r="N32">
        <v>3.1484999999999999</v>
      </c>
      <c r="O32" t="s">
        <v>523</v>
      </c>
      <c r="P32" t="s">
        <v>189</v>
      </c>
      <c r="Q32" t="s">
        <v>524</v>
      </c>
      <c r="R32" t="s">
        <v>51</v>
      </c>
      <c r="S32" t="s">
        <v>239</v>
      </c>
      <c r="T32" t="s">
        <v>525</v>
      </c>
      <c r="U32" t="s">
        <v>526</v>
      </c>
      <c r="V32" t="s">
        <v>527</v>
      </c>
      <c r="W32" t="s">
        <v>528</v>
      </c>
      <c r="X32" t="s">
        <v>529</v>
      </c>
      <c r="Y32" t="s">
        <v>530</v>
      </c>
      <c r="Z32">
        <v>6.9</v>
      </c>
      <c r="AA32">
        <v>41252</v>
      </c>
      <c r="AB32" t="s">
        <v>531</v>
      </c>
      <c r="AC32">
        <v>8</v>
      </c>
      <c r="AD32">
        <v>2015</v>
      </c>
      <c r="AE32">
        <v>32</v>
      </c>
      <c r="AF32" t="s">
        <v>532</v>
      </c>
      <c r="AG32">
        <v>23</v>
      </c>
      <c r="AH32">
        <v>17.146715425806299</v>
      </c>
      <c r="AI32">
        <v>0.71444647607526601</v>
      </c>
      <c r="AJ32" t="s">
        <v>61</v>
      </c>
      <c r="AK32" t="s">
        <v>533</v>
      </c>
      <c r="AL32">
        <v>28</v>
      </c>
      <c r="AM32">
        <v>0</v>
      </c>
      <c r="AN32">
        <v>46</v>
      </c>
      <c r="AO32">
        <v>0</v>
      </c>
      <c r="AP32" t="s">
        <v>63</v>
      </c>
      <c r="AQ32" t="s">
        <v>63</v>
      </c>
    </row>
    <row r="33" spans="1:43" x14ac:dyDescent="0.2">
      <c r="A33">
        <v>250124</v>
      </c>
      <c r="B33" t="s">
        <v>534</v>
      </c>
      <c r="C33">
        <v>6.6</v>
      </c>
      <c r="D33">
        <v>763</v>
      </c>
      <c r="E33" t="s">
        <v>44</v>
      </c>
      <c r="F33" s="1">
        <v>42223</v>
      </c>
      <c r="G33">
        <v>1477002</v>
      </c>
      <c r="H33">
        <v>103</v>
      </c>
      <c r="I33">
        <v>2000000</v>
      </c>
      <c r="J33" t="s">
        <v>535</v>
      </c>
      <c r="K33" t="s">
        <v>46</v>
      </c>
      <c r="L33" t="s">
        <v>534</v>
      </c>
      <c r="M33" t="s">
        <v>536</v>
      </c>
      <c r="N33">
        <v>2.0286</v>
      </c>
      <c r="O33" t="s">
        <v>537</v>
      </c>
      <c r="P33" t="s">
        <v>538</v>
      </c>
      <c r="Q33" t="s">
        <v>539</v>
      </c>
      <c r="R33" t="s">
        <v>51</v>
      </c>
      <c r="S33" t="s">
        <v>540</v>
      </c>
      <c r="T33" t="s">
        <v>541</v>
      </c>
      <c r="U33" t="s">
        <v>542</v>
      </c>
      <c r="V33" t="s">
        <v>543</v>
      </c>
      <c r="W33" t="s">
        <v>544</v>
      </c>
      <c r="X33" t="s">
        <v>545</v>
      </c>
      <c r="Y33" t="s">
        <v>546</v>
      </c>
      <c r="Z33">
        <v>6.8</v>
      </c>
      <c r="AA33">
        <v>34988</v>
      </c>
      <c r="AB33" t="s">
        <v>547</v>
      </c>
      <c r="AC33">
        <v>8</v>
      </c>
      <c r="AD33">
        <v>2015</v>
      </c>
      <c r="AE33">
        <v>32</v>
      </c>
      <c r="AF33" t="s">
        <v>548</v>
      </c>
      <c r="AG33">
        <v>24</v>
      </c>
      <c r="AH33">
        <v>14.205525592655601</v>
      </c>
      <c r="AI33">
        <v>0.56822102370622596</v>
      </c>
      <c r="AJ33" t="s">
        <v>61</v>
      </c>
      <c r="AK33" t="s">
        <v>549</v>
      </c>
      <c r="AL33">
        <v>11</v>
      </c>
      <c r="AM33">
        <v>2</v>
      </c>
      <c r="AN33">
        <v>46</v>
      </c>
      <c r="AO33">
        <v>0.04</v>
      </c>
      <c r="AP33" t="s">
        <v>63</v>
      </c>
      <c r="AQ33" t="s">
        <v>63</v>
      </c>
    </row>
    <row r="34" spans="1:43" x14ac:dyDescent="0.2">
      <c r="A34">
        <v>338676</v>
      </c>
      <c r="B34" t="s">
        <v>550</v>
      </c>
      <c r="C34">
        <v>6.3</v>
      </c>
      <c r="D34">
        <v>719</v>
      </c>
      <c r="E34" t="s">
        <v>44</v>
      </c>
      <c r="F34" s="1">
        <v>42223</v>
      </c>
      <c r="G34">
        <v>2350695</v>
      </c>
      <c r="H34">
        <v>110</v>
      </c>
      <c r="I34">
        <v>7000000</v>
      </c>
      <c r="J34" t="s">
        <v>551</v>
      </c>
      <c r="K34" t="s">
        <v>46</v>
      </c>
      <c r="L34" t="s">
        <v>550</v>
      </c>
      <c r="M34" t="s">
        <v>552</v>
      </c>
      <c r="N34">
        <v>4.8531000000000004</v>
      </c>
      <c r="O34" t="s">
        <v>553</v>
      </c>
      <c r="P34" t="s">
        <v>554</v>
      </c>
      <c r="Q34" t="s">
        <v>555</v>
      </c>
      <c r="R34" t="s">
        <v>556</v>
      </c>
      <c r="S34" t="s">
        <v>52</v>
      </c>
      <c r="T34" t="s">
        <v>557</v>
      </c>
      <c r="U34" t="s">
        <v>558</v>
      </c>
      <c r="V34" t="s">
        <v>559</v>
      </c>
      <c r="W34" t="s">
        <v>560</v>
      </c>
      <c r="X34" t="s">
        <v>561</v>
      </c>
      <c r="Y34" t="s">
        <v>562</v>
      </c>
      <c r="Z34">
        <v>5.8</v>
      </c>
      <c r="AA34">
        <v>19245</v>
      </c>
      <c r="AB34" t="s">
        <v>563</v>
      </c>
      <c r="AC34">
        <v>8</v>
      </c>
      <c r="AD34">
        <v>2015</v>
      </c>
      <c r="AE34">
        <v>32</v>
      </c>
      <c r="AF34" t="s">
        <v>564</v>
      </c>
      <c r="AG34">
        <v>24</v>
      </c>
      <c r="AH34">
        <v>14.6702220124833</v>
      </c>
      <c r="AI34">
        <v>0.586808880499334</v>
      </c>
      <c r="AJ34" t="s">
        <v>61</v>
      </c>
      <c r="AK34" t="s">
        <v>565</v>
      </c>
      <c r="AL34">
        <v>2</v>
      </c>
      <c r="AM34">
        <v>0</v>
      </c>
      <c r="AN34">
        <v>13</v>
      </c>
      <c r="AO34">
        <v>0</v>
      </c>
      <c r="AP34" t="s">
        <v>63</v>
      </c>
      <c r="AQ34" t="s">
        <v>63</v>
      </c>
    </row>
    <row r="35" spans="1:43" x14ac:dyDescent="0.2">
      <c r="A35">
        <v>352099</v>
      </c>
      <c r="B35" t="s">
        <v>566</v>
      </c>
      <c r="C35">
        <v>5.9</v>
      </c>
      <c r="D35">
        <v>12</v>
      </c>
      <c r="E35" t="s">
        <v>44</v>
      </c>
      <c r="F35" s="1">
        <v>42223</v>
      </c>
      <c r="G35">
        <v>830000</v>
      </c>
      <c r="H35">
        <v>135</v>
      </c>
      <c r="I35">
        <v>3600000</v>
      </c>
      <c r="J35" t="s">
        <v>567</v>
      </c>
      <c r="K35" t="s">
        <v>437</v>
      </c>
      <c r="L35" t="s">
        <v>568</v>
      </c>
      <c r="M35" t="s">
        <v>569</v>
      </c>
      <c r="N35">
        <v>0.49099999999999999</v>
      </c>
      <c r="O35" t="s">
        <v>570</v>
      </c>
      <c r="P35" t="s">
        <v>285</v>
      </c>
      <c r="Q35" t="s">
        <v>571</v>
      </c>
      <c r="R35" t="s">
        <v>443</v>
      </c>
      <c r="S35" t="s">
        <v>444</v>
      </c>
      <c r="T35" t="s">
        <v>572</v>
      </c>
      <c r="U35" t="s">
        <v>573</v>
      </c>
      <c r="V35" t="s">
        <v>574</v>
      </c>
      <c r="W35" t="s">
        <v>575</v>
      </c>
      <c r="X35" t="s">
        <v>576</v>
      </c>
      <c r="Y35" t="s">
        <v>577</v>
      </c>
      <c r="Z35">
        <v>4.5</v>
      </c>
      <c r="AA35">
        <v>1493</v>
      </c>
      <c r="AB35" t="s">
        <v>578</v>
      </c>
      <c r="AC35">
        <v>8</v>
      </c>
      <c r="AD35">
        <v>2015</v>
      </c>
      <c r="AE35">
        <v>32</v>
      </c>
      <c r="AF35" t="s">
        <v>579</v>
      </c>
      <c r="AG35">
        <v>24</v>
      </c>
      <c r="AH35">
        <v>13.629182184591301</v>
      </c>
      <c r="AI35">
        <v>0.54516728738365305</v>
      </c>
      <c r="AJ35" t="s">
        <v>61</v>
      </c>
      <c r="AK35" t="s">
        <v>580</v>
      </c>
      <c r="AL35">
        <v>3</v>
      </c>
      <c r="AM35">
        <v>1</v>
      </c>
      <c r="AN35">
        <v>5</v>
      </c>
      <c r="AO35">
        <v>0.2</v>
      </c>
      <c r="AP35" t="s">
        <v>63</v>
      </c>
      <c r="AQ35" t="s">
        <v>63</v>
      </c>
    </row>
    <row r="36" spans="1:43" x14ac:dyDescent="0.2">
      <c r="A36">
        <v>277216</v>
      </c>
      <c r="B36" t="s">
        <v>581</v>
      </c>
      <c r="C36">
        <v>7.7830000000000004</v>
      </c>
      <c r="D36">
        <v>4063</v>
      </c>
      <c r="E36" t="s">
        <v>44</v>
      </c>
      <c r="F36" s="1">
        <v>42227</v>
      </c>
      <c r="G36">
        <v>201634991</v>
      </c>
      <c r="H36">
        <v>147</v>
      </c>
      <c r="I36">
        <v>28000000</v>
      </c>
      <c r="J36" t="s">
        <v>582</v>
      </c>
      <c r="K36" t="s">
        <v>46</v>
      </c>
      <c r="L36" t="s">
        <v>581</v>
      </c>
      <c r="M36" t="s">
        <v>583</v>
      </c>
      <c r="N36">
        <v>5.7050999999999998</v>
      </c>
      <c r="O36" t="s">
        <v>584</v>
      </c>
      <c r="P36" t="s">
        <v>585</v>
      </c>
      <c r="Q36" t="s">
        <v>586</v>
      </c>
      <c r="R36" t="s">
        <v>145</v>
      </c>
      <c r="S36" t="s">
        <v>52</v>
      </c>
      <c r="T36" t="s">
        <v>587</v>
      </c>
      <c r="U36" t="s">
        <v>588</v>
      </c>
      <c r="V36" t="s">
        <v>589</v>
      </c>
      <c r="W36" t="s">
        <v>590</v>
      </c>
      <c r="X36" t="s">
        <v>591</v>
      </c>
      <c r="Y36" t="s">
        <v>592</v>
      </c>
      <c r="Z36">
        <v>7.8</v>
      </c>
      <c r="AA36">
        <v>230784</v>
      </c>
      <c r="AB36" t="s">
        <v>593</v>
      </c>
      <c r="AC36">
        <v>8</v>
      </c>
      <c r="AD36">
        <v>2015</v>
      </c>
      <c r="AE36">
        <v>33</v>
      </c>
      <c r="AF36" t="s">
        <v>594</v>
      </c>
      <c r="AG36">
        <v>28</v>
      </c>
      <c r="AH36">
        <v>19.1219696505282</v>
      </c>
      <c r="AI36">
        <v>0.65937826381132003</v>
      </c>
      <c r="AJ36" t="s">
        <v>61</v>
      </c>
      <c r="AK36" t="s">
        <v>595</v>
      </c>
      <c r="AL36">
        <v>38</v>
      </c>
      <c r="AM36">
        <v>2</v>
      </c>
      <c r="AN36">
        <v>50</v>
      </c>
      <c r="AO36">
        <v>0.04</v>
      </c>
      <c r="AP36" t="s">
        <v>63</v>
      </c>
      <c r="AQ36" t="s">
        <v>63</v>
      </c>
    </row>
    <row r="37" spans="1:43" x14ac:dyDescent="0.2">
      <c r="A37">
        <v>203801</v>
      </c>
      <c r="B37" t="s">
        <v>596</v>
      </c>
      <c r="C37">
        <v>7.0830000000000002</v>
      </c>
      <c r="D37">
        <v>6594</v>
      </c>
      <c r="E37" t="s">
        <v>44</v>
      </c>
      <c r="F37" s="1">
        <v>42229</v>
      </c>
      <c r="G37">
        <v>110045109</v>
      </c>
      <c r="H37">
        <v>116</v>
      </c>
      <c r="I37">
        <v>75000000</v>
      </c>
      <c r="J37" t="s">
        <v>597</v>
      </c>
      <c r="K37" t="s">
        <v>46</v>
      </c>
      <c r="L37" t="s">
        <v>596</v>
      </c>
      <c r="M37" t="s">
        <v>598</v>
      </c>
      <c r="N37">
        <v>6.7159000000000004</v>
      </c>
      <c r="O37" t="s">
        <v>599</v>
      </c>
      <c r="P37" t="s">
        <v>600</v>
      </c>
      <c r="Q37" t="s">
        <v>601</v>
      </c>
      <c r="R37" t="s">
        <v>51</v>
      </c>
      <c r="S37" t="s">
        <v>602</v>
      </c>
      <c r="T37" t="s">
        <v>603</v>
      </c>
      <c r="U37" t="s">
        <v>604</v>
      </c>
      <c r="V37" t="s">
        <v>605</v>
      </c>
      <c r="W37" t="s">
        <v>606</v>
      </c>
      <c r="X37" t="s">
        <v>607</v>
      </c>
      <c r="Y37" t="s">
        <v>608</v>
      </c>
      <c r="Z37">
        <v>7.2</v>
      </c>
      <c r="AA37">
        <v>352317</v>
      </c>
      <c r="AB37" t="s">
        <v>609</v>
      </c>
      <c r="AC37">
        <v>8</v>
      </c>
      <c r="AD37">
        <v>2015</v>
      </c>
      <c r="AE37">
        <v>33</v>
      </c>
      <c r="AF37" t="s">
        <v>610</v>
      </c>
      <c r="AG37">
        <v>30</v>
      </c>
      <c r="AH37">
        <v>18.516400930601399</v>
      </c>
      <c r="AI37">
        <v>0.59730325582585397</v>
      </c>
      <c r="AJ37" t="s">
        <v>61</v>
      </c>
      <c r="AK37" t="s">
        <v>611</v>
      </c>
      <c r="AL37">
        <v>75</v>
      </c>
      <c r="AM37">
        <v>0</v>
      </c>
      <c r="AN37">
        <v>79</v>
      </c>
      <c r="AO37">
        <v>0</v>
      </c>
      <c r="AP37" t="s">
        <v>63</v>
      </c>
      <c r="AQ37" t="s">
        <v>63</v>
      </c>
    </row>
    <row r="38" spans="1:43" x14ac:dyDescent="0.2">
      <c r="A38">
        <v>352161</v>
      </c>
      <c r="B38" t="s">
        <v>612</v>
      </c>
      <c r="C38">
        <v>6.8</v>
      </c>
      <c r="D38">
        <v>426</v>
      </c>
      <c r="E38" t="s">
        <v>44</v>
      </c>
      <c r="F38" s="1">
        <v>42229</v>
      </c>
      <c r="G38">
        <v>20381995</v>
      </c>
      <c r="H38">
        <v>109</v>
      </c>
      <c r="I38">
        <v>3500000</v>
      </c>
      <c r="J38" t="s">
        <v>613</v>
      </c>
      <c r="K38" t="s">
        <v>614</v>
      </c>
      <c r="L38" t="s">
        <v>615</v>
      </c>
      <c r="M38" t="s">
        <v>616</v>
      </c>
      <c r="N38">
        <v>1.4916</v>
      </c>
      <c r="O38" t="s">
        <v>617</v>
      </c>
      <c r="P38" t="s">
        <v>618</v>
      </c>
      <c r="Q38" t="s">
        <v>619</v>
      </c>
      <c r="R38" t="s">
        <v>620</v>
      </c>
      <c r="S38" t="s">
        <v>192</v>
      </c>
      <c r="T38" t="s">
        <v>621</v>
      </c>
      <c r="U38" t="s">
        <v>622</v>
      </c>
      <c r="V38" t="s">
        <v>623</v>
      </c>
      <c r="W38" t="s">
        <v>624</v>
      </c>
      <c r="X38" t="s">
        <v>625</v>
      </c>
      <c r="Y38" t="s">
        <v>626</v>
      </c>
      <c r="Z38">
        <v>6.9</v>
      </c>
      <c r="AA38">
        <v>15014</v>
      </c>
      <c r="AB38" t="s">
        <v>627</v>
      </c>
      <c r="AC38">
        <v>8</v>
      </c>
      <c r="AD38">
        <v>2015</v>
      </c>
      <c r="AE38">
        <v>33</v>
      </c>
      <c r="AF38" t="s">
        <v>628</v>
      </c>
      <c r="AG38">
        <v>30</v>
      </c>
      <c r="AH38">
        <v>16.830162520119099</v>
      </c>
      <c r="AI38">
        <v>0.54290846839093998</v>
      </c>
      <c r="AJ38" t="s">
        <v>61</v>
      </c>
      <c r="AK38" t="s">
        <v>629</v>
      </c>
      <c r="AL38">
        <v>22</v>
      </c>
      <c r="AM38">
        <v>0</v>
      </c>
      <c r="AN38">
        <v>41</v>
      </c>
      <c r="AO38">
        <v>0</v>
      </c>
      <c r="AP38" t="s">
        <v>63</v>
      </c>
      <c r="AQ38" t="s">
        <v>63</v>
      </c>
    </row>
    <row r="39" spans="1:43" x14ac:dyDescent="0.2">
      <c r="A39">
        <v>354072</v>
      </c>
      <c r="B39" t="s">
        <v>630</v>
      </c>
      <c r="C39">
        <v>7.4</v>
      </c>
      <c r="D39">
        <v>167</v>
      </c>
      <c r="E39" t="s">
        <v>44</v>
      </c>
      <c r="F39" s="1">
        <v>42229</v>
      </c>
      <c r="G39">
        <v>82027760</v>
      </c>
      <c r="H39">
        <v>133</v>
      </c>
      <c r="I39">
        <v>2700000</v>
      </c>
      <c r="J39" t="s">
        <v>631</v>
      </c>
      <c r="K39" t="s">
        <v>632</v>
      </c>
      <c r="L39" t="s">
        <v>633</v>
      </c>
      <c r="M39" t="s">
        <v>634</v>
      </c>
      <c r="N39">
        <v>2.6861000000000002</v>
      </c>
      <c r="O39" t="s">
        <v>635</v>
      </c>
      <c r="P39" t="s">
        <v>636</v>
      </c>
      <c r="Q39" t="s">
        <v>637</v>
      </c>
      <c r="R39" t="s">
        <v>638</v>
      </c>
      <c r="S39" t="s">
        <v>639</v>
      </c>
      <c r="T39" t="s">
        <v>640</v>
      </c>
      <c r="U39" t="s">
        <v>641</v>
      </c>
      <c r="V39" t="s">
        <v>642</v>
      </c>
      <c r="W39" t="s">
        <v>643</v>
      </c>
      <c r="X39" t="s">
        <v>644</v>
      </c>
      <c r="Y39" t="s">
        <v>645</v>
      </c>
      <c r="Z39">
        <v>7.4</v>
      </c>
      <c r="AA39">
        <v>6570</v>
      </c>
      <c r="AB39" t="s">
        <v>646</v>
      </c>
      <c r="AC39">
        <v>8</v>
      </c>
      <c r="AD39">
        <v>2015</v>
      </c>
      <c r="AE39">
        <v>33</v>
      </c>
      <c r="AF39" t="s">
        <v>647</v>
      </c>
      <c r="AG39">
        <v>30</v>
      </c>
      <c r="AH39">
        <v>18.2225682967143</v>
      </c>
      <c r="AI39">
        <v>0.58782478376497704</v>
      </c>
      <c r="AJ39" t="s">
        <v>61</v>
      </c>
      <c r="AK39" t="s">
        <v>648</v>
      </c>
      <c r="AL39">
        <v>12</v>
      </c>
      <c r="AM39">
        <v>0</v>
      </c>
      <c r="AN39">
        <v>20</v>
      </c>
      <c r="AO39">
        <v>0</v>
      </c>
      <c r="AP39" t="s">
        <v>63</v>
      </c>
      <c r="AQ39" t="s">
        <v>63</v>
      </c>
    </row>
    <row r="40" spans="1:43" x14ac:dyDescent="0.2">
      <c r="A40">
        <v>376105</v>
      </c>
      <c r="B40" t="s">
        <v>649</v>
      </c>
      <c r="C40">
        <v>7</v>
      </c>
      <c r="D40">
        <v>2</v>
      </c>
      <c r="E40" t="s">
        <v>44</v>
      </c>
      <c r="F40" s="1">
        <v>42230</v>
      </c>
      <c r="G40">
        <v>38000</v>
      </c>
      <c r="H40">
        <v>139</v>
      </c>
      <c r="I40">
        <v>426848</v>
      </c>
      <c r="J40" t="s">
        <v>650</v>
      </c>
      <c r="K40" t="s">
        <v>651</v>
      </c>
      <c r="L40" t="s">
        <v>649</v>
      </c>
      <c r="M40" t="s">
        <v>652</v>
      </c>
      <c r="N40">
        <v>0.25219999999999998</v>
      </c>
      <c r="O40" t="s">
        <v>649</v>
      </c>
      <c r="P40" t="s">
        <v>653</v>
      </c>
      <c r="Q40" t="s">
        <v>654</v>
      </c>
      <c r="R40" t="s">
        <v>443</v>
      </c>
      <c r="S40" t="s">
        <v>655</v>
      </c>
      <c r="T40" t="s">
        <v>656</v>
      </c>
      <c r="U40" t="s">
        <v>657</v>
      </c>
      <c r="W40" t="s">
        <v>658</v>
      </c>
      <c r="X40" t="s">
        <v>659</v>
      </c>
      <c r="Y40" t="s">
        <v>660</v>
      </c>
      <c r="Z40">
        <v>7.5</v>
      </c>
      <c r="AA40">
        <v>108</v>
      </c>
      <c r="AB40" t="s">
        <v>661</v>
      </c>
      <c r="AC40">
        <v>8</v>
      </c>
      <c r="AD40">
        <v>2015</v>
      </c>
      <c r="AE40">
        <v>33</v>
      </c>
      <c r="AF40" t="s">
        <v>662</v>
      </c>
      <c r="AG40">
        <v>31</v>
      </c>
      <c r="AH40">
        <v>10.5453677541517</v>
      </c>
      <c r="AI40">
        <v>0.32954274231724101</v>
      </c>
      <c r="AJ40" t="s">
        <v>61</v>
      </c>
      <c r="AK40" t="s">
        <v>663</v>
      </c>
      <c r="AL40">
        <v>1</v>
      </c>
      <c r="AM40">
        <v>0</v>
      </c>
      <c r="AN40">
        <v>1</v>
      </c>
      <c r="AO40">
        <v>0</v>
      </c>
      <c r="AP40" t="s">
        <v>63</v>
      </c>
      <c r="AQ40" t="s">
        <v>63</v>
      </c>
    </row>
    <row r="41" spans="1:43" x14ac:dyDescent="0.2">
      <c r="A41">
        <v>261392</v>
      </c>
      <c r="B41" t="s">
        <v>664</v>
      </c>
      <c r="C41">
        <v>6.1</v>
      </c>
      <c r="D41">
        <v>2869</v>
      </c>
      <c r="E41" t="s">
        <v>44</v>
      </c>
      <c r="F41" s="1">
        <v>42235</v>
      </c>
      <c r="G41">
        <v>27100000</v>
      </c>
      <c r="H41">
        <v>96</v>
      </c>
      <c r="I41">
        <v>28000000</v>
      </c>
      <c r="J41" t="s">
        <v>665</v>
      </c>
      <c r="K41" t="s">
        <v>46</v>
      </c>
      <c r="L41" t="s">
        <v>664</v>
      </c>
      <c r="M41" t="s">
        <v>666</v>
      </c>
      <c r="N41">
        <v>17.248999999999999</v>
      </c>
      <c r="O41" t="s">
        <v>667</v>
      </c>
      <c r="P41" t="s">
        <v>668</v>
      </c>
      <c r="Q41" t="s">
        <v>669</v>
      </c>
      <c r="R41" t="s">
        <v>670</v>
      </c>
      <c r="S41" t="s">
        <v>52</v>
      </c>
      <c r="T41" t="s">
        <v>671</v>
      </c>
      <c r="U41" t="s">
        <v>672</v>
      </c>
      <c r="V41" t="s">
        <v>673</v>
      </c>
      <c r="W41" t="s">
        <v>674</v>
      </c>
      <c r="X41" t="s">
        <v>675</v>
      </c>
      <c r="Y41" t="s">
        <v>676</v>
      </c>
      <c r="Z41">
        <v>6.1</v>
      </c>
      <c r="AA41">
        <v>99378</v>
      </c>
      <c r="AB41" t="s">
        <v>677</v>
      </c>
      <c r="AC41">
        <v>8</v>
      </c>
      <c r="AD41">
        <v>2015</v>
      </c>
      <c r="AE41">
        <v>34</v>
      </c>
      <c r="AF41" t="s">
        <v>678</v>
      </c>
      <c r="AG41">
        <v>36</v>
      </c>
      <c r="AH41">
        <v>17.115044322750201</v>
      </c>
      <c r="AI41">
        <v>0.46256876547973702</v>
      </c>
      <c r="AJ41" t="s">
        <v>61</v>
      </c>
      <c r="AK41" t="s">
        <v>679</v>
      </c>
      <c r="AL41">
        <v>39</v>
      </c>
      <c r="AM41">
        <v>0</v>
      </c>
      <c r="AN41">
        <v>45</v>
      </c>
      <c r="AO41">
        <v>0</v>
      </c>
      <c r="AP41" t="s">
        <v>63</v>
      </c>
      <c r="AQ41" t="s">
        <v>63</v>
      </c>
    </row>
    <row r="42" spans="1:43" x14ac:dyDescent="0.2">
      <c r="A42">
        <v>283445</v>
      </c>
      <c r="B42" t="s">
        <v>680</v>
      </c>
      <c r="C42">
        <v>5.9</v>
      </c>
      <c r="D42">
        <v>2209</v>
      </c>
      <c r="E42" t="s">
        <v>44</v>
      </c>
      <c r="F42" s="1">
        <v>42235</v>
      </c>
      <c r="G42">
        <v>53329150</v>
      </c>
      <c r="H42">
        <v>97</v>
      </c>
      <c r="I42">
        <v>10000000</v>
      </c>
      <c r="J42" t="s">
        <v>681</v>
      </c>
      <c r="K42" t="s">
        <v>46</v>
      </c>
      <c r="L42" t="s">
        <v>680</v>
      </c>
      <c r="M42" t="s">
        <v>682</v>
      </c>
      <c r="N42">
        <v>4.1940999999999997</v>
      </c>
      <c r="O42" t="s">
        <v>683</v>
      </c>
      <c r="P42" t="s">
        <v>684</v>
      </c>
      <c r="Q42" t="s">
        <v>685</v>
      </c>
      <c r="R42" t="s">
        <v>686</v>
      </c>
      <c r="S42" t="s">
        <v>52</v>
      </c>
      <c r="T42" t="s">
        <v>687</v>
      </c>
      <c r="U42" t="s">
        <v>688</v>
      </c>
      <c r="V42" t="s">
        <v>689</v>
      </c>
      <c r="W42" t="s">
        <v>690</v>
      </c>
      <c r="X42" t="s">
        <v>691</v>
      </c>
      <c r="Y42" t="s">
        <v>692</v>
      </c>
      <c r="Z42">
        <v>5.3</v>
      </c>
      <c r="AA42">
        <v>65857</v>
      </c>
      <c r="AB42" t="s">
        <v>693</v>
      </c>
      <c r="AC42">
        <v>8</v>
      </c>
      <c r="AD42">
        <v>2015</v>
      </c>
      <c r="AE42">
        <v>34</v>
      </c>
      <c r="AF42" t="s">
        <v>694</v>
      </c>
      <c r="AG42">
        <v>36</v>
      </c>
      <c r="AH42">
        <v>17.791993662705</v>
      </c>
      <c r="AI42">
        <v>0.48086469358662298</v>
      </c>
      <c r="AJ42" t="s">
        <v>61</v>
      </c>
      <c r="AK42" t="s">
        <v>695</v>
      </c>
      <c r="AL42">
        <v>39</v>
      </c>
      <c r="AM42">
        <v>2</v>
      </c>
      <c r="AN42">
        <v>45</v>
      </c>
      <c r="AO42">
        <v>0.04</v>
      </c>
      <c r="AP42" t="s">
        <v>63</v>
      </c>
      <c r="AQ42" t="s">
        <v>63</v>
      </c>
    </row>
    <row r="43" spans="1:43" x14ac:dyDescent="0.2">
      <c r="A43">
        <v>249070</v>
      </c>
      <c r="B43" t="s">
        <v>696</v>
      </c>
      <c r="C43">
        <v>5.9</v>
      </c>
      <c r="D43">
        <v>3164</v>
      </c>
      <c r="E43" t="s">
        <v>44</v>
      </c>
      <c r="F43" s="1">
        <v>42236</v>
      </c>
      <c r="G43">
        <v>81967450</v>
      </c>
      <c r="H43">
        <v>96</v>
      </c>
      <c r="I43">
        <v>35000000</v>
      </c>
      <c r="J43" t="s">
        <v>697</v>
      </c>
      <c r="K43" t="s">
        <v>46</v>
      </c>
      <c r="L43" t="s">
        <v>696</v>
      </c>
      <c r="M43" t="s">
        <v>698</v>
      </c>
      <c r="N43">
        <v>4.3795000000000002</v>
      </c>
      <c r="O43" t="s">
        <v>699</v>
      </c>
      <c r="P43" t="s">
        <v>700</v>
      </c>
      <c r="Q43" t="s">
        <v>701</v>
      </c>
      <c r="R43" t="s">
        <v>145</v>
      </c>
      <c r="S43" t="s">
        <v>52</v>
      </c>
      <c r="T43" t="s">
        <v>702</v>
      </c>
      <c r="U43" t="s">
        <v>703</v>
      </c>
      <c r="V43" t="s">
        <v>704</v>
      </c>
      <c r="W43" t="s">
        <v>705</v>
      </c>
      <c r="X43" t="s">
        <v>706</v>
      </c>
      <c r="Y43" t="s">
        <v>707</v>
      </c>
      <c r="Z43">
        <v>5.7</v>
      </c>
      <c r="AA43">
        <v>100197</v>
      </c>
      <c r="AB43" t="s">
        <v>708</v>
      </c>
      <c r="AC43">
        <v>8</v>
      </c>
      <c r="AD43">
        <v>2015</v>
      </c>
      <c r="AE43">
        <v>34</v>
      </c>
      <c r="AF43" t="s">
        <v>709</v>
      </c>
      <c r="AG43">
        <v>37</v>
      </c>
      <c r="AH43">
        <v>18.221832787402899</v>
      </c>
      <c r="AI43">
        <v>0.47952191545797301</v>
      </c>
      <c r="AJ43" t="s">
        <v>61</v>
      </c>
      <c r="AK43" t="s">
        <v>710</v>
      </c>
      <c r="AL43">
        <v>79</v>
      </c>
      <c r="AM43">
        <v>0</v>
      </c>
      <c r="AN43">
        <v>83</v>
      </c>
      <c r="AO43">
        <v>0</v>
      </c>
      <c r="AP43" t="s">
        <v>63</v>
      </c>
      <c r="AQ43" t="s">
        <v>63</v>
      </c>
    </row>
    <row r="44" spans="1:43" x14ac:dyDescent="0.2">
      <c r="A44">
        <v>339669</v>
      </c>
      <c r="B44" t="s">
        <v>711</v>
      </c>
      <c r="C44">
        <v>5.6</v>
      </c>
      <c r="D44">
        <v>41</v>
      </c>
      <c r="E44" t="s">
        <v>44</v>
      </c>
      <c r="F44" s="1">
        <v>42237</v>
      </c>
      <c r="G44">
        <v>4634032</v>
      </c>
      <c r="H44">
        <v>93</v>
      </c>
      <c r="I44">
        <v>12800000</v>
      </c>
      <c r="J44" t="s">
        <v>712</v>
      </c>
      <c r="K44" t="s">
        <v>46</v>
      </c>
      <c r="L44" t="s">
        <v>711</v>
      </c>
      <c r="M44" t="s">
        <v>713</v>
      </c>
      <c r="N44">
        <v>2.1783000000000001</v>
      </c>
      <c r="O44" t="s">
        <v>714</v>
      </c>
      <c r="P44" t="s">
        <v>715</v>
      </c>
      <c r="Q44" t="s">
        <v>716</v>
      </c>
      <c r="R44" t="s">
        <v>717</v>
      </c>
      <c r="S44" t="s">
        <v>52</v>
      </c>
      <c r="T44" t="s">
        <v>718</v>
      </c>
      <c r="U44" t="s">
        <v>719</v>
      </c>
      <c r="W44" t="s">
        <v>720</v>
      </c>
      <c r="X44" t="s">
        <v>721</v>
      </c>
      <c r="Y44" t="s">
        <v>722</v>
      </c>
      <c r="Z44">
        <v>5.0999999999999996</v>
      </c>
      <c r="AA44">
        <v>940</v>
      </c>
      <c r="AB44" t="s">
        <v>723</v>
      </c>
      <c r="AC44">
        <v>8</v>
      </c>
      <c r="AD44">
        <v>2015</v>
      </c>
      <c r="AE44">
        <v>34</v>
      </c>
      <c r="AF44" t="s">
        <v>724</v>
      </c>
      <c r="AG44">
        <v>38</v>
      </c>
      <c r="AH44">
        <v>15.348938105226599</v>
      </c>
      <c r="AI44">
        <v>0.39356251551863097</v>
      </c>
      <c r="AJ44" t="s">
        <v>61</v>
      </c>
      <c r="AK44" t="s">
        <v>725</v>
      </c>
      <c r="AL44">
        <v>28</v>
      </c>
      <c r="AM44">
        <v>0</v>
      </c>
      <c r="AN44">
        <v>31</v>
      </c>
      <c r="AO44">
        <v>0</v>
      </c>
      <c r="AP44" t="s">
        <v>63</v>
      </c>
      <c r="AQ44" t="s">
        <v>63</v>
      </c>
    </row>
    <row r="45" spans="1:43" x14ac:dyDescent="0.2">
      <c r="A45">
        <v>192141</v>
      </c>
      <c r="B45" t="s">
        <v>726</v>
      </c>
      <c r="C45">
        <v>6.9</v>
      </c>
      <c r="D45">
        <v>2628</v>
      </c>
      <c r="E45" t="s">
        <v>44</v>
      </c>
      <c r="F45" s="1">
        <v>42242</v>
      </c>
      <c r="G45">
        <v>54400000</v>
      </c>
      <c r="H45">
        <v>103</v>
      </c>
      <c r="I45">
        <v>5000000</v>
      </c>
      <c r="J45" t="s">
        <v>727</v>
      </c>
      <c r="K45" t="s">
        <v>46</v>
      </c>
      <c r="L45" t="s">
        <v>726</v>
      </c>
      <c r="M45" t="s">
        <v>728</v>
      </c>
      <c r="N45">
        <v>7.7079000000000004</v>
      </c>
      <c r="O45" t="s">
        <v>729</v>
      </c>
      <c r="P45" t="s">
        <v>730</v>
      </c>
      <c r="Q45" t="s">
        <v>731</v>
      </c>
      <c r="R45" t="s">
        <v>732</v>
      </c>
      <c r="S45" t="s">
        <v>733</v>
      </c>
      <c r="T45" t="s">
        <v>734</v>
      </c>
      <c r="U45" t="s">
        <v>735</v>
      </c>
      <c r="V45" t="s">
        <v>736</v>
      </c>
      <c r="W45" t="s">
        <v>737</v>
      </c>
      <c r="X45" t="s">
        <v>738</v>
      </c>
      <c r="Y45" t="s">
        <v>739</v>
      </c>
      <c r="Z45">
        <v>6.8</v>
      </c>
      <c r="AA45">
        <v>97470</v>
      </c>
      <c r="AB45" t="s">
        <v>740</v>
      </c>
      <c r="AC45">
        <v>8</v>
      </c>
      <c r="AD45">
        <v>2015</v>
      </c>
      <c r="AE45">
        <v>35</v>
      </c>
      <c r="AF45" t="s">
        <v>741</v>
      </c>
      <c r="AG45">
        <v>43</v>
      </c>
      <c r="AH45">
        <v>17.811874730208501</v>
      </c>
      <c r="AI45">
        <v>0.40481533477746601</v>
      </c>
      <c r="AJ45" t="s">
        <v>61</v>
      </c>
      <c r="AK45" t="s">
        <v>742</v>
      </c>
      <c r="AL45">
        <v>43</v>
      </c>
      <c r="AM45">
        <v>3</v>
      </c>
      <c r="AN45">
        <v>51</v>
      </c>
      <c r="AO45">
        <v>0.06</v>
      </c>
      <c r="AP45" t="s">
        <v>63</v>
      </c>
      <c r="AQ45" t="s">
        <v>63</v>
      </c>
    </row>
    <row r="46" spans="1:43" x14ac:dyDescent="0.2">
      <c r="A46">
        <v>301351</v>
      </c>
      <c r="B46" t="s">
        <v>743</v>
      </c>
      <c r="C46">
        <v>6.8</v>
      </c>
      <c r="D46">
        <v>2388</v>
      </c>
      <c r="E46" t="s">
        <v>44</v>
      </c>
      <c r="F46" s="1">
        <v>42242</v>
      </c>
      <c r="G46">
        <v>11100000</v>
      </c>
      <c r="H46">
        <v>96</v>
      </c>
      <c r="I46">
        <v>6000000</v>
      </c>
      <c r="J46" t="s">
        <v>744</v>
      </c>
      <c r="K46" t="s">
        <v>46</v>
      </c>
      <c r="L46" t="s">
        <v>743</v>
      </c>
      <c r="M46" t="s">
        <v>745</v>
      </c>
      <c r="N46">
        <v>4.2588999999999997</v>
      </c>
      <c r="O46" t="s">
        <v>746</v>
      </c>
      <c r="P46" t="s">
        <v>747</v>
      </c>
      <c r="Q46" t="s">
        <v>748</v>
      </c>
      <c r="R46" t="s">
        <v>749</v>
      </c>
      <c r="S46" t="s">
        <v>750</v>
      </c>
      <c r="T46" t="s">
        <v>751</v>
      </c>
      <c r="U46" t="s">
        <v>752</v>
      </c>
      <c r="V46" t="s">
        <v>753</v>
      </c>
      <c r="W46" t="s">
        <v>754</v>
      </c>
      <c r="X46" t="s">
        <v>755</v>
      </c>
      <c r="Y46" t="s">
        <v>756</v>
      </c>
      <c r="Z46">
        <v>6.2</v>
      </c>
      <c r="AA46">
        <v>42123</v>
      </c>
      <c r="AB46" t="s">
        <v>757</v>
      </c>
      <c r="AC46">
        <v>8</v>
      </c>
      <c r="AD46">
        <v>2015</v>
      </c>
      <c r="AE46">
        <v>35</v>
      </c>
      <c r="AF46" t="s">
        <v>758</v>
      </c>
      <c r="AG46">
        <v>43</v>
      </c>
      <c r="AH46">
        <v>16.2224557563726</v>
      </c>
      <c r="AI46">
        <v>0.36869217628119599</v>
      </c>
      <c r="AJ46" t="s">
        <v>61</v>
      </c>
      <c r="AK46" t="s">
        <v>759</v>
      </c>
      <c r="AL46">
        <v>37</v>
      </c>
      <c r="AM46">
        <v>0</v>
      </c>
      <c r="AN46">
        <v>42</v>
      </c>
      <c r="AO46">
        <v>0</v>
      </c>
      <c r="AP46" t="s">
        <v>63</v>
      </c>
      <c r="AQ46" t="s">
        <v>63</v>
      </c>
    </row>
    <row r="47" spans="1:43" x14ac:dyDescent="0.2">
      <c r="A47">
        <v>336882</v>
      </c>
      <c r="B47" t="s">
        <v>760</v>
      </c>
      <c r="C47">
        <v>6.7</v>
      </c>
      <c r="D47">
        <v>1346</v>
      </c>
      <c r="E47" t="s">
        <v>44</v>
      </c>
      <c r="F47" s="1">
        <v>42244</v>
      </c>
      <c r="G47">
        <v>12975143</v>
      </c>
      <c r="H47">
        <v>104</v>
      </c>
      <c r="I47">
        <v>5904067</v>
      </c>
      <c r="J47" t="s">
        <v>761</v>
      </c>
      <c r="K47" t="s">
        <v>63</v>
      </c>
      <c r="L47" t="s">
        <v>762</v>
      </c>
      <c r="M47" t="s">
        <v>763</v>
      </c>
      <c r="N47">
        <v>3.839</v>
      </c>
      <c r="O47" t="s">
        <v>764</v>
      </c>
      <c r="P47" t="s">
        <v>765</v>
      </c>
      <c r="Q47" t="s">
        <v>766</v>
      </c>
      <c r="R47" t="s">
        <v>767</v>
      </c>
      <c r="S47" t="s">
        <v>768</v>
      </c>
      <c r="T47" t="s">
        <v>769</v>
      </c>
      <c r="U47" t="s">
        <v>770</v>
      </c>
      <c r="V47" t="s">
        <v>771</v>
      </c>
      <c r="W47" t="s">
        <v>772</v>
      </c>
      <c r="X47" t="s">
        <v>773</v>
      </c>
      <c r="Y47" t="s">
        <v>774</v>
      </c>
      <c r="Z47">
        <v>6.6</v>
      </c>
      <c r="AA47">
        <v>45597</v>
      </c>
      <c r="AB47" t="s">
        <v>775</v>
      </c>
      <c r="AC47">
        <v>8</v>
      </c>
      <c r="AD47">
        <v>2015</v>
      </c>
      <c r="AE47">
        <v>35</v>
      </c>
      <c r="AF47" t="s">
        <v>776</v>
      </c>
      <c r="AG47">
        <v>45</v>
      </c>
      <c r="AH47">
        <v>16.378546085220499</v>
      </c>
      <c r="AI47">
        <v>0.356055349678707</v>
      </c>
      <c r="AJ47" t="s">
        <v>61</v>
      </c>
      <c r="AK47" t="s">
        <v>777</v>
      </c>
      <c r="AL47">
        <v>31</v>
      </c>
      <c r="AM47">
        <v>1</v>
      </c>
      <c r="AN47">
        <v>56</v>
      </c>
      <c r="AO47">
        <v>0.02</v>
      </c>
      <c r="AP47" t="s">
        <v>63</v>
      </c>
      <c r="AQ47" t="s">
        <v>63</v>
      </c>
    </row>
    <row r="48" spans="1:43" x14ac:dyDescent="0.2">
      <c r="A48" t="s">
        <v>778</v>
      </c>
      <c r="AI48">
        <f>SUBTOTAL(109,Table1[score])</f>
        <v>52.203507828922604</v>
      </c>
      <c r="AQ48">
        <f>SUBTOTAL(103,Table1[error])</f>
        <v>45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Ant-Man_attributes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2026-02-17T16:47:43Z</dcterms:created>
  <dcterms:modified xsi:type="dcterms:W3CDTF">2026-02-17T17:53:53Z</dcterms:modified>
</cp:coreProperties>
</file>