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kitkat/github projects/Marvel-Analytics-by-KS/movie-release-optimization/data/processing/filter 3/xlsx/attributed/"/>
    </mc:Choice>
  </mc:AlternateContent>
  <xr:revisionPtr revIDLastSave="0" documentId="13_ncr:1_{F3C2766A-3978-7840-AB79-CAD83CDBA2C6}" xr6:coauthVersionLast="47" xr6:coauthVersionMax="47" xr10:uidLastSave="{00000000-0000-0000-0000-000000000000}"/>
  <bookViews>
    <workbookView xWindow="380" yWindow="80" windowWidth="28040" windowHeight="17180" xr2:uid="{F51AF439-50CA-9346-ADF8-1BC77ACD8C8E}"/>
  </bookViews>
  <sheets>
    <sheet name="Iron_Man_2_attribut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48" i="1" l="1"/>
  <c r="AQ48" i="1"/>
</calcChain>
</file>

<file path=xl/sharedStrings.xml><?xml version="1.0" encoding="utf-8"?>
<sst xmlns="http://schemas.openxmlformats.org/spreadsheetml/2006/main" count="1100" uniqueCount="748">
  <si>
    <t>id</t>
  </si>
  <si>
    <t>title</t>
  </si>
  <si>
    <t>vote_average</t>
  </si>
  <si>
    <t>vote_count</t>
  </si>
  <si>
    <t>status</t>
  </si>
  <si>
    <t>release_date</t>
  </si>
  <si>
    <t>revenue</t>
  </si>
  <si>
    <t>runtime</t>
  </si>
  <si>
    <t>budget</t>
  </si>
  <si>
    <t>imdb_id</t>
  </si>
  <si>
    <t>original_language</t>
  </si>
  <si>
    <t>original_title</t>
  </si>
  <si>
    <t>overview</t>
  </si>
  <si>
    <t>popularity</t>
  </si>
  <si>
    <t>tagline</t>
  </si>
  <si>
    <t>genres</t>
  </si>
  <si>
    <t>production_companies</t>
  </si>
  <si>
    <t>production_countries</t>
  </si>
  <si>
    <t>spoken_languages</t>
  </si>
  <si>
    <t>cast</t>
  </si>
  <si>
    <t>director</t>
  </si>
  <si>
    <t>director_of_photography</t>
  </si>
  <si>
    <t>writers</t>
  </si>
  <si>
    <t>producers</t>
  </si>
  <si>
    <t>music_composer</t>
  </si>
  <si>
    <t>imdb_rating</t>
  </si>
  <si>
    <t>imdb_votes</t>
  </si>
  <si>
    <t>poster_path</t>
  </si>
  <si>
    <t>release_month</t>
  </si>
  <si>
    <t>release_year</t>
  </si>
  <si>
    <t>iso_week</t>
  </si>
  <si>
    <t>title_clean</t>
  </si>
  <si>
    <t>distance</t>
  </si>
  <si>
    <t>strength</t>
  </si>
  <si>
    <t>score</t>
  </si>
  <si>
    <t>marvel_movie</t>
  </si>
  <si>
    <t>attributes</t>
  </si>
  <si>
    <t>blank</t>
  </si>
  <si>
    <t>internet</t>
  </si>
  <si>
    <t>total</t>
  </si>
  <si>
    <t>internet_ratio</t>
  </si>
  <si>
    <t>internet_dominance</t>
  </si>
  <si>
    <t>error</t>
  </si>
  <si>
    <t>The Bounty Hunter</t>
  </si>
  <si>
    <t>Released</t>
  </si>
  <si>
    <t>tt1038919</t>
  </si>
  <si>
    <t>en</t>
  </si>
  <si>
    <t>Milo Boyd, a down-on-his-luck bounty hunter, thinks he's seeing an upswing in fortune when he gets a call to bring in his bail-jumping ex-wife, a reporter named Nicole. Milo considers the job an easy payday, but Nicole quickly escapes to chase a lead on a murder case. The former spouses play an escalating game of one-upmanship, until they suddenly find themselves on the run for their lives.</t>
  </si>
  <si>
    <t>It's a Job. It Isn't Personal. Well, Maybe a Little...</t>
  </si>
  <si>
    <t>Action, Comedy, Romance</t>
  </si>
  <si>
    <t>original film, relativity media, columbia pictures</t>
  </si>
  <si>
    <t>United States of America</t>
  </si>
  <si>
    <t>English</t>
  </si>
  <si>
    <t>Edward Mitchell, Matt Malloy, Tracy Thorne, Adam Rose, Eric Zuckerman, Christine Baranski, Jayne Houdyshell, Dorian Missick, Christian Borle, Wally Dunn, Jason Sudeikis, David Costabile, Joel Marsh Garland, Cathy Moriarty, Jason Kolotouros, Brooke Allison, Gerard Butler, Lou Sumrall, Peter Greene, Siobhan Fallon Hogan, Gio Perez, Charles Techman, Lynda Gravatt, Charlie Hewson, Harry Zittel, Patrick Mitchell, Amanda Hope Dutton, Jennifer Aniston, Adam LeFevre, Jeff Garlin, Carol Kane, Mary Testa, Ritchie Coster</t>
  </si>
  <si>
    <t>Andy Tennant</t>
  </si>
  <si>
    <t>Oliver Bokelberg</t>
  </si>
  <si>
    <t>Sarah Thorp</t>
  </si>
  <si>
    <t>Neal H. Moritz, Ori Marmur, Wink Mordaunt, Robyn Meisinger, Donald J. Lee Jr., Ryan Kavanaugh</t>
  </si>
  <si>
    <t>George Fenton</t>
  </si>
  <si>
    <t>/fJPKar0jnAsS09l3xfP6LL8sUkX.jpg</t>
  </si>
  <si>
    <t>the bounty hunter</t>
  </si>
  <si>
    <t>iron man 2</t>
  </si>
  <si>
    <t>london (1), premiere (1), blank (76), german speaking region (1), italian speaking region (1), french speaking region (1), shanghai international film festival (1), blu-ray premiere (1), internet (1)</t>
  </si>
  <si>
    <t>no</t>
  </si>
  <si>
    <t>Heartbreaker</t>
  </si>
  <si>
    <t>tt1465487</t>
  </si>
  <si>
    <t>fr</t>
  </si>
  <si>
    <t>L'Arnac‚âà√¨ur</t>
  </si>
  <si>
    <t>Alex and his sister run a business designed to break up relationships. They are hired by a rich man to break up the wedding of his daughter. The only problem is that they only have one week to do so.</t>
  </si>
  <si>
    <t>He's broken every heart except his own‚Äö√Ñ¬∂ until now.</t>
  </si>
  <si>
    <t>Romance, Comedy</t>
  </si>
  <si>
    <t>focus features, quad productions, chaocorp, ocs, banque populaire images 10, script associ‚àö¬©s, a plus image, universal pictures, kinology</t>
  </si>
  <si>
    <t>France, United States of America</t>
  </si>
  <si>
    <t>Fran‚àö√üais, √ä√≥‚Ä¢√ä√∫¬®√ã‚Ñ¢√ª, Espa‚àö¬±ol, √ä√¥√Ü√à√Ñ√∂√ã√ò√π, √ø√ü≈∏√ë√øœÄ√ø¬±√ø¬Æ≈∏√§√ø¬©, English</t>
  </si>
  <si>
    <t>Julie Ferrier, L‚àö¬©ticia Belliccini, Camille Figuereo, Andrew Lincoln, Caroline Derrien, Caroline Duris, Nina M‚àö¬©lo, Elodie Frenck, Amandine Dewasmes, Adina Cartianu, Tarek Boudali, Jacques Frantz, Philippe Lacheau, Gianfranco Poddighe, H‚àö¬©l‚àö¬Æne Liber, Karima Gouit, Cathy Darietto, Fran‚àö√üois Damiens, Geoffrey Bateman, Natasha Cashman, Patrick Massiah, Romain Duris, Jean-Yves Lafesse, Jean-Marie Paris, H‚àö¬©l‚àö¬©na Noguerra, Cl‚àö¬©mentine Niewdanski, Victoria Silvstedt, ‚àö√†ve Chems de Brouwer, Vanessa Paradis, Julien Arruti, Audrey Lamy</t>
  </si>
  <si>
    <t>Pascal Chaumeil</t>
  </si>
  <si>
    <t>Thierry Arbogast</t>
  </si>
  <si>
    <t>Yohan Gromb, Jeremy Doner, Laurent Zeitoun</t>
  </si>
  <si>
    <t>Yann Zenou, Nicolas Duval Adassovsky, Laurent Zeitoun</t>
  </si>
  <si>
    <t>Klaus Badelt</t>
  </si>
  <si>
    <t>/sw7Sc4u2A9Y0dZ1543MoGVaQdmI.jpg</t>
  </si>
  <si>
    <t>heartbreaker</t>
  </si>
  <si>
    <t>l'alpe d'huez international comedy film festival (1), blank (42), french speaking region (1), city of lights, city of angels (1), tribeca film festival (1), sacramento french film festival (1), edinburgh international film festival (1), karlovy vary international film festival (1), odessa international film festival (1), boston french film festival (1), qu√©bec (1), limited (1), vietnam international film festival (1), german speaking region (1), festival du film fran√ßais au japon (1), mandaluyong (1), french film festival (1)</t>
  </si>
  <si>
    <t>Zonad</t>
  </si>
  <si>
    <t>tt1105748</t>
  </si>
  <si>
    <t>Zonad (Simon Delaney) is from space‚Äö√Ñ¬∂probably. Or so the Cassidy family assume when they discover an apparent alien in a shiny red space suit and helmet passed out on the living room floor beside the drinks cabinet. The Cassidys and the people of Ballymoran make the intriguing visitor feel very welcome (and in the case of mother Mary, Donna Dent, and teenage minx Jenny, Janice Byrne, they make him feel very welcome indeed). At first, Zonad tries to evade the warm welcome of the villagers, although the procession of wanton women and free beer gets the better of him. Why give up on a good thing?</t>
  </si>
  <si>
    <t>From Space... (Probably)</t>
  </si>
  <si>
    <t>Comedy</t>
  </si>
  <si>
    <t>element pictures, f‚àö‚â†s ‚àö√¢ireann/screen ireland</t>
  </si>
  <si>
    <t>Ireland</t>
  </si>
  <si>
    <t>Simon Delaney, Bernie Butler, David Pearse, Donna Dent, Rory Keenan, Janice Byrne, Geoff Minogue, David Murray</t>
  </si>
  <si>
    <t>John Carney, Kieran Carney</t>
  </si>
  <si>
    <t>Andrew Lowe, John McDonnell, Ed Guiney</t>
  </si>
  <si>
    <t>Brian Byrne</t>
  </si>
  <si>
    <t>/7F38IbH2LBLEubWVtytQBBGU5Mv.jpg</t>
  </si>
  <si>
    <t>zonad</t>
  </si>
  <si>
    <t>galway film fleadh (1), blank (1), shanghai international film festival (1), athens film festival (1), leeds international film festival (1), uk premiere (1)</t>
  </si>
  <si>
    <t>How to Train Your Dragon</t>
  </si>
  <si>
    <t>tt0892769</t>
  </si>
  <si>
    <t>As the son of a Viking leader on the cusp of manhood, shy Hiccup Horrendous Haddock III faces a rite of passage: he must kill a dragon to prove his warrior mettle. But after downing a feared dragon, he realizes that he no longer wants to destroy it, and instead befriends the beast ‚Äö√Ñ√¨ which he names Toothless ‚Äö√Ñ√¨ much to the chagrin of his warrior father.</t>
  </si>
  <si>
    <t>One adventure will change two worlds.</t>
  </si>
  <si>
    <t>Fantasy, Adventure, Animation, Family</t>
  </si>
  <si>
    <t>dreamworks animation</t>
  </si>
  <si>
    <t>Jonah Hill, Jay Baruchel, Robin Atkin Downes, Christopher Mintz-Plasse, Kristen Wiig, T.J. Miller, David Tennant, Ashley Jensen, Kieron Elliott, Philip McGrade, Craig Ferguson, Gerard Butler, Randy Thom, America Ferrera</t>
  </si>
  <si>
    <t>Dean DeBlois, Chris Sanders</t>
  </si>
  <si>
    <t>Gil Zimmerman</t>
  </si>
  <si>
    <t>Stephan Franck, David G. Derrick Jr., Chris Sanders, Cressida Cowell, William Davies, Dean DeBlois</t>
  </si>
  <si>
    <t>Tim Johnson, Bonnie Arnold, Kristine Belson</t>
  </si>
  <si>
    <t>John Powell</t>
  </si>
  <si>
    <t>/ygGmAO60t8GyqUo9xYeYxSZAR3b.jpg</t>
  </si>
  <si>
    <t>how to train your dragon</t>
  </si>
  <si>
    <t>blank (79), premiere (1), german speaking region (1), italian speaking region (1), french speaking region (1), beijing (1), blu-ray and dvd (1), fanter film festival (1), mt. fuji-kawaguchiko lake film festival (1), 4k uhd (1), harvard film archive (1), tokyo international film festival (1), re-release (1), hawaii film festival (1)</t>
  </si>
  <si>
    <t>Repo Men</t>
  </si>
  <si>
    <t>tt1053424</t>
  </si>
  <si>
    <t>In the future, medical technology has advanced to the point where people can buy artificial organs to extend their lives. But if they default on payments, an organization known as the Union sends agents to repossess the organs. Remy is one of the best agents in the business, but when he becomes the recipient of an artificial heart, he finds himself in the same dire straits as his many victims.</t>
  </si>
  <si>
    <t>Consider them your final notice.</t>
  </si>
  <si>
    <t>Action, Science Fiction, Thriller, Crime</t>
  </si>
  <si>
    <t>relativity media, stuber pictures, universal pictures, dentsu</t>
  </si>
  <si>
    <t>Canada, United States of America</t>
  </si>
  <si>
    <t>RZA, Max Turnbull, Chandler Canterbury, Kristina Pesic, Alicia Turner, Daniel L‚àö¬©vesque, John Leguizamo, Daniel Kash, Lea Violette, Denis Akiyama, Alice Braga, Forest Whitaker, Yvette Nicole Brown, Howard Hoover, Charlene Lynn Chartrand, Raff Law, Wayne Ward, Emily Lineham, Bruce Gooch, Joe Pingue, Tiffany Espensen, Jessica Phillips, Rebecca Applebaum, Erin Reese, Sherry Shaoling, Marty Adams, Tannis Burnett, Christina Giuseppe, Tanya Clarke, Lina So, Jude Law, Liev Schreiber, Dorly Jean-Louis, Ashleigh Hubbard, Liza Lapira, Carice van Houten</t>
  </si>
  <si>
    <t>Miguel Sapochnik</t>
  </si>
  <si>
    <t>Enrique Chediak</t>
  </si>
  <si>
    <t>Garrett Lerner, Eric Garcia</t>
  </si>
  <si>
    <t>Jon Mone, Scott Stuber, Mary Parent, Andrew Z. Davis, Mike Drake</t>
  </si>
  <si>
    <t>Marco Beltrami</t>
  </si>
  <si>
    <t>/briDKf5nrLzox2zcI6pquKeqWz8.jpg</t>
  </si>
  <si>
    <t>repo men</t>
  </si>
  <si>
    <t>dvd premiere (10), blank (20), amsterdam fantastic film festival (1), dvd and blu-ray premiere (1), blu-ray release (1), tv release (1), internet (2)</t>
  </si>
  <si>
    <t>Never Let Me Go</t>
  </si>
  <si>
    <t>tt1334260</t>
  </si>
  <si>
    <t>As children, Kathy, Ruth, and Tommy spend their childhood at an idyllic and secluded English boarding school. As they grow into adults, they must come to terms with the complexity and strength of their love for one another while also preparing for the haunting reality awaiting them.</t>
  </si>
  <si>
    <t>These students have everything they need. Except time.</t>
  </si>
  <si>
    <t>Drama, Romance, Science Fiction</t>
  </si>
  <si>
    <t>dna films, film4 productions</t>
  </si>
  <si>
    <t>United Kingdom</t>
  </si>
  <si>
    <t>Damien Thomas, Nathalie Richard, Ella Purnell, Rachel Boss, Anna Maria Everett, Charlotte Rampling, Christina Carrafiell, Luke Bryant, Izzy Meikle-Small, Sylvie Macdonald, Domhnall Gleeson, Monica Dolan, Fidelis Morgan, Andrea Riseborough, Keira Knightley, Carey Mulligan, Oliver Parsons, Amy Lennox, John Gillespie, Charles Cork, Huggy Leaver, Kate Bowes Renna, Kate Sissons, Charlie Rowe, David Sterne, Lydia Wilson, Hannah Sharp, Chidi Chickwe, Sally Hawkins, Andrew Garfield</t>
  </si>
  <si>
    <t>Mark Romanek</t>
  </si>
  <si>
    <t>Adam Kimmel</t>
  </si>
  <si>
    <t>Kazuo Ishiguro, Alex Garland</t>
  </si>
  <si>
    <t>Kazuo Ishiguro, Allon Reich, Alex Garland, Tessa Ross, Andrew Macdonald</t>
  </si>
  <si>
    <t>Rachel Portman</t>
  </si>
  <si>
    <t>/8F0r5ng9Fp60OhzQfR5v33fppq.jpg</t>
  </si>
  <si>
    <t>never let me go</t>
  </si>
  <si>
    <t>telluride film festival (1), premiere (2), toronto international film festival (1), limited (4), qu√©bec (1), warsaw film festival (1), bfi london film festival (1), blank (32), abu dhabi film festival (1), gent international film festival (1), s√£o paulo international film festival (1), tokyo international film festival (1), new british film festival (1), night visions film festival (1), taipei golden horse film festival (1), mar del plata film festival (1), noir in festival (1), international film festival rotterdam (1), dvd premiere (4), g√∂teborg international film festival (1), villeurbanne british and irish film festival (1), blu-ray release (1), manila cine europa film festival (1), kawasaki shinyuri film festival (1), blu-ray premiere (1), internet (1)</t>
  </si>
  <si>
    <t>Diary of a Wimpy Kid</t>
  </si>
  <si>
    <t>tt1196141</t>
  </si>
  <si>
    <t>Greg Heffley is headed for big things, but first he has to survive the scariest, most humiliating experience of any kid‚Äö√Ñ√¥s life ‚Äö√Ñ√¨ middle school! That won‚Äö√Ñ√¥t be easy, considering he‚Äö√Ñ√¥s surrounded by hairy-freckled morons, wedgie-loving bullies and a moldy slice of cheese with nuclear cooties!</t>
  </si>
  <si>
    <t>It's not a diary, it's a movie.</t>
  </si>
  <si>
    <t>Comedy, Family</t>
  </si>
  <si>
    <t>dayday films, color force, dune entertainment, fox 2000 pictures</t>
  </si>
  <si>
    <t>United Kingdom, United States of America</t>
  </si>
  <si>
    <t>Rachael Harris, John Cygan, Owen Best, Brandon Barton, Ava Hughes, Adom Osei, Chlo‚àö¬¥ Grace Moretz, Ryan Grantham, Haris Cash, Sean Bygrave, Cole Heppell, Nathan Smith, Greta Makena Gibson, Willem Jacobson, Alicia Takase Lui, Alf Humphreys, Nathaniel Marten, Tara McGuire, Jennifer Clement, Owen Fielding, Robert Capron, Severin Korfer, Laine MacNeil, Peter New, Brent Chapman, Taya Clyne, Karan Brar, Mariah Crudo, Raugi Yu, Emerald Schreier, Brett Dier, Ben Mitchell, Alex Ferris, Aidan Gebert, Naomi Dane, Ethan Shankaruk, Samuel Patrick Chu, Zachary Gordon, Kinua McWatt, Madison Bell, Andrew McNee, Connor Fielding, Steve Zahn, Jesse Wheeler, Jake D. Smith, Nicholas Carey, Cameron Krpan, Rylee Stiles, Talon Dunbar, Paolo Tolfo, Maxine Miller, Nikki Frazer, Harrison Houde, Samantha Page, Alistair Abell, Dylan Bell, Karin Konoval, Tori Christianson, Cainan Wiebe, Cindy Busby, Jay Sidhu, Amy Esterle, Belita Moreno, Paul Hubbard, Grayson Russell, Kaye Capron, Rob LaBelle, Donnie MacNeil, Devon Bostick</t>
  </si>
  <si>
    <t>Thor Freudenthal</t>
  </si>
  <si>
    <t>Jack N. Green</t>
  </si>
  <si>
    <t>Gabe Sachs, Jeff Judah, Jackie Filgo, Jeff Kinney, Jeff Filgo</t>
  </si>
  <si>
    <t>Nina Jacobson, Brad Simpson, Jeff Kinney</t>
  </si>
  <si>
    <t>Theodore Shapiro</t>
  </si>
  <si>
    <t>/iLAGiPnSuODt9cn332bkFElrRig.jpg</t>
  </si>
  <si>
    <t>diary of a wimpy kid</t>
  </si>
  <si>
    <t>alexandria, virginia (1), premiere (1), internet (4), blank (18), dvd premiere (11), tvcine (1), blu-ray premiere (1), blu ray premiere (1)</t>
  </si>
  <si>
    <t>Tekken</t>
  </si>
  <si>
    <t>tt0411951</t>
  </si>
  <si>
    <t>In the year of 2039, after World Wars destroy much of the civilization as we know it, territories are no longer run by governments, but by corporations; the mightiest of which is the Mishima Zaibatsu. In order to placate the seething masses of this dystopia, Mishima sponsors Tekken, a tournament in which fighters battle until only one is left standing.</t>
  </si>
  <si>
    <t>Survival is no game</t>
  </si>
  <si>
    <t>Crime, Drama, Action, Thriller, Science Fiction</t>
  </si>
  <si>
    <t>namco, crystal sky pictures, warner bros. pictures, gaga communications, warner bros. japan</t>
  </si>
  <si>
    <t>Japan, United States of America</t>
  </si>
  <si>
    <t>√ä√≥‚Ä¢√ä√∫¬®√ã‚Ñ¢√ª, √ä√¥√Ü√à√Ñ√∂√ã√ò√π, English</t>
  </si>
  <si>
    <t>Mircea Monroe, Taiyo Sugiura, Candice Hillebrand, Jonathan Patrick Foo, Anton Kasabov, Marian Zapico, Ian Anthony Dale, Cassie Shea Watson, Gary Daniels, Darrin Henson, Tamlyn Tomita, John Pyper-Ferguson, Cung Le, Kelly Overton, Jae Hee, Jonathan Kowalsky, Gary Ray Stearns, Lateef Crowder, Cary-Hiroyuki Tagawa, Dallas Liu, Alan B. McElroy, Luke Goss</t>
  </si>
  <si>
    <t>Dwight H. Little</t>
  </si>
  <si>
    <t>Brian J. Reynolds</t>
  </si>
  <si>
    <t>Alan B. McElroy</t>
  </si>
  <si>
    <t>Steven Paul, Carsten H.W. Lorenz, Scott Karol, Masaya Nakamura, Daniel Diamond, Benedict Carver, Tetsu Fujimura</t>
  </si>
  <si>
    <t>John Hunter</t>
  </si>
  <si>
    <t>/1xO2LirDZstkqZic1FwfK6GJIHH.jpg</t>
  </si>
  <si>
    <t>tekken</t>
  </si>
  <si>
    <t>blank (9), dvd and blu-ray premiere (1), dvd premiere (9), tv premiere (1), tv release (1)</t>
  </si>
  <si>
    <t>Clash of the Titans</t>
  </si>
  <si>
    <t>tt0800320</t>
  </si>
  <si>
    <t>Born of a god but raised as a man, Perseus is helpless to save his family from Hades, vengeful god of the underworld. With nothing to lose, Perseus volunteers to lead a dangerous mission to defeat Hades before he can seize power from Zeus and unleash hell on earth. Battling unholy demons and fearsome beasts, Perseus and his warriors will only survive if Perseus accepts his power as a god, defies fate and creates his own destiny.</t>
  </si>
  <si>
    <t>The clash begins.</t>
  </si>
  <si>
    <t>Adventure, Fantasy, Action</t>
  </si>
  <si>
    <t>the zanuck company, legendary pictures, thunder road, moving picture company, warner bros. pictures</t>
  </si>
  <si>
    <t>United States of America, United Kingdom</t>
  </si>
  <si>
    <t>Ashraf Barhom, William Houston, Natalia Vodianova, David Kennedy, Liam Neeson, Tine Stapelfeldt, Alexander Siddig, Izabella Miko, Danny Huston, Charlotte Comer, Gemma Arterton, Pete Postlethwaite, Vincent Regan, Katherine Loeppky, Jamie Sives, Alexa Davalos, Phil McKee, Ralph Fiennes, Elizabeth McGovern, Mads Mikkelsen, Rory McCann, Polly Walker, Michael Grady-Hall, Agyness Deyn, Jason Flemyng, Geoffrey Beevers, Laura Kachergus, Graham Hughes, Liam Cunningham, Adrian Bouchet, Jane March, Louis Leterrier, Tamer Hassan, Mouloud Achour, Kaya Scodelario, Nathalie Cox, Nina Young, Sam Worthington, Luke Treadaway, Hans Matheson, Katrina Vasilieva, Luke Evans, Ian Whyte, Sinead Michael, Ross Mullan, Robin Berry, Nicholas Hoult, Martin McCann</t>
  </si>
  <si>
    <t>Louis Leterrier</t>
  </si>
  <si>
    <t>Peter Menzies Jr.</t>
  </si>
  <si>
    <t>Travis Beacham, Matt Manfredi, Phil Hay</t>
  </si>
  <si>
    <t>Basil Iwanyk, Thomas Tull, Dale Alexander Carnegie, Richard D. Zanuck, Karl McMillan, William Fay, Jon Jashni, Lynn Harris, Kevin De La Noy</t>
  </si>
  <si>
    <t>Ramin Djawadi</t>
  </si>
  <si>
    <t>/3W6QaC3Vz8UJhr6HRYuGfbNeJCs.jpg</t>
  </si>
  <si>
    <t>clash of the titans</t>
  </si>
  <si>
    <t>blank (71), french speaking region (1), german speaking region (1), buenos aires (1), premiere (1), italian speaking region (1), roma (1)</t>
  </si>
  <si>
    <t>Hot Tub Time Machine</t>
  </si>
  <si>
    <t>tt1231587</t>
  </si>
  <si>
    <t>Four pals are stuck in a rut in adulthood: Adam has just been dumped, Lou is a hopeless party animal, Nick is a henpecked husband, and Jacob does nothing but play video games in his basement. But they get a chance to brighten their future by changing their past after a night of heavy drinking in a ski-resort hot tub results in their waking up in 1986.</t>
  </si>
  <si>
    <t>Forget the present. Change the future. Kick some past.</t>
  </si>
  <si>
    <t>Science Fiction, Comedy, Adventure</t>
  </si>
  <si>
    <t>metro-goldwyn-mayer, new crime productions, lakeshore entertainment, united artists</t>
  </si>
  <si>
    <t>Josh Heald, Eli Jane, Yan-Kay Crystal Lowe, Chad MacDonald, Lynda Boyd, Adrienne Rusk, Crispin Glover, Jessica Par‚àö¬©, Lyndsy Fonseca, Brook Bennett, Lars Anderson, Kellee Stewart, Clark Duke, Amber Hay, William Zabka, Jamie Switch, Amy Esterle, Donald MacDonald, Megan Holmes, Ecstasia Sanders, Rob Corddry, Keith Roenke, Ava Leemet, Ryan Guldemond, Aliu Oyofo, Jake Rose, Marie West, Michael Roberds, Blaine Anderson, Lizzy Caplan, Cole Carson, Chad Garner, Austin Warren, Robert Wu, Chevy Chase, Daren A. Herbert, Paul Dzenkiw, Willy Lavendel, Eddie Ruttle, Diora Baird, Rob LaBelle, Jacob Blair, Sebastian Stan, Anthony Dallas, Luke Ryan, Collette Wolfe, Charlie McDermott, Craig Robinson, Rhys Williams, Natalia Dawn, Odessa Rojen, Geoff Gustafson, Brent Lister, Crystal Tisiga, Adam Sabla, Anthony Pagni, Jocelyn C. Waugh, Heathcliffe Scaddan, Jeremy Page, Julia Maxwell, Peter Wilson, John Cusack, Curtis Santiago, Viv Leacock, Thomas Lennon</t>
  </si>
  <si>
    <t>Steve Pink</t>
  </si>
  <si>
    <t>Sean Anders, John Morris, Josh Heald</t>
  </si>
  <si>
    <t>John Cusack, Matt Moore, Grace Loh, Michael Nelson</t>
  </si>
  <si>
    <t>Christophe Beck</t>
  </si>
  <si>
    <t>/wjzbVXAes1acbh6k4OO5xVfy5.jpg</t>
  </si>
  <si>
    <t>hot tub time machine</t>
  </si>
  <si>
    <t>hollywood, california (1), premiere (1), blank (39), blu-ray premiere (1), dvd premiere (5), tv release (2), blu-ray release (1)</t>
  </si>
  <si>
    <t>Kick-Ass</t>
  </si>
  <si>
    <t>tt1250777</t>
  </si>
  <si>
    <t>Dave Lizewski is an unnoticed high school student and comic book fan who one day decides to become a super-hero, even though he has no powers, training or meaningful reason to do so.</t>
  </si>
  <si>
    <t>Shut up. Kick-ass.</t>
  </si>
  <si>
    <t>Action, Crime</t>
  </si>
  <si>
    <t>marv, plan b entertainment, mandate pictures, lionsgate</t>
  </si>
  <si>
    <t>Omari Hardwick, Chlo‚àö¬¥ Grace Moretz, Clark Duke, Yancy Butler, Joe Bacino, Elizabeth McGovern, Christopher Mintz-Plasse, Michael Rispoli, Russell De Rozario, Evan Peters, Russell Bentley, Carlos Besse Peres, Mark Strong, Tangara Jones, Max White, Anthony Desio, Garrett M. Brown, Jacob Cartwright, Maurice DuBois, Stu 'Large' Riley, Daphne Cheung, Randall Batinkoff, Adam Blampied, Wayne Curnew, Dana Tyler, Aaron Taylor-Johnson, Kenneth Simmons, Annie Cooper, Dexter Fletcher, Tamer Hassan, Xander Berkeley, Tim Plester, Corey Johnson, Alexander Hathaway, Kirk Tingblad, Quinn Smith, Louis Young, Deborah Twiss, Craig Ferguson, Jason Flemyng, Ohene Cornelius, Hubert Boorder, Sophie Wu, Peter Bartfay, Omar A. Soriano, Adrian Martinez, Dan Duran, Val Jobara, Jason Salkey, Johnny Hopkins, Dean Copkov, Lyndsy Fonseca, Christopher McGuire, Kofi Natei, Rab Affleck, Katrena Rochell, Nicolas Cage</t>
  </si>
  <si>
    <t>Matthew Vaughn</t>
  </si>
  <si>
    <t>Ben Davis</t>
  </si>
  <si>
    <t>Matthew Vaughn, Mark Millar, John Romita Jr., Jane Goldman</t>
  </si>
  <si>
    <t>Matthew Vaughn, Adam Bohling, Tarquin Pack, John Romita Jr., David Reid, Brad Pitt, Jeremy Kleiner, Pierre Lagrange, Stephen Marks, Mark Millar, Kris Thykier</t>
  </si>
  <si>
    <t>Marius de Vries, John Murphy, Ilan Eshkeri, Henry Jackman</t>
  </si>
  <si>
    <t>/iHMbrTHJwocsNvo5murCBw0CwTo.jpg</t>
  </si>
  <si>
    <t>kick-ass</t>
  </si>
  <si>
    <t>south by southwest film festival (1), premiere (3), london (1), blank (57), night visions film festival (1), german speaking region (1), limited (1), brussels international fantastic film festival (1), french speaking region (1), buenos aires (1), old town taito international comedy film festival (1), miyazaki film festival (1), internet (2)</t>
  </si>
  <si>
    <t>Greenberg</t>
  </si>
  <si>
    <t>tt1234654</t>
  </si>
  <si>
    <t>Roger Greenberg, a failed musician now making a living as a carpenter in New York, returns to Los Angeles to house-sit for his brother. He's stranded there‚Äö√Ñ√Æsince he doesn't drive‚Äö√Ñ√Æuntil his brother's assistant, Florence, comes to his rescue. She's as much a lost soul as he is, and the pair form a significant connection‚Äö√Ñ√Ægiving Roger a much-needed reason to be happy.</t>
  </si>
  <si>
    <t>He's got a lot on his mind.</t>
  </si>
  <si>
    <t>Comedy, Drama, Romance</t>
  </si>
  <si>
    <t>focus features, scott rudin productions, twins financing</t>
  </si>
  <si>
    <t>Jake Paltrow, Blair Tefkin, Zoe Di Stefano, Sydney Rouviere, Megan Helbing, Greta Gerwig, Heather Lockie, Susan Traylor, Chris Messina, Nick Nordella, Emily Kuntz, Norizzela Monterroso, Maria Snow, Chris Coy, Rhys Ifans, Ramona Gonzalez, Juno Temple, Robert N. Wolfe, Charlotte Vida Silverman, Trace Webb, Aaron Wrinkle, Nicole Luizzi, Cole M. Grief-Neil, Meghan Keeler, Alfredo Marin, Alessandra Ford Balazs, Mark Duplass, Ben Stiller, Jennifer Jason Leigh, Koby Rouviere, Luke Clements, Trent Gill, Karen Strong, Meegan Michel, Erica Huggins, Carla Vila, Jeremy Barber, Anna Culp, Zosia Mamet, Layla Delridge, Zach Chassler, Dave Franco, Emily Lacy, Danny Minnick, Sophie Savides, Jessica Mills, Merritt Wever, Micah Schaffer, Dale J.E. Herbert II, Desira Pesta, Mina Badie, Brie Larson, Max Hoffman, Sandra Valladares</t>
  </si>
  <si>
    <t>Noah Baumbach</t>
  </si>
  <si>
    <t>Harris Savides</t>
  </si>
  <si>
    <t>Jennifer Jason Leigh, Noah Baumbach</t>
  </si>
  <si>
    <t>Lila Yacoub, Jennifer Jason Leigh, Scott Rudin</t>
  </si>
  <si>
    <t>James Murphy</t>
  </si>
  <si>
    <t>/jAsN4vPpycVxC89QlA6NYBXRuK7.jpg</t>
  </si>
  <si>
    <t>greenberg</t>
  </si>
  <si>
    <t>berlin international film festival (1), glasgow film festival (1), los angeles, california (1), new york city, new york (1), limited (1), blank (19), bradford international film festival (1), german speaking region (1), hela sveriges film festival (1), belfast film festival (1), french speaking region (1), dvd premiere (3), morelia international film festival (1), tv premiere (1)</t>
  </si>
  <si>
    <t>Nanny McPhee and the Big Bang</t>
  </si>
  <si>
    <t>tt1415283</t>
  </si>
  <si>
    <t>Nanny McPhee appears at the door of a harried young mother who is trying to run the family farm while her husband is away at war. But once she‚Äö√Ñ√¥s arrived, Nanny discovers that the children are fighting a war of their own against two spoiled city cousins who have just moved in. Relying on everything from a flying motorcycle and a statue that comes to life to a tree-climbing piglet and a baby elephant, Nanny uses her magic to teach her mischievous charges five new lessons.</t>
  </si>
  <si>
    <t>The magic's back, warts and all.</t>
  </si>
  <si>
    <t>Comedy, Fantasy, Family</t>
  </si>
  <si>
    <t>three strange angels, relativity media, working title films, studiocanal, universal pictures</t>
  </si>
  <si>
    <t>United States of America, United Kingdom, France</t>
  </si>
  <si>
    <t>Emma Thompson, Bill Bailey, Maggie Gyllenhaal, Eros Vlahos, Oscar Steer, Daniel Mays, Maggie Smith, Rhys Ifans, Sinead Matthews, Ralph Fiennes, Sam Kelly, Nonso Anozie, Nathan Robinson, Rosie Taylor-Ritson, Lil Woods, Asa Butterfield, Katy Brand, Toby Sedgwick, Ed Stoppard, Ewan McGregor</t>
  </si>
  <si>
    <t>Susanna White</t>
  </si>
  <si>
    <t>Mike Eley</t>
  </si>
  <si>
    <t>Emma Thompson, Christianna Brand</t>
  </si>
  <si>
    <t>Tim Bevan, Emma Thompson, Liza Chasin, Debra Hayward, Lindsay Doran, Eric Fellner</t>
  </si>
  <si>
    <t>James Newton Howard</t>
  </si>
  <si>
    <t>/9cgHfgBXVZmVR63AhwJ82R1kAFS.jpg</t>
  </si>
  <si>
    <t>nanny mcphee and the big bang</t>
  </si>
  <si>
    <t>amsterdam (1), premiere (1), blank (54), german speaking region (1), french speaking region (1), aruba international film festival (1), dvd premiere (3), kawasaki shinyuri film festival (1), internet (2)</t>
  </si>
  <si>
    <t>6 Souls</t>
  </si>
  <si>
    <t>tt1179069</t>
  </si>
  <si>
    <t>A female forensic psychiatrist discovers that all of one of her patient's multiple personalities are murder victims. She will have to find out what's happening before her time is finished.</t>
  </si>
  <si>
    <t>Evil will rise.</t>
  </si>
  <si>
    <t>Horror, Mystery, Thriller</t>
  </si>
  <si>
    <t>nala films, maraci/edelstein films, im global, shelter productions</t>
  </si>
  <si>
    <t>Chaz Moneypenny, KatiAna Davis, Diane Jonardi, Nate Corddry, John Peakes, Rick Applegate, James Howard, Irene Ziegler, Charles David Richards, Michael Graves, Giovanna Yannotti, Stephanie Macdougall, Jeffrey DeMunn, Charles Techman, Tamara Johnson, Steven Rishard, David Dale McCue, Brooklynn Proulx, Michael Mihalich, Julianne Moore, Frances Conroy, Brian Anthony Wilson, Loretta Higgins, Jonathan Rhys Meyers, Jules Sylvester, Joyce Feurring</t>
  </si>
  <si>
    <t>Bj‚àö‚àÇrn Stein, M‚àö‚Ä¢ns M‚àö‚Ä¢rlind</t>
  </si>
  <si>
    <t>Linus Sandgren</t>
  </si>
  <si>
    <t>Michael Cooney</t>
  </si>
  <si>
    <t>Neal Edelstein, Emilio Diez Barroso, Mike Macari, Darlene Caamano Loquet</t>
  </si>
  <si>
    <t>John Frizzell</t>
  </si>
  <si>
    <t>/q9LsEYMMMlFKZTzSGmoQnKh57WD.jpg</t>
  </si>
  <si>
    <t>6 souls</t>
  </si>
  <si>
    <t>blank (16), stockholm international film festival (1), dvd and blu-ray premiere (3), dvd premiere (4), internet (1), limited (1), dvd release (1)</t>
  </si>
  <si>
    <t>The Last Song</t>
  </si>
  <si>
    <t>tt1294226</t>
  </si>
  <si>
    <t>A drama centered on a rebellious girl who is sent to a Southern beach town for the summer to stay with her father. Through their mutual love of music, the estranged duo learn to reconnect.</t>
  </si>
  <si>
    <t>A story about family, first love, second chances and the moment in life that lead you back home.</t>
  </si>
  <si>
    <t>Drama, Family, Romance</t>
  </si>
  <si>
    <t>touchstone pictures, hopetown entertainment</t>
  </si>
  <si>
    <t>Michael Jamorski, Hallock Beals, Carrie Malabre, Rhoda Griffis, Liam Hemsworth, Kate Vernon, Bonnie Johnson, Adam Barnett, Nick Searcy, Carly Chaikin, Stephanie Leigh Schlund, Kelly Preston, Bobby Coleman, Anthony Paderewski, Nick Lashaway, Miley Cyrus, Melissa Ordway, Greg Kinnear, Lance E. Nichols</t>
  </si>
  <si>
    <t>Julie Anne Robinson</t>
  </si>
  <si>
    <t>John Lindley</t>
  </si>
  <si>
    <t>Nicholas Sparks, Jeff Van Wie</t>
  </si>
  <si>
    <t>Jennifer Gibgot, Adam Shankman</t>
  </si>
  <si>
    <t>Aaron Zigman</t>
  </si>
  <si>
    <t>/76twEOHXAM2oKnvZYBI5bP6GeDu.jpg</t>
  </si>
  <si>
    <t>the last song</t>
  </si>
  <si>
    <t>blank (36), german speaking region (1), buenos aires (1), premiere (1), dvd premiere (2), internet (1)</t>
  </si>
  <si>
    <t>Why Did I Get Married Too?</t>
  </si>
  <si>
    <t>tt1391137</t>
  </si>
  <si>
    <t>Four couples reunite for their annual vacation in order to socialize and to spend time analyzing their marriages. Their intimate week in the Bahamas is disrupted by the arrival of an ex-husband determined to win back his recently remarried wife.</t>
  </si>
  <si>
    <t>Marriage is an institution they're committed to.</t>
  </si>
  <si>
    <t>Comedy, Romance</t>
  </si>
  <si>
    <t>lions gate films, tyler perry studios</t>
  </si>
  <si>
    <t>Richard T. Jones, Tasha Smith, Jill Scott, Michael Jai White, Tyler Perry, Malik Yoba, Lamman Rucker, Dwayne Johnson, Sharon Leal, Janet Jackson, Louis Gossett Jr., Cicely Tyson</t>
  </si>
  <si>
    <t>Tyler Perry</t>
  </si>
  <si>
    <t>Toyomichi Kurita</t>
  </si>
  <si>
    <t>Tyler Perry, Reuben Cannon</t>
  </si>
  <si>
    <t>/gbSqG5ur1ipvs6WvGdQvc6Bt2K4.jpg</t>
  </si>
  <si>
    <t>why did i get married too?</t>
  </si>
  <si>
    <t>new york city, new york (1), premiere (1), limited (1), blank (7), dvd premiere (4), tv premiere (1)</t>
  </si>
  <si>
    <t>Date Night</t>
  </si>
  <si>
    <t>tt1279935</t>
  </si>
  <si>
    <t>Phil and Claire Foster fear that their mild-mannered relationship may be falling into a stale rut. During their weekly date night, their dinner reservation leads to their being mistaken for a couple of thieves‚Äö√Ñ√Æand now a number of unsavoury characters want Phil and Claire killed.</t>
  </si>
  <si>
    <t>One ordinary couple. One little white lie.</t>
  </si>
  <si>
    <t>Comedy, Action, Adventure</t>
  </si>
  <si>
    <t>dune entertainment, 21 laps entertainment, 20th century fox</t>
  </si>
  <si>
    <t>‚óä¬¢√∑¬•‚óä√´√∑‚àû‚óä¬Æ√∑¬•‚óä√¥‚óä‚Ñ¢, English</t>
  </si>
  <si>
    <t>Bill Burr, Gal Gadot, Jeff Grossman, JB Smoove, Common, William Fichtner, Taraji P. Henson, Jaye Razor, Kat Howland, Dianne Kwon, Chris Haemmerle, Vivian Khouri, Mark Wahlberg, Natalie Cohen, Savannah Paige Rae, Jahnel Curfman, Tracy Dali, January Adams, Stella Angelova, Keven Kaddi, Ray Liotta, Karina Michel, John Cenatiempo, Jonathan Morgan Heit, Rich Campbell, James Franco, Tina Fey, Michelle Celeste Assil, Tony DeSean, Stacey Scowley, Lourdes Regala, will.i.am, Gillian Vigman, Jimmi Simpson, Lauren Hayes, Nikki Tomlinson, Jim Garrity, Leighton Meester, Joe Starr, Sabella Shake, Katie Gill, Dylan Saccoccio, Kristen Wiig, Mark Ruffalo, Steve Carell, Mila Kunis, Michelle Galdenzi, Lauren Weedman, Jason Jones, Jordan Stone, Nick Kroll, Woody Schultz, Jon Bernthal, Jeff Barry, Theo Breaux, Chayim Frenkel, Kate Rogal, Ari Graynor, Joseph Williams, Rachel Bernstein, Olivia Munn, David Block, Dani Playel, Samantha Bee, John J. Schneider, Sho Brown, Etalvia Cashin, Darren Le Gallo, Peter Conboy, Alandrea Martin, Hal Devi, Evans Forlidas</t>
  </si>
  <si>
    <t>Shawn Levy</t>
  </si>
  <si>
    <t>Dean Semler</t>
  </si>
  <si>
    <t>Josh Klausner</t>
  </si>
  <si>
    <t>Josh McLaglen, Shawn Levy, Joseph M. Caracciolo Jr., Tom McNulty</t>
  </si>
  <si>
    <t>/ucEWhj32KEDcFKHMWVeu8r1Q4ld.jpg</t>
  </si>
  <si>
    <t>date night</t>
  </si>
  <si>
    <t>new york city, new york (1), premiere (1), blank (44), german speaking region (1), french speaking region (1), shanghai international film festival (1), dvd premiere (4)</t>
  </si>
  <si>
    <t>Death at a Funeral</t>
  </si>
  <si>
    <t>tt1321509</t>
  </si>
  <si>
    <t>Aaron's father's funeral is today at the family home, and everything goes wrong: the funeral home delivers the wrong body, his cousin accidentally drugs her fianc‚àö¬©, and Aaron's successful younger brother, Ryan, flies in from New York, broke but arrogant. To top it all off, a mysterious stranger wants a word with Aaron.</t>
  </si>
  <si>
    <t>This is one sad family.</t>
  </si>
  <si>
    <t>parabolic pictures, wonderful films, stable way entertainment, sidney kimmel entertainment</t>
  </si>
  <si>
    <t>Betty K. Bynum, Regina Hall, Danny Glover, Youlanda Davis, Jamison Yang, James Marsden, Ron Glass, Luke Wilson, Columbus Short, Martin Lawrence, Peter Dinklage, Leslie Rivers, Loretta Devine, Tracy Morgan, Keith David, Regine Nehy, Zoe Salda‚àö¬±a, Bronwyn Hardy, Katelyn Statton, Chris Rock, Kevin Hart</t>
  </si>
  <si>
    <t>Neil LaBute</t>
  </si>
  <si>
    <t>Rogier Stoffers</t>
  </si>
  <si>
    <t>Dean Craig</t>
  </si>
  <si>
    <t>Trae Ireland, Jim Tauber, Dean Craig, Sidney Kimmel, Glenn S. Gainor, Share Stallings, Chris Rock, Bruce Toll, Laurence Malkin, William Horberg</t>
  </si>
  <si>
    <t>/oBCQYMJTqV3qLjrvZ5sTZUCBky7.jpg</t>
  </si>
  <si>
    <t>death at a funeral</t>
  </si>
  <si>
    <t>los angeles, california (1), premiere (1), blank (17), limited (1), dvd premiere (8), blu-ray release (1), tv premiere (2), internet (4)</t>
  </si>
  <si>
    <t>Boogie Woogie</t>
  </si>
  <si>
    <t>tt1134664</t>
  </si>
  <si>
    <t>In London's contemporary art world, everyone has a hustle. Art Spindle runs a high-end gallery: he hopes to flip a Mondrian for millions. One of his assistants, Beth, is sleeping with Art's most acquisitive client, Bob Macclestone. Beth wants Bob to set her up in her own gallery, so she helps him go behind Art's back for the Mondrian. Bob's wife, Jean, sets her eye on a young conceptual artist, Jo, who lusts after Art's newest assistant, Paige. Meanwhile, self-absorbed videographer Elaine is chewing her way through friends and lovers looking to make it: if she'll throw Dewey, her agent, under the bus, Beth may give her a show. And the Mondrian? No honor among thieves.</t>
  </si>
  <si>
    <t>Seduction. Betrayal. Death. There's an Art to Everything.</t>
  </si>
  <si>
    <t>Comedy, Drama</t>
  </si>
  <si>
    <t>ifc films, arcade films, the works, constance media, firefly films, muse productions, p&amp;c arcade film fund, magna films, s films, autonomous, colourframe</t>
  </si>
  <si>
    <t>Stephen Greif, Jack Huston, Sergio James, Rosie Fellner, Alfie Allen, Jos‚àö¬©phine de la Baume, Michael Estorick, Sidney Cole, Charlotte Rampling, Silas Carson, Joanna Lumley, Heather Graham, Alma Eno, Jaime Winstone, Jenny Runacre, Maria Papas, Gemma Atkinson, Simon McBurney, Jan Uddin, Danny Huston, Alan Cumming, Stellan Skarsg‚àö‚Ä¢rd, Amanda Seyfried, Gillian Anderson, Meredith Ostrom, Michael Culkin, Ebe Sievwright, Christopher Lee</t>
  </si>
  <si>
    <t>Duncan Ward</t>
  </si>
  <si>
    <t>John Mathieson</t>
  </si>
  <si>
    <t>Sara Harper Barnes, Danny Moynihan</t>
  </si>
  <si>
    <t>Kami Naghdi, Matias Rojas, Katrine Boorman, Christopher Simon, Charles Haswell, Robert Whitehouse, Danny Moynihan, Leonid Rozhetskin, Cat Villiers, Valentine Stockdale, Chris Hanley, Matthew Hobbs, Christopher Figg</t>
  </si>
  <si>
    <t>Janusz Podrazik</t>
  </si>
  <si>
    <t>/plnHFNGI1ToCFhyyYU3bb0AmDpl.jpg</t>
  </si>
  <si>
    <t>boogie woogie</t>
  </si>
  <si>
    <t>edinburgh international film festival (1), dinard festival of british cinema (1), limited (2), dvd premiere (7), blank (1)</t>
  </si>
  <si>
    <t>The Joneses</t>
  </si>
  <si>
    <t>tt1285309</t>
  </si>
  <si>
    <t>A seemingly perfect family moves into a suburban neighborhood, but when it comes to the truth as to why they're living there, they don't exactly come clean with their neighbors.</t>
  </si>
  <si>
    <t>They're not just living the American dream, they're selling it.</t>
  </si>
  <si>
    <t>echo lake entertainment, premiere picture, 20th century fox</t>
  </si>
  <si>
    <t>Kim Wall, Robert Pralgo, Christine Evangelista, L. Warren Young, Jason Horgan, Glenne Headly, Ashley LeConte Campbell, Jenson Goins, Gary Cole, Ric Reitz, Sonya Thompson, John Atwood, David Duchovny, Norma Kuhling, Demi Moore, Niko Novick, Terrence Gibney, Joe Narciso, Lauren Hutton, Amber Heard, Tiffany Morgan, Jennifer Van Horn, Jayson Warner Smith, Jason MacDonald, Chris Williams, Ron Clinton Smith, Roy McCrerey, Andrew DiPalma, Benjamin Hollingsworth, Catherine Dyer, Hayes Mercure, Steve Barnes</t>
  </si>
  <si>
    <t>Derrick Borte</t>
  </si>
  <si>
    <t>Yaron Orbach</t>
  </si>
  <si>
    <t>Randy Dinzler, Derrick Borte</t>
  </si>
  <si>
    <t>Derrick Borte, Andrew Spaulding</t>
  </si>
  <si>
    <t>Nick Urata</t>
  </si>
  <si>
    <t>/5YINGouZK9pmPdMPAHv158eQf3o.jpg</t>
  </si>
  <si>
    <t>the joneses</t>
  </si>
  <si>
    <t>toronto international film festival (1), worldfest houston (1), dallas international film festival (1), limited (1), blank (23), deauville american film festival (1), dvd premiere (6), panorama of european cinema (1), tv premiere (2)</t>
  </si>
  <si>
    <t>Mammuth</t>
  </si>
  <si>
    <t>tt1473074</t>
  </si>
  <si>
    <t>Serge Pilardosse has just turned 60. He has worked since the age of 16, never unemployed, never sick. But the hour of retirement has come, and it is disillusionment: he is missing points, some employers having forgotten to declare it! Pushed by Catherine, his wife, he gets on his old motorcycle from the 70s, a "Mammut" which earned him his nickname, and sets off in search of his pay slips. During his journey, he rediscovers his past and his quest for administrative documents soon becomes incidental...</t>
  </si>
  <si>
    <t>A retiree battles to obtain his rightfully due pension.</t>
  </si>
  <si>
    <t>gmt productions, no money productions</t>
  </si>
  <si>
    <t>France</t>
  </si>
  <si>
    <t>Fran‚àö√üais</t>
  </si>
  <si>
    <t>Yolande Moreau, Blutch, Dick Annegarn, Albert Delpy, Joseph Dahan, Bruno Lochet, Isabelle Adjani, Philippe Nahon, Beno‚àö√Üt Poelvoorde, Anna Mouglalis, Catherine Hosmalin, Miss Ming, Paulo Anarkao, R‚àö¬©my Roubakha, G‚àö¬©rard Depardieu, Bouli Lanners, Gustave Kervern, Sin‚àö¬©</t>
  </si>
  <si>
    <t>Beno‚àö√Üt Del‚àö¬©pine, Gustave Kervern</t>
  </si>
  <si>
    <t>Hugues Poulain</t>
  </si>
  <si>
    <t>Christophe Valette, V‚àö¬©ronique Marchat, Jean-Pierre Gu‚àö¬©rin</t>
  </si>
  <si>
    <t>Ga‚àö¬¥tan Roussel</t>
  </si>
  <si>
    <t>/f19wwAy4q1oAmGRBLvxRIq3bvd1.jpg</t>
  </si>
  <si>
    <t>mammuth</t>
  </si>
  <si>
    <t>berlin international film festival (1), blank (15), french speaking region (1), sydney film festival (1), shanghai international film festival (1), agde film festival (1), odessa international film festival (1), melbourne international film festival (1), german speaking region (1), mar del plata film festival (1), hong kong french film festival (1), thessaloniki international film festival (1), palm springs international film festival (1), festival du film fran√ßais au japon (1), brussels international film festival (1)</t>
  </si>
  <si>
    <t>The Back-Up Plan</t>
  </si>
  <si>
    <t>tt1212436</t>
  </si>
  <si>
    <t>When Zoe tires of looking for Mr. Right, she decides to have a baby on her own. But on the day she's artificially inseminated, she meets Stan, who seems to be just who she's been searching for all her life. Now, Zoe has to figure out how to make her two life's dreams fit with each other.</t>
  </si>
  <si>
    <t>Fall in love, get married, have a baby. Not necessarily in that order.</t>
  </si>
  <si>
    <t>escape artists, cbs films</t>
  </si>
  <si>
    <t>Jennifer Lopez, Alex O'Loughlin, Manos Gavras, Taylor Benson, Stan Mazin, Jared Gilmore, Wes Whitehead, Adam Rose, Jian Leonardo, Peggy Miley, Anthony Anderson, Art Frankel, Don Abernathy, Tom Bosley, Anushka Jones, Isabelle Jones, Cailin Loesch, Logan Lauriston, Samantha Hall, Skylar Weber, Birl Jonns, Hannah Loesch, Dita de Leon, Marlowe Peyton, Christine Lozano, Zachary Weber, Donna Ponterotto, Sadie May Beebe, Elisabeth Abbott, Sofia Luca, Eric Christian Olsen, Linda Lavin, Erin Pickett, Brenda Grate, Louis C. Oberlander, Adriana James, Robert Klein, Barbara Perry, Shoniqua Shandai, Rizi Timane, Skip Cunningham, Olivia Jones, Noureen DeWulf, Jason Babinsky, Jack Mattis, Payton Lucas, Bobbie Bates, Melissa McCarthy, Frank Welker, Rowan Blanchard, Kara Elizabeth Silva, Eder L‚àö‚â•pez, Jennifer Elise Cox, Felix Chavez, Lili Mirojnick, Carlease Burke, Rich Campbell, Anslem King, Brandon Herman, Riley Jones, Danneel Ackles, Beverly Polcyn, Amy Block, Bunny Gibson, John Ronald Dennis, Cesar Millan, Michaela Watkins, Maribeth Monroe, Riley B. Smith, Carter Sand, Chalo Gonz‚àö¬∞lez</t>
  </si>
  <si>
    <t>Alan Poul</t>
  </si>
  <si>
    <t>Xavier Grobet</t>
  </si>
  <si>
    <t>Kate Angelo</t>
  </si>
  <si>
    <t>Jason Blumenthal, David Bloomfield, Steve Tisch, Rodney Liber, Todd Black</t>
  </si>
  <si>
    <t>Stephen Trask</t>
  </si>
  <si>
    <t>/fB6PxwdydGzdq5jSWrxwSMEqSFs.jpg</t>
  </si>
  <si>
    <t>the back-up plan</t>
  </si>
  <si>
    <t>blank (42), french speaking region (1), german speaking region (1), dvd premiere (2)</t>
  </si>
  <si>
    <t>The Losers</t>
  </si>
  <si>
    <t>tt0480255</t>
  </si>
  <si>
    <t>On a mission deep in the Bolivian jungle, a team of elite commandos finds itself on the receiving end of a lethal betrayal. Now presumed dead, the men join forces with a mysterious operative named Aisha to hunt down their enemy and even the score.</t>
  </si>
  <si>
    <t>Anyone else would be dead by now.</t>
  </si>
  <si>
    <t>Action, Adventure, Crime, Mystery, Thriller</t>
  </si>
  <si>
    <t>dark castle entertainment, weed road pictures, warner bros. pictures, dc vertigo</t>
  </si>
  <si>
    <t>United States of America, France</t>
  </si>
  <si>
    <t>Garrett Warren, Thomas R. Nunan III, Jeffrey Dean Morgan, Idris Elba, Ramiro 'Ramir' Delgado Ruiz, Gunner Wright, Rafael Lopez Diaz, Jason Patric, Lindsey Sutton, Robert Slavonia, Alan J. Trudeau, Kirk Sullivan, Debbie Ann Rivera, Alanis M. Salinas, John Galindez, Colin Follenweider, Holt McCallany, ‚àö√¨scar Jaenada, Peter Macdissi, Daniel Kalal, Mark Ginther, Marcos Davila, Zoe Salda‚àö¬±a, Peter Francis James, Norman Grant, Isaac Santiago, Ernesto Morales Ramos, Rey Hernandez, Evan Mirand, Chris Evans, Noel Estrella, Krissy Korn, Tanee McCall, Manuel O. Velazquez, Columbus Short</t>
  </si>
  <si>
    <t>Sylvain White</t>
  </si>
  <si>
    <t>Scott Kevan</t>
  </si>
  <si>
    <t>Andy Diggle, Peter Berg, James Vanderbilt, Jock</t>
  </si>
  <si>
    <t>Joel Silver, Stuart M. Besser, Andrew Rona, Sarah Aubrey, Akiva Goldsman, Kerry Foster, Steven Richards</t>
  </si>
  <si>
    <t>John Ottman</t>
  </si>
  <si>
    <t>/b9dVH0n7YnBqLmW2c5AzftxhhpH.jpg</t>
  </si>
  <si>
    <t>the losers</t>
  </si>
  <si>
    <t>hollywood, california (1), premiere (1), blank (30), video premiere (9), dvd premiere (2), blu-ray premiere (1), tv release (1), internet (2)</t>
  </si>
  <si>
    <t>Ip Man 2</t>
  </si>
  <si>
    <t>tt1386932</t>
  </si>
  <si>
    <t>cn</t>
  </si>
  <si>
    <t>√ã√´√¢√Ç√Ø√®2</t>
  </si>
  <si>
    <t>Having defeated the best fighters of the Imperial Japanese army in occupied Shanghai, Ip Man and his family settle in post-war Hong Kong. Struggling to make a living, Master Ip opens a kung fu school to bring his celebrated art of Wing Chun to the troubled youth of Hong Kong. His growing reputation soon brings challenges from powerful enemies, including pre-eminent Hung Gar master, Hung Quan.</t>
  </si>
  <si>
    <t>Behind every great martial artist lies a teacher.</t>
  </si>
  <si>
    <t>Action, History, Drama</t>
  </si>
  <si>
    <t>mandarin films, golden harvest company, henan film &amp; tv production group, beijing shengshi huarei film investment &amp; management co., desen international media, prosperity pictures, foshan pearl river media group, donlord skykee film investment, teng yuan film &amp; tv media, beijing baron stars culture media, shenzhen haiguchi investment, beijing xinyinglian cinema circuit</t>
  </si>
  <si>
    <t>China, Hong Kong</t>
  </si>
  <si>
    <t>√ä√¥√Ü√à√Ñ√∂√ã√ò√π, √ÇœÄ√∏√Ç‚àë√ª√ã√ò√π / √Ç¬™¬£√Ç‚àë√ª√ã¬©¬±, English</t>
  </si>
  <si>
    <t>Lynn Hung Doi-Lam, Sammo Hung Kam-Bo, Li Chak, Christian Kang Bachini, Tomer Oz, Li Huiying, Louis Fan Siu-Wong, Lu Meifang, Stefan Morawietz, Lo Meng, Darren Shahlavi, Ngo Ka-Nin, Ashton Chen, Fung Hak-On, Donnie Yen, Yuan Xinran, Brian Thomas Burrell, Calvin Cheng, Charles Mayer, Tian Rui, Simon Yam, Dennis To Yu-Hang, Lam Hak-Ming, Huang Xiaoming, Jiang Daiyan, Ma Zengqin, Kent Cheng Jak-Si</t>
  </si>
  <si>
    <t>Wilson Yip</t>
  </si>
  <si>
    <t>Poon Hang-Sang</t>
  </si>
  <si>
    <t>Edmond Wong Chi-Mun, Choi Hiu-Yan, Chan Tai-Lee</t>
  </si>
  <si>
    <t>An Xiaofen, Raymond Wong Pak-Ming, Zheng Qianghui, Gao Jun, Li Xin, Zong Shujie</t>
  </si>
  <si>
    <t>Kenji Kawai</t>
  </si>
  <si>
    <t>/aC5nwtbadmJqvl4eVCJPno16Mx5.jpg</t>
  </si>
  <si>
    <t>ip man 2</t>
  </si>
  <si>
    <t>blank (12), udine far east film festival (1), fantasia international film festival (1), berlin fantasy filmfest (1), toronto reel asian international film festival (1), tokyo international film festival (1), taipei golden horse film festival (1), limited (1), blu-ray release (1), blu-ray premiere (1), shanghai international film festival (1), dvd premiere (1), internet (2)</t>
  </si>
  <si>
    <t>A Nightmare on Elm Street</t>
  </si>
  <si>
    <t>tt1179056</t>
  </si>
  <si>
    <t>Teenagers Nancy, Quentin, Kris, Jesse and Dean are all neighborhood friends who begin having the same dream of a horribly disfigured man who wears a tattered sweater and a glove made of knives. The man terrorizes them in their dreams, and the only escape is to wake up. But when, one by one, they start dying violently, the friends realize that what happens in the dream world is real, and the only way to stay alive is to stay awake.</t>
  </si>
  <si>
    <t>Welcome to your new nightmare.</t>
  </si>
  <si>
    <t>platinum dunes, new line cinema, warner bros. pictures</t>
  </si>
  <si>
    <t>Thomas Dekker, Dominick Coviello, Kyra Krumins, Christian Stolte, Julianna Damm, Leah Uteg, Don Robert Cass, Hailey Schooping Knight, Scott Lindvall, Kurt Naebig, Katie Cassidy, Parker Bagley, Aaron Yoo, Christine Crawley, Pete A. Kelly, Jackie Earle Haley, Kyle Gallner, Rooney Mara, Connie Britton, Brayden Coyer, Christopher Woods, Andrew Fiscella, Kellan Lutz, Bob Kizer, Katie Schooping Knight, Clancy Brown, Jennifer Robers, Tania Randall, Max Holt, Rob Riley, Lia D. Mortensen, Jason Brandstetter, Logan Stalzer</t>
  </si>
  <si>
    <t>Samuel Bayer</t>
  </si>
  <si>
    <t>Jeff Cutter</t>
  </si>
  <si>
    <t>Eric Heisserer, Wes Craven, Wesley Strick</t>
  </si>
  <si>
    <t>Brad Fuller, Michael Lynne, Mike Drake, Andrew Form, Robert Shaye, Richard Brener, Dave Neustadter, Michael Bay, Walter Hamada</t>
  </si>
  <si>
    <t>Steve Jablonsky</t>
  </si>
  <si>
    <t>/nsmW28GcNabCUZfP5YtUEe8Li0f.jpg</t>
  </si>
  <si>
    <t>a nightmare on elm street</t>
  </si>
  <si>
    <t>hollywood, california (1), premiere (3), blank (54), buenos aires (1), french speaking region (1), german speaking region (1), ekek sika s√§kiss√§ film festival (1), madrid (1), blu-ray release (1), islas baleares (1), event (1), internet (1)</t>
  </si>
  <si>
    <t>Furry Vengeance</t>
  </si>
  <si>
    <t>tt0492389</t>
  </si>
  <si>
    <t>When real estate developer Dan Sanders finalizes plans to level a swath of pristine Oregon forest to make way for a soulless housing subdivision, a band of woodland creatures rises up to throw a monkey wrench into the greedy scheme. Just how much mischief from the furry critters can the businessman take before he calls it quits?</t>
  </si>
  <si>
    <t>He came. He saw. They conquered.</t>
  </si>
  <si>
    <t>Family, Comedy</t>
  </si>
  <si>
    <t>robert simonds productions</t>
  </si>
  <si>
    <t>Ricky Garcia, Dee Bradley Baker, Skyler Samuels, Gerry Bednob, Alexander Chance, D.C. Pierson, Angela Kinsey, Samantha Bee, Eugene Cordero, Billy Bush, Jim Norton, Toby Huss, Brooke Shields, Alice Drummond, Ken Jeong, Brendan Fraser, Patrice O'Neal, Wallace Shawn, Rob Riggle, Matt Prokop</t>
  </si>
  <si>
    <t>Roger Kumble</t>
  </si>
  <si>
    <t>Peter Lyons Collister</t>
  </si>
  <si>
    <t>Michael Carnes, Josh Gilbert</t>
  </si>
  <si>
    <t>Jeff Skoll, Ira Shuman, Brendan Fraser, Mohamed Khalaf Al-Mazrouei, Keith Goldberg, Robert Simonds</t>
  </si>
  <si>
    <t>Edward Shearmur</t>
  </si>
  <si>
    <t>/604qqquWBgFy34jLhHLtebFPQy6.jpg</t>
  </si>
  <si>
    <t>furry vengeance</t>
  </si>
  <si>
    <t>blank (37), dvd premiere (2), german speaking region (1)</t>
  </si>
  <si>
    <t>Survival of the Dead</t>
  </si>
  <si>
    <t>tt1134854</t>
  </si>
  <si>
    <t>Off the coast of North America, locals simultaneously fight a zombie epidemic while hoping for a cure to revert their undead relatives back to normal.</t>
  </si>
  <si>
    <t>Death isn't what it used to be.</t>
  </si>
  <si>
    <t>Horror, Comedy, Drama, Thriller</t>
  </si>
  <si>
    <t>blank of the dead productions, devonshire productions, new romero, sudden storm productions, voltage pictures</t>
  </si>
  <si>
    <t>Athena Karkanis, Matt Birman, Joris Jarsky, John Migliore, Richard Fitzpatrick, Kathleen Munroe, Devon Bostick, Eric Woolfe, Matthew Blazi, Kenneth Welsh, Ho Chow, Joshua Peace, Stefano DiMatteo, George Stroumboulopoulos, Julian Richings, Alan van Sprang, Wayne Robson</t>
  </si>
  <si>
    <t>George A. Romero</t>
  </si>
  <si>
    <t>Adam Swica</t>
  </si>
  <si>
    <t>Paula Devonshire</t>
  </si>
  <si>
    <t>Robert Carli</t>
  </si>
  <si>
    <t>/2BmqSRt10J2mpJmCgZbo5YYkQLj.jpg</t>
  </si>
  <si>
    <t>survival of the dead</t>
  </si>
  <si>
    <t>venice film festival (1), toronto international film festival (1), vienna international film festival (1), g√©rardmer fantasticarts film festival (1), munich fantasy filmfest nights (1), dvd premiere (7), brussels international fantastic film festival (1), amsterdam fantastic film festival (1), video on demand (1), blank (7), seattle international film festival (1), melbourne international film festival (1), dvd and blu-ray premiere (1), l'√©trange festival (1), dvd and blu-ray and premiere (1), motelx - lisbon international horror film festival (1), tokyo intenational zombie film festival (1)</t>
  </si>
  <si>
    <t>Four Lions</t>
  </si>
  <si>
    <t>tt1341167</t>
  </si>
  <si>
    <t>Four Lions tells the story of a group of British jihadists who push their abstract dreams of glory to the breaking point. As the wheels fly off, and their competing ideologies clash, what emerges is an emotionally engaging (and entirely plausible) farce.</t>
  </si>
  <si>
    <t>We are four Lions.</t>
  </si>
  <si>
    <t>Comedy, Crime, Drama</t>
  </si>
  <si>
    <t>warp films, wild bunch distribution, film4 productions, optimum releasing</t>
  </si>
  <si>
    <t>France, United Kingdom</t>
  </si>
  <si>
    <t>English, √ø√ü≈∏√ë√øœÄ√ø¬±√ø¬Æ≈∏√§√ø¬©, √ø√ü√ø¬±√ø√ò≈∏√†, ‚Ä°¬Æ‚Ñ¢‚Ä°¬©‚àû‚Ä°¬Æ√∫‚Ä°¬Æ√¶‚Ä°¬Æ¬®‚Ä°¬©√Ñ</t>
  </si>
  <si>
    <t>Preeya Kalidas, Wasim Zakir, Benedict Cumberbatch, Mohammad Aqil, Riz Ahmed, Adeel Akhtar, Darren Boyd, Alex Macqueen, Adil Mohammed Javed, Craig Parkinson, Toby Longworth, Julia Davis, Will Adamsdale, Kayvan Novak, Danny Ashok, Arsher Ali, Waleed Elgadi, Karl Seth, Nigel Lindsay, Marcus Garvey, Shameem Ahmad, Jonathan Maitland, Mark Morrell, Kevin Eldon</t>
  </si>
  <si>
    <t>Chris Morris</t>
  </si>
  <si>
    <t>Lol Crawley</t>
  </si>
  <si>
    <t>Sam Bain, Simon Blackwell, Chris Morris, Jesse Armstrong, Iain Morris</t>
  </si>
  <si>
    <t>Tessa Ross, Rita Dagher, Angus Aynsley, Mark Herbert, Alex Marshall, Peter Carlton, Will Clarke, Mark Findlay, Caroline Leddy, Carole Baraton, Derrin Schlesinger</t>
  </si>
  <si>
    <t>Jonathan Whitehead</t>
  </si>
  <si>
    <t>/x4JzaRPXBs9wiHCe3e3ymXWuwfd.jpg</t>
  </si>
  <si>
    <t>four lions</t>
  </si>
  <si>
    <t>sundance film festival (1), bradford film festival (1), blank (26), los angeles film festival (1), karlovy vary international film festival (1), durban film festival (1), melbourne international film festival (1), berlin fantasy filmfest (1), dvd premiere (5), l'√©trange festival (1), athens film festival (1), dinard festival of british cinema (1), augsburg filmtage (1), new british film festival (1), limited (1), stockholm international film festival (1), torino film festival (1), toronto (1), blu-ray release (2), taipei film festival (1), war on screen international film festival (1), syros international film festival (1)</t>
  </si>
  <si>
    <t>Badmaash Company</t>
  </si>
  <si>
    <t>tt1602476</t>
  </si>
  <si>
    <t>hi</t>
  </si>
  <si>
    <t>‚Ä°¬ß¬®‚Ä°¬ß¬∂‚Ä°¬ß√Ü‚Ä°¬ß√¶‚Ä°¬ß‚àÇ ‚Ä°¬ß√Ø‚Ä°¬ß√á‚Ä°¬ß‚Ñ¢‚Ä°¬ß¬Æ‚Ä°‚Ä¢√Ñ</t>
  </si>
  <si>
    <t>Four young friends decide to work together when one of them comes up with an innovative and lucrative business plan. But their lives begin to deteriorate when their personal issues surface.</t>
  </si>
  <si>
    <t>They did all the wrong things... The right way!</t>
  </si>
  <si>
    <t>Crime</t>
  </si>
  <si>
    <t>yash raj films</t>
  </si>
  <si>
    <t>India</t>
  </si>
  <si>
    <t>‚Ä°¬ßœÄ‚Ä°¬ß√∏‚Ä°¬ß¬Æ‚Ä°‚Ä¢√ß‚Ä°¬ß¬∂‚Ä°‚Ä¢√Ñ</t>
  </si>
  <si>
    <t>Shahid Kapoor, Kiran Juneja, Jameel Khan, Shalini Chandran, Vir Das, Anupam Kher, Pavan Malhotra, Anushka Sharma, Meiyang Chang</t>
  </si>
  <si>
    <t>Parmeet Sethi</t>
  </si>
  <si>
    <t>Sanjay Kapoor</t>
  </si>
  <si>
    <t>Parmeet Sethi, Anvita Dutt</t>
  </si>
  <si>
    <t>Aditya Chopra, Aashish Singh</t>
  </si>
  <si>
    <t>Pritam Chakraborty</t>
  </si>
  <si>
    <t>/bz1nDlkhUN1XB9rERhN1jYRe4ka.jpg</t>
  </si>
  <si>
    <t>badmaash company</t>
  </si>
  <si>
    <t>blank (5)</t>
  </si>
  <si>
    <t>The Switch</t>
  </si>
  <si>
    <t>tt0889573</t>
  </si>
  <si>
    <t>Kassie is a smart, fun-loving single woman who, despite her neurotic best friend Wally‚Äö√Ñ√¥s objections, decides it‚Äö√Ñ√¥s time to have a baby ‚Äö√Ñ√¨ even if it means doing it herself‚Äö√Ñ¬∂ with a little help from a charming sperm donor. But, unbeknownst to her, Kassie‚Äö√Ñ√¥s plans go awry because of a last-minute switch that isn‚Äö√Ñ√¥t discovered until seven years later‚Äö√Ñ¬∂ when Wally gets acquainted with Kassie‚Äö√Ñ√¥s cute, though slightly neurotic, son.</t>
  </si>
  <si>
    <t>The most unexpected comedy ever conceived.</t>
  </si>
  <si>
    <t>Comedy, Romance, Drama</t>
  </si>
  <si>
    <t>mandate pictures, echo films, miramax, bona fide productions</t>
  </si>
  <si>
    <t>Edward James Hyland, Brooke Hoover, Will Swenson, Lily Pilblad, Thomas Robinson, Amanda Barron, Kelli Barrett, Jason Jones, Juliette Lewis, Bryce Robinson, Carmen M. Herlihy, Todd Louiso, Jeremy Mohler, Jason Bateman, Victor Pagan, Jennifer Aniston, Rebecca Naomi Jones, Stephanie Domini, Brian Podnos, Scott Elrod, Caroline Dhavernas, Jeff Goldblum, Patrick Wilson</t>
  </si>
  <si>
    <t>Will Speck, Josh Gordon</t>
  </si>
  <si>
    <t>Jess Hall</t>
  </si>
  <si>
    <t>Allan Loeb, Jeffrey Eugenides</t>
  </si>
  <si>
    <t>Albert Berger, Jennifer Aniston, Kristin Hahn, Nathan Kahane, Ron Yerxa</t>
  </si>
  <si>
    <t>Alex Wurman</t>
  </si>
  <si>
    <t>/oJdMT6RGtbvQ26Tk7EHGfG8xZ6.jpg</t>
  </si>
  <si>
    <t>the switch</t>
  </si>
  <si>
    <t>hollywood, california (1), premiere (1), blank (42), french speaking region (1), limited (1), german speaking region (1), blu-ray premiere (1), dvd premiere (2)</t>
  </si>
  <si>
    <t>Robin Hood</t>
  </si>
  <si>
    <t>tt0955308</t>
  </si>
  <si>
    <t>When soldier Robin happens upon the dying Robert of Loxley, he promises to return the man's sword to his family in Nottingham. There, he assumes Robert's identity; romances his widow, Marion; and draws the ire of the town's sheriff and King John's henchman, Godfrey.</t>
  </si>
  <si>
    <t>Rise and rise again, until lambs become lions</t>
  </si>
  <si>
    <t>Action, Adventure, History</t>
  </si>
  <si>
    <t>imagine entertainment, relativity media, scott free productions</t>
  </si>
  <si>
    <t>English, Fran‚àö√üais, ‚Äì¬£‚Äì‚à´‚Äî√Ñ‚Äì‚àû‚Äî√≥‚ÄìŒ©‚Äî√Ö‚Äî√•‚Äì‚à´‚Äì‚àè‚ÄìœÄ</t>
  </si>
  <si>
    <t>Douglas Hodge, Gerard McSorley, Russell Crowe, Bronson Webb, Matthew Macfadyen, Roy Holder, Scott Grimes, Samuel Dupuy, Mark Lewis Jones, Robert Pugh, Denis M‚àö¬©nochet, William Hurt, Jonathan Zacca‚àö√ò, Abraham Belaga, Ruby Bentall, Oscar Isaac, Umit Ulgen, Will Richardson, Simon McBurney, Eric Rulliat, John O'Toole, L‚àö¬©a Seydoux, Ryan Stuart, Lothaire Gerard, Lisa Millett, Arthur Darvill, Denise Gough, Eileen Atkins, Giannina Facio, Joseph Hamilton, Cate Blanchett, Kevin Durand, Luke Evans, Ralph Ineson, Jessica Raine, Ciaran Flynn, Mat Laroche, James Burrows, Danny Huston, Lee Nicholas Harris, Thomas Arnold, Chris Jared, Tom Blyth, Ned Dennehy, Richard Riddell, Mark Ryder, Hannah Barrie, James Hamilton, Velibor Topic, Nick Lucas, Andrea Ware, Danny Patrick, Max von Sydow, Zuriel de Peslouan, Stuart Martin, Mark Strong, Steve Evets, Pip Carter, David Bertrand, Mark Addy, Jamie Beamish, Jake Curran, Jack Downham, Alan Charlesworth, Robert J. Fraser, Nicolas Simon, Nicky Bell, Harvey Walsh, John Atterbury, Lee Battle, Michael Koltes, John Nicholas, Alan Doyle</t>
  </si>
  <si>
    <t>Ridley Scott</t>
  </si>
  <si>
    <t>Cyrus Voris, Brian Helgeland, Ethan Reiff</t>
  </si>
  <si>
    <t>Russell Crowe, Brian Grazer, Ridley Scott, Charles J.D. Schlissel, Ryan Kavanaugh, Jim Whitaker, Michael Costigan</t>
  </si>
  <si>
    <t>Marc Streitenfeld</t>
  </si>
  <si>
    <t>/9NS5QGOfck24yL3bZqWeW06PgPC.jpg</t>
  </si>
  <si>
    <t>robin hood</t>
  </si>
  <si>
    <t>blank (81), french speaking region (1), italian speaking region (1), cannes film festival (1), german speaking region (1), dvd and blu-ray premiere (1), internet (1), dvd premiere (1)</t>
  </si>
  <si>
    <t>Princess Kaiulani</t>
  </si>
  <si>
    <t>tt1185344</t>
  </si>
  <si>
    <t>Princess Ka'iulani</t>
  </si>
  <si>
    <t>Ka'iulani, a 19th-century Hawaiian princess, is raised in England but determined to maintain her people's independence from aggressive American businessmen. After being sent to England as a child by her Scottish father, Ka'iulani returns to Hawaii and becomes a political activist who fights to retain her throne, even though she must leave her English paramour.</t>
  </si>
  <si>
    <t>Her heart was torn between love and the future of Hawaii...</t>
  </si>
  <si>
    <t>Drama</t>
  </si>
  <si>
    <t>island film group, trailblazer films, screen east</t>
  </si>
  <si>
    <t>Arlene Newman, Shaun Evans, Olivia Mardon, Will Patton, Q'orianka Kilcher, Barry Pepper, Jimmy Yuill</t>
  </si>
  <si>
    <t>Marc Forby</t>
  </si>
  <si>
    <t>Gabriel Beristain</t>
  </si>
  <si>
    <t>Roy Tjioe, Wanda Watumull, Leilani Estioko Forby, Ricardo S. Galindez, Lauri Apelian, Charlotte Walls, Jeffrey K.D. Au, Nigel Thomas, Marc Forby</t>
  </si>
  <si>
    <t>Stephen Warbeck</t>
  </si>
  <si>
    <t>/6dsQxILe0AHmQoxhK8O9dXpLTYd.jpg</t>
  </si>
  <si>
    <t>princess kaiulani</t>
  </si>
  <si>
    <t>hawaii film festival (1), omaha film festival (1), palm beach international film festival (1), blank (2)</t>
  </si>
  <si>
    <t>Sea Rex 3D: Journey to a Prehistoric World</t>
  </si>
  <si>
    <t>tt1529567</t>
  </si>
  <si>
    <t>Through the power of IMAX 3D, experience a wondrous adventure from the dinosaur age. Join Julie, an imaginative young woman, in a unique voyage through time and space. Explore an amazing underwater universe inhabited by larger-than-life creatures which were ruling the seas before dinosaurs conquered the earth. See science come alive in an entertaining manner and get ready for a face-to-face encounter with the T-Rex of the seas!</t>
  </si>
  <si>
    <t>The T-Rex of the Seas come alive.</t>
  </si>
  <si>
    <t>Documentary</t>
  </si>
  <si>
    <t>imax</t>
  </si>
  <si>
    <t>Norbert Ferrer, Tom Yang, Richard Rider, Chlo‚àö¬© Hollings, Guillaume Denaiffe</t>
  </si>
  <si>
    <t>Ronan Chapalain, Pascal Vuong</t>
  </si>
  <si>
    <t>Christophe Greli‚àö¬©</t>
  </si>
  <si>
    <t>Catherine Vuong, Francois Mantello, Pascal Vuong</t>
  </si>
  <si>
    <t>Franck Marchal</t>
  </si>
  <si>
    <t>/au49zJtESBEz4zAOsXTv5xLWOHS.jpg</t>
  </si>
  <si>
    <t>sea rex 3d: journey to a prehistoric world</t>
  </si>
  <si>
    <t>imax version (2), blank (11), dvd and blu-ray premiere (4), german speaking region (1)</t>
  </si>
  <si>
    <t>Prince of Persia: The Sands of Time</t>
  </si>
  <si>
    <t>tt0473075</t>
  </si>
  <si>
    <t>A rogue prince reluctantly joins forces with a mysterious princess and together, they race against dark forces to safeguard an ancient dagger capable of releasing the Sands of Time ‚Äö√Ñ√¨ gift from the gods that can reverse time and allow its possessor to rule the world.</t>
  </si>
  <si>
    <t>Defy the Future</t>
  </si>
  <si>
    <t>walt disney pictures, jerry bruckheimer films</t>
  </si>
  <si>
    <t>Thomas DuPont, Simon De Selva, Masoud Abbasi, Ehsan Parvidan, Elliot James Neale, Dave Pope, Daisy Dodge Hill, Jesse Matthews, Zartosht Safari, Richard Coyle, Christopher Greet, Felix Augusto Quadros, Mehrdad Azmiri, Reece Ritchie, Parham Bahadoran, Ali Nourbakhsh, Steve Toussaint, Alfred Molina, Ronald Pickup, William Foster, Gemma Arterton, Vladimir "Furdo" Furdik, Massimiliano Ubaldi, Rohan Siva, Aziz El Kibachi, Darwin Shaw, G‚àö‚â†sli ‚àö√±rn Gar‚àö‚àûarsson, Domonkos P‚àö¬∞rd‚àö¬∞nyi, Charlie Banks, Dimitri Andreas, Shohreh Shojaeifard, Rene Costa, Selva Rasalingam, Farzana Dua Elahe, Ben Kingsley, Claudio Pacifico, Stephen A. Pope, Trampas Thompson, Joseph Beddelem, Babak Babakinejad, Toby Kebbell, Amin Mohammad Fouladi, Jake Gyllenhaal, Rachid Abbad</t>
  </si>
  <si>
    <t>Mike Newell</t>
  </si>
  <si>
    <t>John Seale</t>
  </si>
  <si>
    <t>Doug Miro, Jordan Mechner, Carlo Bernard, Boaz Yakin</t>
  </si>
  <si>
    <t>John August, Jordan Mechner, Mike Stenson, Patrick McCormick, Jerry Bruckheimer, Eric McLeod, Chad Oman</t>
  </si>
  <si>
    <t>Harry Gregson-Williams</t>
  </si>
  <si>
    <t>/r9nw8LMdewMvRdNkEy0GH8yQ4n0.jpg</t>
  </si>
  <si>
    <t>prince of persia: the sands of time</t>
  </si>
  <si>
    <t>limited (1), london (1), premiere (3), moscow (1), blank (60), french speaking region (1), german speaking region (1), italian speaking region (1), buenos aires (1), dvd premiere (1), blu ray release (1)</t>
  </si>
  <si>
    <t>Shrek Forever After</t>
  </si>
  <si>
    <t>tt0892791</t>
  </si>
  <si>
    <t>A bored and domesticated Shrek pacts with deal-maker Rumpelstiltskin to get back to feeling like a real ogre again, but when he's duped and sent to a twisted version of Far Far Away‚Äö√Ñ√Æwhere Rumpelstiltskin is king, ogres are hunted, and he and Fiona have never met‚Äö√Ñ√Æhe sets out to restore his world and reclaim his true love.</t>
  </si>
  <si>
    <t>It ain't ogre...til it's ogre.</t>
  </si>
  <si>
    <t>Comedy, Adventure, Fantasy, Animation, Family</t>
  </si>
  <si>
    <t>Ollie Mitchell, Antonio Banderas, Craig Robinson, Billie Hayes, Miles Bakshi, Kathy Griffin, Nina Zoe Bakshi, Julie Andrews, Jasper Johannes Andrews, Meredith Vieira, Chris Miller, Mary Kay Place, Larry King, Regis Philbin, Mike Myers, Jeremy Hollingworth, John Cleese, Christopher Knights, Frank Welker, Lake Bell, Aron Warner, Jon Hamm, Brian Hopkins, Eddie Murphy, Ryan Seacrest, Cody Cameron, Mike Mitchell, James Ryan, Ashley Boettcher, Kristen Schaal, Walt Dohrn, Jane Lynch, Danielle Soibelman, Conrad Vernon, Cameron Diaz</t>
  </si>
  <si>
    <t>Mike Mitchell</t>
  </si>
  <si>
    <t>Walt Dohrn, Ryan Harris, Roger S.H. Schulman, Ted Elliott, Andrew Adamson, Terry Rossio, William Steig, Darren Lemke, Joe Stillman, Josh Klausner</t>
  </si>
  <si>
    <t>Teresa Cheng, Andrew Adamson, Gina Shay, John H. Williams, Aron Warner</t>
  </si>
  <si>
    <t>/6HrfPZtKcGmX2tUWW3cnciZTaSD.jpg</t>
  </si>
  <si>
    <t>shrek forever after</t>
  </si>
  <si>
    <t>tribeca film festival (1), premiere (3), blank (84), universal city, california (1), french speaking region (1), buenos aires (1), german speaking region (1), italian speaking region (1), tokyo international film festival (1), internet (1)</t>
  </si>
  <si>
    <t>Fair Game</t>
  </si>
  <si>
    <t>tt0977855</t>
  </si>
  <si>
    <t>A devoted wife and mother leads a secret life as a CIA agent until her husband‚Äö√Ñ√¥s article exposes a scandal, putting her identity and loved ones at risk. As her world crumbles, she must navigate the fallout of her double life.</t>
  </si>
  <si>
    <t>Wife. Mother. Spy.</t>
  </si>
  <si>
    <t>Drama, Thriller</t>
  </si>
  <si>
    <t>river road entertainment, participant, fair game productions, dillywood, hypnotic, weed road pictures, zucker productions, image nation abu dhabi</t>
  </si>
  <si>
    <t>United States of America, United Arab Emirates</t>
  </si>
  <si>
    <t>Donna Placido, Tricia Munford, Mousa Al Satari, Byron Utley, Satu Runa, Bill Walters, Rebecca Rigg, Kevin Makely, Sunil Malhotra, Jessica Hecht, Naomi Watts, Sean Penn, Nabil Koni, David Ilku, James Rutledge, Nassar, Jane Lee, Deidre Goodwin, Rebekah Paltrow Neumann, Anastasia Barzee, Barbara Grace Romano, Tom McCarthy, David Warshofsky, Liraz Charhi, Kristoffer Ryan Winters, Chet Grissom, Quinn Broggy, Stephanie Chai, Satya Bhabha, Noah Emmerich, Khaled El Nabawy, Adam LeFevre, Brian McCormack, Michael Goodwin, Kola Ogundiran, Geoffrey Cantor, Rafat Basel, David Denman, Tim Griffin, Judith Resnik, Rashmi Rao, Danni Lang, Judy Maier, Sam Shepard, Kent Sladyk, Ty Burrell, Vanessa Chong, David Andrews, Iris Bahr, Louis Ozawa, Polly Holliday, Ghazil, Michelle E. Mancini, Michael Kelly, Harry L. Seddon, Kaipo Schwab, James Joseph O'Neil, Nicholas Sadler, Anand Tiwari, Norbert Leo Butz, Sean Mahon, Mohamed Abdel Fatah, Maysa Abdel Sattar, Bruce McGill, Ben Mac Brown, Sanousi Sesay, Sonya Davison, Mohammad Al Sawalqa, Jenny Maguire, James Moye, Brooke Smith, Remy Auberjonois, Ashley Gerasimovich, Angela Lewis</t>
  </si>
  <si>
    <t>Doug Liman</t>
  </si>
  <si>
    <t>John-Henry Butterworth, Joseph Wilson, Jez Butterworth, Valerie Plame</t>
  </si>
  <si>
    <t>Dave Bartis, Janet Zucker, Akiva Goldsman, Jerry Zucker, Kerry Foster, Bill Pohlad, Mari-Jo Winkler, Jez Butterworth, Mohamed Khalaf Al-Mazrouei, Doug Liman, Jeff Skoll</t>
  </si>
  <si>
    <t>/tX2cafjaDnEOi50xnUIloAc2fp2.jpg</t>
  </si>
  <si>
    <t>fair game</t>
  </si>
  <si>
    <t>cannes film festival (1), deauville american film festival (1), twin cities film festival (1), hamptons international film festival (1), blank (49), mill valley film festival (1), chicago international film festival (1), american film festival (1), gent international film festival (1), abu dhabi film festival (1), italian speaking region (1), philadelphia international film festival (1), austin film festival (1), canberra international film festival (1), panorama of european cinema (1), limited (2), oslo international film festival (1), german speaking region (1), french speaking region (1), glasgow film festival (1), belgrade film festival (1), dvd premiere (2), internet (1)</t>
  </si>
  <si>
    <t>MacGruber</t>
  </si>
  <si>
    <t>tt1470023</t>
  </si>
  <si>
    <t>Ex-special operative MacGruber is called back into action to take down his archenemy, Dieter Von Cunth, who's in possession of a nuclear warhead and bent on destroying Washington, DC.</t>
  </si>
  <si>
    <t>He's the ultimate tool.</t>
  </si>
  <si>
    <t>Action, Comedy</t>
  </si>
  <si>
    <t>universal studios, relativity media, rogue pictures, michaels-goldwyn, universal pictures</t>
  </si>
  <si>
    <t>English, P‚Äî√â‚Äî√Ö‚Äî√Ö‚Äì‚à´‚Äì‚àè‚ÄìœÄ, Espa‚àö¬±ol</t>
  </si>
  <si>
    <t>Jason Trost, Kevin Skousen, Glenn Jacobs, Michelle Waterson-Gomez, Freddy Martinez, Paul Wight, Brandon Trost, Chris Irvine, Val Kilmer, Hassan Hamin Assad, Sandra Wood, Powers Boothe, Robert Douglas Washington, Bill Leaman, Laurence Chavez, Dalip Singh, Mark Dimitrijevic, Brian Petsos, Cajardo Lindsey, Eugene Nosoff, Kristen Wiig, Jim Giesler, Ed Duran, Mark Henry, Alan D'Antoni, Andy Mackenzie, Tomas Sanchez, Derek Mears, Michael-David Aragon, Willie Weber, Rhys Coiro, Matt Wood, John Gibson, Gregory Alan Williams, Matthew Lee Christmas, Maya Rudolph, Timothy V. Murphy, Russ Dillen, Chris Kittinger, Jasper Cole, Amar'e Stoudemire, Michael Owen, Jamie Haqqani, Marielle Heller, Robert M. Reid, Alan Tafoya, Casey Messer, Milos Milicevic, Cynthia Lee, Ryan Phillippe, Christina Rouner, Chad Brummett, Jesus Jr., Bobby Burns, Will Forte, Vic Browder</t>
  </si>
  <si>
    <t>Jorma Taccone</t>
  </si>
  <si>
    <t>Brandon Trost</t>
  </si>
  <si>
    <t>Will Forte, Jorma Taccone, John Solomon</t>
  </si>
  <si>
    <t>Ryan Kavanaugh, Erin David, John Goldwyn, Tucker Tooley, Akiva Schaffer, Lorne Michaels, Seth Meyers</t>
  </si>
  <si>
    <t>Matthew Compton</t>
  </si>
  <si>
    <t>/4WrSz0dRfq6XwJUQlYvzuhJq8hR.jpg</t>
  </si>
  <si>
    <t>macgruber</t>
  </si>
  <si>
    <t>south by southwest film festival (1), blank (7), dvd premiere (5), dvd and blu-ray premiere (1)</t>
  </si>
  <si>
    <t>4.3.2.1</t>
  </si>
  <si>
    <t>tt1514041</t>
  </si>
  <si>
    <t>Jo is chained down in a dead end supermarket job while all her friends are all out on their own separate adventures. But a chance encounter with some diamond thieves sends their separate worlds on a collision course with not only each other, but fate itself.</t>
  </si>
  <si>
    <t>4 Girls, 3 Days, 2 Cities, 1 Chance.....</t>
  </si>
  <si>
    <t>Action, Thriller, Crime, Romance</t>
  </si>
  <si>
    <t>veneration music, unstoppable entertainment, retro-juice productions, atlantic swiss productions</t>
  </si>
  <si>
    <t>Steven Cree, Alan McKenna, Ben Miller, Ophelia Lovibond, Helen McCrory, Davie Fairbanks, Linzey Cocker, Alexander Siddig, Shanika Warren-Markland, Jo Martin, Emma Roberts, Sean Pertwee, Christopher Whitlow, Gregg Chillin, Laura Whitmore, Tamsin Egerton, Noel Clarke, Adam Deacon, Mandy Patinkin, Andrew Harwood Mills, Ashley Thomas, Freddie Stroma, Eve, Plan B, Kate Magowan, Camille Coduri, Jacob Anderson, Kevin Smith, Susannah Fielding, Michelle Ryan</t>
  </si>
  <si>
    <t>Mark Davis, Noel Clarke</t>
  </si>
  <si>
    <t>Franco Pizzino</t>
  </si>
  <si>
    <t>Noel Clarke</t>
  </si>
  <si>
    <t>Steve Milne, Serena Rees, Jordan Lund, Patrick McEnallay, Josh Varney, Dean O'Toole, Baillie Walsh, James Edward Barker, Nick Smith, Gareth Jones, Mick Southworth, Paul W. Baker, Deepak Sikka, Christopher Figg, Noel Clarke, Mark Davis, Mark Foligno, Michael Goldman, Nick Morley, Andrew Boswell, Julian Diamont, Ben Shephard, Johnny Fewings, Stewart Till, Damon Bryant, Andrew Morahan, Robert Whitehouse</t>
  </si>
  <si>
    <t>Barnaby Robson</t>
  </si>
  <si>
    <t>/rEarMWLtn185KElEuZw04pz0wIN.jpg</t>
  </si>
  <si>
    <t>blank (8), dvd premiere (6), dvd and blu-ray premiere (1)</t>
  </si>
  <si>
    <t>High School</t>
  </si>
  <si>
    <t>tt1247667</t>
  </si>
  <si>
    <t>A high school valedictorian who gets baked with the local stoner finds himself the subject of a drug test. The situation causes him to concoct an ambitious plan to get his entire graduating class to face the same fate, and fail.</t>
  </si>
  <si>
    <t>Random drug tests? You just can't study for them.</t>
  </si>
  <si>
    <t>parallel media, flipzide</t>
  </si>
  <si>
    <t>Camille Mana, Kevin Yon, Kerry Birmingham, Ron Ayers, Heather Elizabeth Regan, Misty Mills, Adrien Brody, Michael Chiklis, Kelli Rasmus, Peter Tocco, Sean Marquette, Shirley Benyas, Erica Vittina Phillips, Alex Biats, Karl Murphy, Penny Gibbs, Jerry Reid, Wallace Bridges, Rhys Coiro, Barret Swatek, Terri Lyn Rodriguez, J. J. Soria, John O'Hurley, Colin Hanks, Luis Ch‚àö¬∞vez, Heather Kleisner, Arcadiy Golubovich, David Herbst, Clarence Smith, Julia Ling, Mary Birdsong, Robert Bailey Jr., Rene Santana, Adam Lorenz, Randy Godwin, George Back, Mike Woods, Steven Sutherland, Alicia Sixtos, Yeardley Smith, Wyatt Russell, John Stalberg Jr., Kathi J. Moore, Mike Eshaq, Max Van Ville, Joe Tinpan, Carl Harry Carlson, Michael Vartan, Curtis Armstrong, Cody Longo, D.B. Dickerson, Sammy A. Publes, Linda Boston, Sabrina Dungan, Rachel Quaintance, Adhir Kalyan, Brett Kelly, Amanda Bright, Nadine Crocker, Mykelti Williamson, John Beard, Matt Bush, Billye Thompson, Bill Lumbert, Andrew Wilson, Mike Evans</t>
  </si>
  <si>
    <t>John Stalberg Jr.</t>
  </si>
  <si>
    <t>Mitchell Amundsen</t>
  </si>
  <si>
    <t>John Stalberg Jr., Stephen Susco, Erik Linthorst</t>
  </si>
  <si>
    <t>Raymond J. Markovich, Stephen Susco, John Stalberg Jr., Olga Mirimskaya, Warren Zide, Arcadiy Golubovich</t>
  </si>
  <si>
    <t>Taylor Stewart, Andrew Grush</t>
  </si>
  <si>
    <t>/3pZzS9R1r6qHvstMxmGq54JkFDR.jpg</t>
  </si>
  <si>
    <t>high school</t>
  </si>
  <si>
    <t>sundance film festival (1), premiere (1), edinburgh international film festival (1), fantasia international film festival (1), toronto after dark film festival (1), dark bridges film festival (1), philadelphia international film festival (1), austin film festival (1), michigan film festival (1), limited (1), blank (2), dvd premiere (1)</t>
  </si>
  <si>
    <t>Get Him to the Greek</t>
  </si>
  <si>
    <t>tt1226229</t>
  </si>
  <si>
    <t>Pinnacle records has the perfect plan to get their sinking company back on track: a comeback concert in LA featuring Aldous Snow, a fading rockstar who has dropped off the radar in recent years. Record company intern Aaron Green is faced with the monumental task of bringing his idol, out of control rock star Aldous Snow, back to LA for his comeback show.</t>
  </si>
  <si>
    <t>Aaron Green has 72 hours to get a rock star from London to L.A. Pray for him.</t>
  </si>
  <si>
    <t>Adventure, Comedy, Music</t>
  </si>
  <si>
    <t>apatow productions, universal pictures, relativity media, spyglass entertainment</t>
  </si>
  <si>
    <t>Lindsey Broad, Magali Widmer, Deanna Gibson, Dayton Knoll, Natalina Maggio, Christine Nguyen, Thomas J. Post, Aiden Cardei, Jim Piddock, Rose Byrne, Tom Chadwick, Meredith Vieira, Lino Facioli, Derek Ressallat, Kurt Loder, Gee Sekweyama, T.J. Miller, Kyle Diamond, Meghan, Duchess of Sussex, Francesca Delbanco, Roger Joseph Manning Jr., Howard Strawbridge, Duane Sequira, Giusy Castiglione, Kristen Bell, Daniel Robaire, Tyler McKinney, Nicole Sciacca, Kirsten Roeters, Billy Bush, Lenny Widegren, Annie Hsu, Drew Anthony Carrano, Thomas R. Wallek, Rino Romano, Ellie Kemper, Jonathan Ryland, Jennifer Perry, Jos‚àö¬© Ram‚àö‚â•n Rosario, Pharrell Williams, Lars Ulrich, Neal Brennan, Tom Felton, Daniela Dakich, Sean Hurley, Kali Hawk, Jonathan Chris Lopez, Chad Cleven, Tonya Kay, Chris Wilson, Mario L‚àö‚â•pez, Diana Terranova, Jian Leonardo, Nick Kroll, Kristen Schaal, Julia Tokarz, Jonah Hill, Michael Bravo, Da'Vone McDonald, Thomas Nowell, Carlos Jacott, Tony van Silva, Pink, Rick Schroder, Paul Krugman, Danny O'Leary, Ato Essandoh, Ryan Shiraki, Brandon Johnson, Russell Brand, Karl Theobald, Dinah Stabb, Victor Indrizzo, Derek Theler, Jake Johnson, Ronald J. Garner, Robert Scott Howard, Dan Rothchild, Rebecca Kinder, Christina Aguilera, Sean Combs, Lonnie Henderson, Jill Jordan, Alexandra Wright, Kelly Ann Buckman, Sarah Haskins, Meddy Ford, Zoe Salmon, Andrew Burlinson, David Auerbach, Aurora Nonas-Barnes, Ava Vassileva, Zoe Richards, Richard Hochman, Kristen Marie Kelly, George Aloi, Eric Marshall, Jamie Sives, Elisabeth Moss, Carla Gallo, Stephanie Faracy, Dee Snider, Ray Siegle, Stephen G. Lucas, Benjamin Kanes, Aziz Ansari, Sean Mannion, Ivan Shaw, Joyful Drake, Brian Duprey, Mike Viola, Joe Benson, Jessica Ellerby, Peter Conboy, Vero Felice Monti, Colm Meaney</t>
  </si>
  <si>
    <t>Nicholas Stoller</t>
  </si>
  <si>
    <t>Robert D. Yeoman</t>
  </si>
  <si>
    <t>Jason Segel, Nicholas Stoller</t>
  </si>
  <si>
    <t>David L. Bushell, Richard Vane, Nicholas Stoller, Judd Apatow, Rodney Rothman</t>
  </si>
  <si>
    <t>Lyle Workman</t>
  </si>
  <si>
    <t>/6g0li87w8LIK77QRUtOkQkM6bD7.jpg</t>
  </si>
  <si>
    <t>get him to the greek</t>
  </si>
  <si>
    <t>los angeles, california (1), premiere (1), blank (27), dvd premiere (5), tv premiere (1), old town taito international comedy film festival (1), internet (1)</t>
  </si>
  <si>
    <t>Marmaduke</t>
  </si>
  <si>
    <t>tt1392197</t>
  </si>
  <si>
    <t>When Phil and Debbie Winslow relocate from their native Kansas to the sunny climes of Orange County, their big-hearted, havoc-wreaking Great Dane gets a taste of the dog's life, California-style.</t>
  </si>
  <si>
    <t>Live large</t>
  </si>
  <si>
    <t>dune entertainment, davis entertainment, regency enterprises, 20th century fox</t>
  </si>
  <si>
    <t>George L‚àö‚â•pez, Jason Bryden, Judy Greer, Ash Lee, Marlon Wayans, Christopher Attadia, Liza Lapira, Devon Werkheiser, King Kedar, Glenn McCuen, Christopher Mintz-Plasse, Charles Jarman, Kiefer Sutherland, Frank Topol, Garvin Cross, Caroline Sunshine, Sam Elliott, Anjelah Johnson-Reyes, Bernardo de Paula, Fergie, William H. Macy, Francisco Ramos, Chris Colfer, Randall Montgomery, Jeffrey Garcia, Nicole Mu‚àö¬±oz, Steve Coogan, Owen Wilson, Josh Gad, Colin Decker, Lee Pace, P.J. Prinsloo, Chris Bradford, Raugi Yu, Madison Desjarlais, David Walliams, Todd Glass, Ryan Devlin, Hudson Thames, Finley Jacobsen, Heather Doerksen, Izaak Smith, Jack McGee, Hope Levy, Emma Stone, Eddie 'Piolin' Sotelo, Keith Dallas, Damon Wayans Jr.</t>
  </si>
  <si>
    <t>Tom Dey</t>
  </si>
  <si>
    <t>Greg Gardiner</t>
  </si>
  <si>
    <t>Tim Rasmussen, Vince Di Meglio, Brad Anderson</t>
  </si>
  <si>
    <t>John Davis, Jeffrey Stott, Arnon Milchan, Derek Dauchy, Tariq Jalil</t>
  </si>
  <si>
    <t>Christopher Lennertz</t>
  </si>
  <si>
    <t>/wNNqAqvOn717AWBhBQskH2Lnzmz.jpg</t>
  </si>
  <si>
    <t>marmaduke</t>
  </si>
  <si>
    <t>blank (35), german speaking region (1), french speaking region (1), dvd premiere (2), blu-ray premiere (1), internet (1)</t>
  </si>
  <si>
    <t>Animal Kingdom</t>
  </si>
  <si>
    <t>tt1313092</t>
  </si>
  <si>
    <t>Joshua ‚Äö√Ñ√∫J‚Äö√Ñ√π is taken in by his extended family after his mother dies of an overdose. The clan, ruled by J‚Äö√Ñ√¥s scheming grandmother, is heavily involved in criminal activities, and J is soon indoctrinated into their way of life. But J is given a chance to take another path when a cop seeks to help him.</t>
  </si>
  <si>
    <t>A crime story</t>
  </si>
  <si>
    <t>Crime, Drama</t>
  </si>
  <si>
    <t>porchlight films, screen australia, film victoria, screen nsw, fulcrum media finance, showtime australia</t>
  </si>
  <si>
    <t>Australia</t>
  </si>
  <si>
    <t>Jacki Weaver, Bert LaBont‚àö¬©, James Saunders, Anthony Hayes, Anthony Ahern, Clayton Jacobson, Kieran Darcy-Smith, Laura Wheelwright, Joel Edgerton, Sullivan Stapleton, Tim Phillipps, James Frecheville, Ben Mendelsohn, Brenda Palmer, Chris Weir, Anna Lise Phillips, Josh Helman, Michael Valamios, Mirrah Foulkes, Ben Ouwehand, Jack Heanly, Christina Azucena, Jacqueline Brennan, Andy McPhee, Luke Ford, Justin Rosniak, David Mich‚àö¬•d, Dan Wyllie, Dom Phelan, Guy Pearce, Susan Prior</t>
  </si>
  <si>
    <t>David Mich‚àö¬•d</t>
  </si>
  <si>
    <t>Adam Arkapaw</t>
  </si>
  <si>
    <t>Bec Smith, Vincent Sheehan, Liz Watts</t>
  </si>
  <si>
    <t>Antony Partos</t>
  </si>
  <si>
    <t>/zhj8YPQKuRev5N3KoHacsPnF4mB.jpg</t>
  </si>
  <si>
    <t>animal kingdom</t>
  </si>
  <si>
    <t>sundance film festival (1), premiere (1), los angeles film festival (1), blank (22), two riversides film and art festival (1), limited (2), bali international film festival (1), leeds international film festival (1), gij√≥n international film festival (1), stockholm international film festival (1), thessaloniki international film festival (1), marrakech international film festival (1), dvd premiere (5), keswick film festival (1), glasgow film festival (1), hong kong international film festival (1), beaune film festival (1), beijing international film festival (1), french speaking region (1), blu-ray release (1), sundance london film festival (1), dvd release (1)</t>
  </si>
  <si>
    <t>Killers</t>
  </si>
  <si>
    <t>tt1103153</t>
  </si>
  <si>
    <t>When an elite assassin marries a beautiful computer whiz after a whirlwind romance, he gives up the gun and settles down with his new bride. That is, until he learns that someone from his past has put a contract out on his life.</t>
  </si>
  <si>
    <t>Perfect wife. Perfect target.</t>
  </si>
  <si>
    <t>Action, Comedy, Thriller, Romance</t>
  </si>
  <si>
    <t>katalyst films, lionsgate, aversano films</t>
  </si>
  <si>
    <t>Jean-Michel Richaud, Lukas Delcourt, Casey Wilson, Ghislain Carosio, Adeline Gorgos, Ariel Winter, Lynn McArthur, Kevin Sussman, Rob Riggle, Matt Murphy, Blandine Bury, Christophe Carotenuto, LeToya Luckett, Pascal Trhoof, Martin Mull, John Charles, Michel Bellier, Larry Joe Campbell, David Marchal, Mary Birdsong, George Duskin, Tom Selleck, Usher, Anna Colwell, Ric Reitz, Nazareth Agopian, Bruce Taylor, David Mitnik, Lauren Glazier, Elena Kolpachikova, Yan Dron, Jean-Charles Fonti, Ashton Kutcher, Katherine Heigl, Michael Daniel Cassady, Natalina Maggio, John Atwood, Catherine O'Hara, Lisa Ann Walter, Sharan C. Mansfield, Winston Story, Alex Borstein, Katheryn Winnick</t>
  </si>
  <si>
    <t>Robert Luketic</t>
  </si>
  <si>
    <t>Russell Carpenter</t>
  </si>
  <si>
    <t>Bob DeRosa, Ted Griffin</t>
  </si>
  <si>
    <t>Ashton Kutcher, Josie Rosen, Michael Paseornek, Jason Goldberg, Chad Marting, Peter Morgan, John Sacchi, Christopher S. Pratt, Scott Aversano, William S. Beasley, Mike Karz</t>
  </si>
  <si>
    <t>Rolfe Kent</t>
  </si>
  <si>
    <t>/9VB8vGV4Aznf6GUc9C7a1EzGHLz.jpg</t>
  </si>
  <si>
    <t>killers</t>
  </si>
  <si>
    <t>hollywood, california (1), premiere (1), blank (47), closing film (1), shanghai international film festival (1), french speaking region (1), german speaking region (1), blu-ray premiere (1), blu-ray release (1), tv premiere (1)</t>
  </si>
  <si>
    <t>The A-Team</t>
  </si>
  <si>
    <t>tt0429493</t>
  </si>
  <si>
    <t>A man who loves when a plan comes together, Col. Hannibal Smith leads a close-knit team of elite operatives and Iraq War veterans. Framed for a crime they didn't commit, Smith and his men, Capt. H.M. ‚Äö√Ñ√≤Howling Mad‚Äö√Ñ√¥ Murdock , Sgt. Bosco ‚Äö√Ñ√≤B.A.‚Äö√Ñ√¥ Baracus, and Lt. Templeton ‚Äö√Ñ√≤Faceman‚Äö√Ñ√¥ Peck, break out and go rogue, using their special talents to clear their names and find the perpetrator. Hot on their trail is Capt. Charissa Sosa, who was once involved with a member of Smith's team and has sworn to capture them, no matter what it takes.</t>
  </si>
  <si>
    <t>There is no plan B.</t>
  </si>
  <si>
    <t>Action, Comedy, Crime</t>
  </si>
  <si>
    <t>phoenix film partners, dune entertainment, stephen j. cannell productions, top cow productions, scott free productions, big screen productions, 20th century fox, ingenious media</t>
  </si>
  <si>
    <t>Deutsch, English, Espa‚àö¬±ol, Fran‚àö√üais, Kiswahili</t>
  </si>
  <si>
    <t>Jessica Biel, Don Knodel, Hitesh Jogia, Ralph Shaw, Billy Wickman, David Hugghins, Ali Bordbar, Corey Burton, Anne Maier, Patrick Wilson, Marc-Anthony Massiah, Raf Rogers, Henry Czerny, Dirk Benedict, Yul Vazquez, Maury Sterling, Jeanne-Melanie Haasbroek, Marwan Al-Shami, Jon Hamm, Natalie James, Gardiner Millar, Stefan Arngrim, Michael St. John Smith, Ben Hernandez Bray, Sharlto Copley, Liam Neeson, Christian Tessier, Charles Cooper, Alex Madison, Leah Carnahan, Kwesi Ameyaw, Robert Thomas Conway Jr., Dwight Schultz, Tom Butler, Andrew Coghlan, Shaw Madson, Jimmy Ortega, Neil Schell, Joe Carnahan, Sam Radjinia, Vince Murdocco, Kyle Riefsnyder, Alfred Jajjo, Katie Boskovich, Jennifer Cheon Garcia, Brian Bloom, Darin Wong, Rad Daly, C. Ernst Harth, Stephane Fromont, Karl Maier, Jon Johnson, Bradley Cooper, Quinton 'Rampage' Jackson, Tony Ali, Terry Chen, William 'Big Sleeps' Stewart, Peter Fletcher, Shannon Christopher Wright, Jacob Blair, Brendan Penny, Julian Paul, Omari Hardwick, Gerald McRaney, Fraser Aitcheson, Patrick Merle, James O'Sullivan, Anita Brown, Jason Schombing, Woody Carnahan</t>
  </si>
  <si>
    <t>Joe Carnahan</t>
  </si>
  <si>
    <t>Mauro Fiore</t>
  </si>
  <si>
    <t>Joe Carnahan, Stephen J. Cannell, Skip Woods, Brian Bloom</t>
  </si>
  <si>
    <t>Marc Silvestri, Tony Scott, Ross T. Fanger, Stephen J. Cannell, Spike Seldin, Ridley Scott, Jules Daly, Iain Smith, Alex Young</t>
  </si>
  <si>
    <t>Alan Silvestri</t>
  </si>
  <si>
    <t>/bkAWEx5g5tvRPjtDQyvIZ7LRxQm.jpg</t>
  </si>
  <si>
    <t>the a-team</t>
  </si>
  <si>
    <t>hollywood, california (1), premiere (2), blank (66), french speaking region (1), buenos aires (1), german speaking region (1), limited (1), internet (1)</t>
  </si>
  <si>
    <t>The Karate Kid</t>
  </si>
  <si>
    <t>tt1155076</t>
  </si>
  <si>
    <t>12-year-old Dre Parker could've been the most popular kid in Detroit, but his mother's latest career move has landed him in China. Dre immediately falls for his classmate Mei Ying but the cultural differences make such a friendship impossible. Even worse, Dre's feelings make him an enemy of the class bully, Cheng. With no friends in a strange land, Dre has nowhere to turn but maintenance man Mr. Han, who is a kung fu master. As Han teaches Dre that kung fu is not about punches and parries, but maturity and calm, Dre realizes that facing down the bullies will be the fight of his life.</t>
  </si>
  <si>
    <t>A challenge he never imagined. A teacher he never expected.</t>
  </si>
  <si>
    <t>Action, Adventure, Drama, Family</t>
  </si>
  <si>
    <t>jerry weintraub productions, columbia pictures, overbrook entertainment, china film group corporation, emperor motion pictures</t>
  </si>
  <si>
    <t>China, Hong Kong, United States of America</t>
  </si>
  <si>
    <t>√ä√¥√Ü√à√Ñ√∂√ã√ò√π, English</t>
  </si>
  <si>
    <t>Liang Geliang, Yu Rongguang, Xu Ming, Wu Zhensu, Wenwen Han, Luke Carberry, Zhang Bo, Zhao Yi, Tess Liu, Shijia L‚àö¬∫, Taraji P. Henson, Ghye Samuel Brown, Cameron Hillman, Jaden Smith, Zac Wang, Jackie Chan, Wang Ji, Zhiheng Wang, Jared Minns</t>
  </si>
  <si>
    <t>Harald Zwart</t>
  </si>
  <si>
    <t>Roger Pratt</t>
  </si>
  <si>
    <t>Robert Mark Kamen, Christopher Murphey</t>
  </si>
  <si>
    <t>Jada Pinkett Smith, Ken Stovitz, Jerry Weintraub, Susan Ekins, Han Sanping, Dany Wolf, Will Smith, James Lassiter</t>
  </si>
  <si>
    <t>James Horner</t>
  </si>
  <si>
    <t>/b1RBy3l297N0c7PHjlz35cClWju.jpg</t>
  </si>
  <si>
    <t>the karate kid</t>
  </si>
  <si>
    <t>westwood, california (1), premiere (2), blank (72), buenos aires (1), astana international action film festival (1), german speaking region (1), fredrikstad (1), limited (1), french speaking region (1), italian speaking region (1), blu-ray and dvd (1), internet (2), tokyo international film festival (1), re-release (1)</t>
  </si>
  <si>
    <t>Winter's Bone</t>
  </si>
  <si>
    <t>tt1399683</t>
  </si>
  <si>
    <t>After discovering her father put their house up for his bail bond and then disappeared, 17-year-old Ree Dolly must confront the local criminal underworld and the harsh Ozark wilderness in order to to track down her father and save her family.</t>
  </si>
  <si>
    <t>Talking just causes witnesses.</t>
  </si>
  <si>
    <t>Drama, Mystery</t>
  </si>
  <si>
    <t>anonymous content, winter's bone productions, fortissimo films</t>
  </si>
  <si>
    <t>Netherlands, United States of America</t>
  </si>
  <si>
    <t>Shelley Waggener, Garret Dillahunt, Cinnamon Schultz, Ronnie Hall, Cody Brown, Jennifer Lawrence, John Hawkes, Marideth Sisco, Isaac Skidmore, Ashlee Thompson, Casey MacLaren, Lauren Sweetser, Ramona Blair, Tate Taylor, Charlotte Jeane Lucas, Sheryl Lee, William White, Kevin Breznahan, Russell Schalk, Beth Domann, Isaiah Stone, Valerie Richards, Dale Dickey</t>
  </si>
  <si>
    <t>Debra Granik</t>
  </si>
  <si>
    <t>Michael McDonough</t>
  </si>
  <si>
    <t>Daniel Woodrell, Anne Rosellini, Debra Granik</t>
  </si>
  <si>
    <t>Anne Rosellini, Jonathan Scheuer, Shawn Simon, Alix Madigan</t>
  </si>
  <si>
    <t>Dickon Hinchliffe</t>
  </si>
  <si>
    <t>/a0qhPkNlxLfsf5B2jFyI1Pp04XV.jpg</t>
  </si>
  <si>
    <t>winter's bone</t>
  </si>
  <si>
    <t>sundance film festival (1), berlin international film festival (1), south by southwest film festival (1), afi dallas international film festival (1), kansas city film festival (1), sarasota film festival (1), atlanta film festival (1), boston independent film festival (1), palm beach international film festival (1), san francisco international film festival (1), rochester film festival (1), seattle international film festival (1), nantucket film festival (1), little rock film festival (1), limited (3), toronto (1), edinburgh international film festival (1), provincetown film festival (1), blank (32), melbourne international film festival (1), deauville american film festival (1), helsinki international film festival (1), reykjavik international film festival (1), gent international film festival (1), zagreb film festival (1), dvd premiere (2), tokyo international film festival (1), leiden international film festival (1), williamsburg independent film festival (1), stockholm international film festival (1), torino film festival (1), thessaloniki international film festival (1), dubai international film festival (1), hong kong international film festival (1), shanghai international film festival (1), re-release (1), sundance london film festival (1), milwaukee film festival (1), femfilmfest (1), american independent film festival (1)</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</si>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</sst>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m/d/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0DEDCC-5125-8045-AC49-3D0432D33937}" name="Table1" displayName="Table1" ref="A1:AQ48" totalsRowCount="1">
  <autoFilter ref="A1:AQ47" xr:uid="{720DEDCC-5125-8045-AC49-3D0432D33937}"/>
  <tableColumns count="43">
    <tableColumn id="1" xr3:uid="{322128B7-AE4B-B64F-8D86-BB5B5DE36701}" name="id" totalsRowLabel="Total"/>
    <tableColumn id="2" xr3:uid="{7D847803-65EF-8442-8887-2E7A80B72FC5}" name="title"/>
    <tableColumn id="3" xr3:uid="{00B72A7E-9513-F948-95B5-0FF568BD4586}" name="vote_average"/>
    <tableColumn id="4" xr3:uid="{CF9D67DE-2F55-4B4C-AE72-96DB7E022BC3}" name="vote_count"/>
    <tableColumn id="5" xr3:uid="{71A42561-4114-0846-81D9-84ED2A6BB68E}" name="status"/>
    <tableColumn id="6" xr3:uid="{B5B4ECAC-7E9F-664A-81F0-807F3E33A6CD}" name="release_date" dataDxfId="0"/>
    <tableColumn id="7" xr3:uid="{D55D7187-9CE6-5540-ACC2-52C3427CDAF7}" name="revenue"/>
    <tableColumn id="8" xr3:uid="{D318B93A-7B21-604C-83BF-F30DBFDB7B48}" name="runtime"/>
    <tableColumn id="9" xr3:uid="{ADA9DD12-2089-C949-BF9F-2FB5F73D80FB}" name="budget"/>
    <tableColumn id="10" xr3:uid="{695C7858-B7CC-BB49-B9AD-C54CD8EFAD8B}" name="imdb_id"/>
    <tableColumn id="11" xr3:uid="{BB57DF32-2954-7348-91B8-3FB5652EFB48}" name="original_language"/>
    <tableColumn id="12" xr3:uid="{26DE00DD-08F5-2248-802C-E697B1FD7779}" name="original_title"/>
    <tableColumn id="13" xr3:uid="{2151D5AE-C011-7042-A8A5-3F0C4628E729}" name="overview"/>
    <tableColumn id="14" xr3:uid="{BC0E6E34-8BC3-F948-A4FB-B2F78CE8ADD1}" name="popularity"/>
    <tableColumn id="15" xr3:uid="{219EC066-9E05-394B-BFC9-25DBA150C34F}" name="tagline"/>
    <tableColumn id="16" xr3:uid="{B2476463-2395-5342-B0A5-99F862831730}" name="genres"/>
    <tableColumn id="17" xr3:uid="{8CCBAC0B-AA49-3C4F-977A-6FE2D98DB866}" name="production_companies"/>
    <tableColumn id="18" xr3:uid="{DAFA48B0-7EF0-564E-B91F-92ABE5E7084C}" name="production_countries"/>
    <tableColumn id="19" xr3:uid="{C175C607-A792-2646-9124-9E732BACE9A5}" name="spoken_languages"/>
    <tableColumn id="20" xr3:uid="{92292FCF-B240-FF4D-8826-DDE95033B68E}" name="cast"/>
    <tableColumn id="21" xr3:uid="{40FAC421-DE09-BC4A-97B2-F421CA830C7C}" name="director"/>
    <tableColumn id="22" xr3:uid="{D4327B6D-D451-4A48-A475-C2ACE4C488B0}" name="director_of_photography"/>
    <tableColumn id="23" xr3:uid="{89FFA703-A52B-4E4F-946E-F49ECFBACDAD}" name="writers"/>
    <tableColumn id="24" xr3:uid="{995AA59F-1F77-A54A-8065-49F9D64F8532}" name="producers"/>
    <tableColumn id="25" xr3:uid="{7C5C3D18-E7D2-3249-86DA-15D7E2E02144}" name="music_composer"/>
    <tableColumn id="26" xr3:uid="{8C894ABF-416C-5B40-AE12-09BE0FA391AA}" name="imdb_rating"/>
    <tableColumn id="27" xr3:uid="{9E3478E7-036C-1A4E-9691-33C309923A5E}" name="imdb_votes"/>
    <tableColumn id="28" xr3:uid="{692819D1-AAEF-104E-8EFE-751211FF2AEE}" name="poster_path"/>
    <tableColumn id="29" xr3:uid="{A8A58E4B-06FA-4A4D-A8B1-2E136A49B1AB}" name="release_month"/>
    <tableColumn id="30" xr3:uid="{5BF88BF0-31A9-0143-9D8F-97501AD89263}" name="release_year"/>
    <tableColumn id="31" xr3:uid="{C73EDE75-03C6-444B-8BC9-E87B2659B971}" name="iso_week"/>
    <tableColumn id="32" xr3:uid="{58DC51BA-6714-464A-B7EF-5EC07DE89451}" name="title_clean"/>
    <tableColumn id="33" xr3:uid="{CE8F705F-314D-624E-9B3E-37271E60A5EE}" name="distance"/>
    <tableColumn id="34" xr3:uid="{A96227BE-A48B-E548-BD8F-F08D635B932C}" name="strength"/>
    <tableColumn id="35" xr3:uid="{68BCE5CA-4EAF-F247-ABDE-A2FA2AEC3B7B}" name="score" totalsRowFunction="sum"/>
    <tableColumn id="36" xr3:uid="{E6596B32-D1C6-A74D-8C68-203F72614B19}" name="marvel_movie"/>
    <tableColumn id="37" xr3:uid="{EB262EDE-155E-5C4A-9939-C38507375E39}" name="attributes"/>
    <tableColumn id="38" xr3:uid="{0E626BAB-8E84-AC4C-9771-1E3748EAC486}" name="blank"/>
    <tableColumn id="39" xr3:uid="{620F4863-6E2C-8540-BDA0-588527C0E968}" name="internet"/>
    <tableColumn id="40" xr3:uid="{85C048D4-05AF-5B46-A53F-2F438F1D3DA7}" name="total"/>
    <tableColumn id="41" xr3:uid="{3B01682E-8D49-E445-A85C-89D5CB8FD80F}" name="internet_ratio"/>
    <tableColumn id="42" xr3:uid="{6F4EED01-0E00-C34A-96F7-74B4889E056D}" name="internet_dominance"/>
    <tableColumn id="43" xr3:uid="{242F5B06-C6D7-3B46-A315-56F4246666D5}" name="error" totalsRowFunction="c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D653B-6855-0040-9999-650B6FC93DF3}">
  <dimension ref="A1:AQ48"/>
  <sheetViews>
    <sheetView tabSelected="1" topLeftCell="T30" workbookViewId="0">
      <selection activeCell="AI48" sqref="AI48"/>
    </sheetView>
  </sheetViews>
  <sheetFormatPr baseColWidth="10" defaultRowHeight="16" x14ac:dyDescent="0.2"/>
  <cols>
    <col min="3" max="3" width="14.33203125" customWidth="1"/>
    <col min="4" max="4" width="12.5" customWidth="1"/>
    <col min="6" max="6" width="14.1640625" customWidth="1"/>
    <col min="11" max="11" width="18" customWidth="1"/>
    <col min="12" max="12" width="13.83203125" customWidth="1"/>
    <col min="14" max="14" width="11.6640625" customWidth="1"/>
    <col min="17" max="17" width="22.33203125" customWidth="1"/>
    <col min="18" max="18" width="21" customWidth="1"/>
    <col min="19" max="19" width="18.83203125" customWidth="1"/>
    <col min="22" max="22" width="23.5" customWidth="1"/>
    <col min="24" max="24" width="11.83203125" customWidth="1"/>
    <col min="25" max="25" width="17.83203125" customWidth="1"/>
    <col min="26" max="26" width="13.33203125" customWidth="1"/>
    <col min="27" max="27" width="13" customWidth="1"/>
    <col min="28" max="28" width="13.33203125" customWidth="1"/>
    <col min="29" max="29" width="15.83203125" customWidth="1"/>
    <col min="30" max="30" width="14" customWidth="1"/>
    <col min="31" max="31" width="11.1640625" customWidth="1"/>
    <col min="32" max="32" width="12.1640625" customWidth="1"/>
    <col min="36" max="36" width="15" customWidth="1"/>
    <col min="37" max="37" width="11.6640625" customWidth="1"/>
    <col min="41" max="41" width="14.6640625" customWidth="1"/>
    <col min="42" max="42" width="20" customWidth="1"/>
  </cols>
  <sheetData>
    <row r="1" spans="1:4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x14ac:dyDescent="0.2">
      <c r="A2">
        <v>27573</v>
      </c>
      <c r="B2" t="s">
        <v>43</v>
      </c>
      <c r="C2">
        <v>5.9</v>
      </c>
      <c r="D2">
        <v>2946</v>
      </c>
      <c r="E2" t="s">
        <v>44</v>
      </c>
      <c r="F2" s="1">
        <v>40253</v>
      </c>
      <c r="G2">
        <v>136300000</v>
      </c>
      <c r="H2">
        <v>110</v>
      </c>
      <c r="I2">
        <v>40000000</v>
      </c>
      <c r="J2" t="s">
        <v>45</v>
      </c>
      <c r="K2" t="s">
        <v>46</v>
      </c>
      <c r="L2" t="s">
        <v>43</v>
      </c>
      <c r="M2" t="s">
        <v>47</v>
      </c>
      <c r="N2">
        <v>5.55</v>
      </c>
      <c r="O2" t="s">
        <v>48</v>
      </c>
      <c r="P2" t="s">
        <v>49</v>
      </c>
      <c r="Q2" t="s">
        <v>50</v>
      </c>
      <c r="R2" t="s">
        <v>51</v>
      </c>
      <c r="S2" t="s">
        <v>52</v>
      </c>
      <c r="T2" t="s">
        <v>53</v>
      </c>
      <c r="U2" t="s">
        <v>54</v>
      </c>
      <c r="V2" t="s">
        <v>55</v>
      </c>
      <c r="W2" t="s">
        <v>56</v>
      </c>
      <c r="X2" t="s">
        <v>57</v>
      </c>
      <c r="Y2" t="s">
        <v>58</v>
      </c>
      <c r="Z2">
        <v>5.6</v>
      </c>
      <c r="AA2">
        <v>138945</v>
      </c>
      <c r="AB2" t="s">
        <v>59</v>
      </c>
      <c r="AC2">
        <v>3</v>
      </c>
      <c r="AD2">
        <v>2010</v>
      </c>
      <c r="AE2">
        <v>11</v>
      </c>
      <c r="AF2" t="s">
        <v>60</v>
      </c>
      <c r="AG2">
        <v>-43</v>
      </c>
      <c r="AH2">
        <v>18.730368904003502</v>
      </c>
      <c r="AI2">
        <v>0.42569020236371602</v>
      </c>
      <c r="AJ2" t="s">
        <v>61</v>
      </c>
      <c r="AK2" t="s">
        <v>62</v>
      </c>
      <c r="AL2">
        <v>76</v>
      </c>
      <c r="AM2">
        <v>1</v>
      </c>
      <c r="AN2">
        <v>84</v>
      </c>
      <c r="AO2">
        <v>0.01</v>
      </c>
      <c r="AP2" t="s">
        <v>63</v>
      </c>
      <c r="AQ2" t="s">
        <v>63</v>
      </c>
    </row>
    <row r="3" spans="1:43" x14ac:dyDescent="0.2">
      <c r="A3">
        <v>41211</v>
      </c>
      <c r="B3" t="s">
        <v>64</v>
      </c>
      <c r="C3">
        <v>6.6</v>
      </c>
      <c r="D3">
        <v>1372</v>
      </c>
      <c r="E3" t="s">
        <v>44</v>
      </c>
      <c r="F3" s="1">
        <v>40254</v>
      </c>
      <c r="G3">
        <v>47355187</v>
      </c>
      <c r="H3">
        <v>105</v>
      </c>
      <c r="I3">
        <v>8700000</v>
      </c>
      <c r="J3" t="s">
        <v>65</v>
      </c>
      <c r="K3" t="s">
        <v>66</v>
      </c>
      <c r="L3" t="s">
        <v>67</v>
      </c>
      <c r="M3" t="s">
        <v>68</v>
      </c>
      <c r="N3">
        <v>1.9456</v>
      </c>
      <c r="O3" t="s">
        <v>69</v>
      </c>
      <c r="P3" t="s">
        <v>70</v>
      </c>
      <c r="Q3" t="s">
        <v>71</v>
      </c>
      <c r="R3" t="s">
        <v>72</v>
      </c>
      <c r="S3" t="s">
        <v>73</v>
      </c>
      <c r="T3" t="s">
        <v>74</v>
      </c>
      <c r="U3" t="s">
        <v>75</v>
      </c>
      <c r="V3" t="s">
        <v>76</v>
      </c>
      <c r="W3" t="s">
        <v>77</v>
      </c>
      <c r="X3" t="s">
        <v>78</v>
      </c>
      <c r="Y3" t="s">
        <v>79</v>
      </c>
      <c r="Z3">
        <v>6.7</v>
      </c>
      <c r="AA3">
        <v>28277</v>
      </c>
      <c r="AB3" t="s">
        <v>80</v>
      </c>
      <c r="AC3">
        <v>3</v>
      </c>
      <c r="AD3">
        <v>2010</v>
      </c>
      <c r="AE3">
        <v>11</v>
      </c>
      <c r="AF3" t="s">
        <v>81</v>
      </c>
      <c r="AG3">
        <v>-42</v>
      </c>
      <c r="AH3">
        <v>17.673186938648101</v>
      </c>
      <c r="AI3">
        <v>0.41100434741042202</v>
      </c>
      <c r="AJ3" t="s">
        <v>61</v>
      </c>
      <c r="AK3" t="s">
        <v>82</v>
      </c>
      <c r="AL3">
        <v>42</v>
      </c>
      <c r="AM3">
        <v>0</v>
      </c>
      <c r="AN3">
        <v>58</v>
      </c>
      <c r="AO3">
        <v>0</v>
      </c>
      <c r="AP3" t="s">
        <v>63</v>
      </c>
      <c r="AQ3" t="s">
        <v>63</v>
      </c>
    </row>
    <row r="4" spans="1:43" x14ac:dyDescent="0.2">
      <c r="A4">
        <v>50598</v>
      </c>
      <c r="B4" t="s">
        <v>83</v>
      </c>
      <c r="C4">
        <v>4.2</v>
      </c>
      <c r="D4">
        <v>6</v>
      </c>
      <c r="E4" t="s">
        <v>44</v>
      </c>
      <c r="F4" s="1">
        <v>40254</v>
      </c>
      <c r="G4">
        <v>2500000</v>
      </c>
      <c r="H4">
        <v>78</v>
      </c>
      <c r="I4">
        <v>3000000</v>
      </c>
      <c r="J4" t="s">
        <v>84</v>
      </c>
      <c r="K4" t="s">
        <v>46</v>
      </c>
      <c r="L4" t="s">
        <v>83</v>
      </c>
      <c r="M4" t="s">
        <v>85</v>
      </c>
      <c r="N4">
        <v>0.77880000000000005</v>
      </c>
      <c r="O4" t="s">
        <v>86</v>
      </c>
      <c r="P4" t="s">
        <v>87</v>
      </c>
      <c r="Q4" t="s">
        <v>88</v>
      </c>
      <c r="R4" t="s">
        <v>89</v>
      </c>
      <c r="S4" t="s">
        <v>52</v>
      </c>
      <c r="T4" t="s">
        <v>90</v>
      </c>
      <c r="U4" t="s">
        <v>91</v>
      </c>
      <c r="W4" t="s">
        <v>91</v>
      </c>
      <c r="X4" t="s">
        <v>92</v>
      </c>
      <c r="Y4" t="s">
        <v>93</v>
      </c>
      <c r="Z4">
        <v>5.2</v>
      </c>
      <c r="AA4">
        <v>373</v>
      </c>
      <c r="AB4" t="s">
        <v>94</v>
      </c>
      <c r="AC4">
        <v>3</v>
      </c>
      <c r="AD4">
        <v>2010</v>
      </c>
      <c r="AE4">
        <v>11</v>
      </c>
      <c r="AF4" t="s">
        <v>95</v>
      </c>
      <c r="AG4">
        <v>-42</v>
      </c>
      <c r="AH4">
        <v>14.731801689838299</v>
      </c>
      <c r="AI4">
        <v>0.34260003929856597</v>
      </c>
      <c r="AJ4" t="s">
        <v>61</v>
      </c>
      <c r="AK4" t="s">
        <v>96</v>
      </c>
      <c r="AL4">
        <v>1</v>
      </c>
      <c r="AM4">
        <v>0</v>
      </c>
      <c r="AN4">
        <v>6</v>
      </c>
      <c r="AO4">
        <v>0</v>
      </c>
      <c r="AP4" t="s">
        <v>63</v>
      </c>
      <c r="AQ4" t="s">
        <v>63</v>
      </c>
    </row>
    <row r="5" spans="1:43" x14ac:dyDescent="0.2">
      <c r="A5">
        <v>10191</v>
      </c>
      <c r="B5" t="s">
        <v>97</v>
      </c>
      <c r="C5">
        <v>7.8529999999999998</v>
      </c>
      <c r="D5">
        <v>13869</v>
      </c>
      <c r="E5" t="s">
        <v>44</v>
      </c>
      <c r="F5" s="1">
        <v>40255</v>
      </c>
      <c r="G5">
        <v>495141736</v>
      </c>
      <c r="H5">
        <v>98</v>
      </c>
      <c r="I5">
        <v>165000000</v>
      </c>
      <c r="J5" t="s">
        <v>98</v>
      </c>
      <c r="K5" t="s">
        <v>46</v>
      </c>
      <c r="L5" t="s">
        <v>97</v>
      </c>
      <c r="M5" t="s">
        <v>99</v>
      </c>
      <c r="N5">
        <v>10.883599999999999</v>
      </c>
      <c r="O5" t="s">
        <v>100</v>
      </c>
      <c r="P5" t="s">
        <v>101</v>
      </c>
      <c r="Q5" t="s">
        <v>102</v>
      </c>
      <c r="R5" t="s">
        <v>51</v>
      </c>
      <c r="S5" t="s">
        <v>52</v>
      </c>
      <c r="T5" t="s">
        <v>103</v>
      </c>
      <c r="U5" t="s">
        <v>104</v>
      </c>
      <c r="V5" t="s">
        <v>105</v>
      </c>
      <c r="W5" t="s">
        <v>106</v>
      </c>
      <c r="X5" t="s">
        <v>107</v>
      </c>
      <c r="Y5" t="s">
        <v>108</v>
      </c>
      <c r="Z5">
        <v>8.1</v>
      </c>
      <c r="AA5">
        <v>872074</v>
      </c>
      <c r="AB5" t="s">
        <v>109</v>
      </c>
      <c r="AC5">
        <v>3</v>
      </c>
      <c r="AD5">
        <v>2010</v>
      </c>
      <c r="AE5">
        <v>11</v>
      </c>
      <c r="AF5" t="s">
        <v>110</v>
      </c>
      <c r="AG5">
        <v>-41</v>
      </c>
      <c r="AH5">
        <v>20.020354616919899</v>
      </c>
      <c r="AI5">
        <v>0.47667510992666601</v>
      </c>
      <c r="AJ5" t="s">
        <v>61</v>
      </c>
      <c r="AK5" t="s">
        <v>111</v>
      </c>
      <c r="AL5">
        <v>79</v>
      </c>
      <c r="AM5">
        <v>0</v>
      </c>
      <c r="AN5">
        <v>92</v>
      </c>
      <c r="AO5">
        <v>0</v>
      </c>
      <c r="AP5" t="s">
        <v>63</v>
      </c>
      <c r="AQ5" t="s">
        <v>63</v>
      </c>
    </row>
    <row r="6" spans="1:43" x14ac:dyDescent="0.2">
      <c r="A6">
        <v>31867</v>
      </c>
      <c r="B6" t="s">
        <v>112</v>
      </c>
      <c r="C6">
        <v>6.3360000000000003</v>
      </c>
      <c r="D6">
        <v>1998</v>
      </c>
      <c r="E6" t="s">
        <v>44</v>
      </c>
      <c r="F6" s="1">
        <v>40255</v>
      </c>
      <c r="G6">
        <v>18409891</v>
      </c>
      <c r="H6">
        <v>111</v>
      </c>
      <c r="I6">
        <v>32000000</v>
      </c>
      <c r="J6" t="s">
        <v>113</v>
      </c>
      <c r="K6" t="s">
        <v>46</v>
      </c>
      <c r="L6" t="s">
        <v>112</v>
      </c>
      <c r="M6" t="s">
        <v>114</v>
      </c>
      <c r="N6">
        <v>4.9127000000000001</v>
      </c>
      <c r="O6" t="s">
        <v>115</v>
      </c>
      <c r="P6" t="s">
        <v>116</v>
      </c>
      <c r="Q6" t="s">
        <v>117</v>
      </c>
      <c r="R6" t="s">
        <v>118</v>
      </c>
      <c r="S6" t="s">
        <v>52</v>
      </c>
      <c r="T6" t="s">
        <v>119</v>
      </c>
      <c r="U6" t="s">
        <v>120</v>
      </c>
      <c r="V6" t="s">
        <v>121</v>
      </c>
      <c r="W6" t="s">
        <v>122</v>
      </c>
      <c r="X6" t="s">
        <v>123</v>
      </c>
      <c r="Y6" t="s">
        <v>124</v>
      </c>
      <c r="Z6">
        <v>6.3</v>
      </c>
      <c r="AA6">
        <v>113470</v>
      </c>
      <c r="AB6" t="s">
        <v>125</v>
      </c>
      <c r="AC6">
        <v>3</v>
      </c>
      <c r="AD6">
        <v>2010</v>
      </c>
      <c r="AE6">
        <v>11</v>
      </c>
      <c r="AF6" t="s">
        <v>126</v>
      </c>
      <c r="AG6">
        <v>-41</v>
      </c>
      <c r="AH6">
        <v>16.728398686815002</v>
      </c>
      <c r="AI6">
        <v>0.39829520682892999</v>
      </c>
      <c r="AJ6" t="s">
        <v>61</v>
      </c>
      <c r="AK6" t="s">
        <v>127</v>
      </c>
      <c r="AL6">
        <v>20</v>
      </c>
      <c r="AM6">
        <v>2</v>
      </c>
      <c r="AN6">
        <v>36</v>
      </c>
      <c r="AO6">
        <v>0.06</v>
      </c>
      <c r="AP6" t="s">
        <v>63</v>
      </c>
      <c r="AQ6" t="s">
        <v>63</v>
      </c>
    </row>
    <row r="7" spans="1:43" x14ac:dyDescent="0.2">
      <c r="A7">
        <v>42188</v>
      </c>
      <c r="B7" t="s">
        <v>128</v>
      </c>
      <c r="C7">
        <v>6.8</v>
      </c>
      <c r="D7">
        <v>2375</v>
      </c>
      <c r="E7" t="s">
        <v>44</v>
      </c>
      <c r="F7" s="1">
        <v>40255</v>
      </c>
      <c r="G7">
        <v>9918093</v>
      </c>
      <c r="H7">
        <v>103</v>
      </c>
      <c r="I7">
        <v>15000000</v>
      </c>
      <c r="J7" t="s">
        <v>129</v>
      </c>
      <c r="K7" t="s">
        <v>46</v>
      </c>
      <c r="L7" t="s">
        <v>128</v>
      </c>
      <c r="M7" t="s">
        <v>130</v>
      </c>
      <c r="N7">
        <v>6.1632999999999996</v>
      </c>
      <c r="O7" t="s">
        <v>131</v>
      </c>
      <c r="P7" t="s">
        <v>132</v>
      </c>
      <c r="Q7" t="s">
        <v>133</v>
      </c>
      <c r="R7" t="s">
        <v>134</v>
      </c>
      <c r="S7" t="s">
        <v>52</v>
      </c>
      <c r="T7" t="s">
        <v>135</v>
      </c>
      <c r="U7" t="s">
        <v>136</v>
      </c>
      <c r="V7" t="s">
        <v>137</v>
      </c>
      <c r="W7" t="s">
        <v>138</v>
      </c>
      <c r="X7" t="s">
        <v>139</v>
      </c>
      <c r="Y7" t="s">
        <v>140</v>
      </c>
      <c r="Z7">
        <v>7.1</v>
      </c>
      <c r="AA7">
        <v>158425</v>
      </c>
      <c r="AB7" t="s">
        <v>141</v>
      </c>
      <c r="AC7">
        <v>3</v>
      </c>
      <c r="AD7">
        <v>2010</v>
      </c>
      <c r="AE7">
        <v>11</v>
      </c>
      <c r="AF7" t="s">
        <v>142</v>
      </c>
      <c r="AG7">
        <v>-41</v>
      </c>
      <c r="AH7">
        <v>16.109871323703501</v>
      </c>
      <c r="AI7">
        <v>0.383568364850085</v>
      </c>
      <c r="AJ7" t="s">
        <v>61</v>
      </c>
      <c r="AK7" t="s">
        <v>143</v>
      </c>
      <c r="AL7">
        <v>32</v>
      </c>
      <c r="AM7">
        <v>1</v>
      </c>
      <c r="AN7">
        <v>64</v>
      </c>
      <c r="AO7">
        <v>0.02</v>
      </c>
      <c r="AP7" t="s">
        <v>63</v>
      </c>
      <c r="AQ7" t="s">
        <v>63</v>
      </c>
    </row>
    <row r="8" spans="1:43" x14ac:dyDescent="0.2">
      <c r="A8">
        <v>33217</v>
      </c>
      <c r="B8" t="s">
        <v>144</v>
      </c>
      <c r="C8">
        <v>6.3</v>
      </c>
      <c r="D8">
        <v>1688</v>
      </c>
      <c r="E8" t="s">
        <v>44</v>
      </c>
      <c r="F8" s="1">
        <v>40256</v>
      </c>
      <c r="G8">
        <v>76196538</v>
      </c>
      <c r="H8">
        <v>92</v>
      </c>
      <c r="I8">
        <v>15000000</v>
      </c>
      <c r="J8" t="s">
        <v>145</v>
      </c>
      <c r="K8" t="s">
        <v>46</v>
      </c>
      <c r="L8" t="s">
        <v>144</v>
      </c>
      <c r="M8" t="s">
        <v>146</v>
      </c>
      <c r="N8">
        <v>5.2545999999999999</v>
      </c>
      <c r="O8" t="s">
        <v>147</v>
      </c>
      <c r="P8" t="s">
        <v>148</v>
      </c>
      <c r="Q8" t="s">
        <v>149</v>
      </c>
      <c r="R8" t="s">
        <v>150</v>
      </c>
      <c r="S8" t="s">
        <v>52</v>
      </c>
      <c r="T8" t="s">
        <v>151</v>
      </c>
      <c r="U8" t="s">
        <v>152</v>
      </c>
      <c r="V8" t="s">
        <v>153</v>
      </c>
      <c r="W8" t="s">
        <v>154</v>
      </c>
      <c r="X8" t="s">
        <v>155</v>
      </c>
      <c r="Y8" t="s">
        <v>156</v>
      </c>
      <c r="Z8">
        <v>6.2</v>
      </c>
      <c r="AA8">
        <v>64001</v>
      </c>
      <c r="AB8" t="s">
        <v>157</v>
      </c>
      <c r="AC8">
        <v>3</v>
      </c>
      <c r="AD8">
        <v>2010</v>
      </c>
      <c r="AE8">
        <v>11</v>
      </c>
      <c r="AF8" t="s">
        <v>158</v>
      </c>
      <c r="AG8">
        <v>-40</v>
      </c>
      <c r="AH8">
        <v>18.1488265996778</v>
      </c>
      <c r="AI8">
        <v>0.44265430730921501</v>
      </c>
      <c r="AJ8" t="s">
        <v>61</v>
      </c>
      <c r="AK8" t="s">
        <v>159</v>
      </c>
      <c r="AL8">
        <v>18</v>
      </c>
      <c r="AM8">
        <v>4</v>
      </c>
      <c r="AN8">
        <v>38</v>
      </c>
      <c r="AO8">
        <v>0.11</v>
      </c>
      <c r="AP8" t="s">
        <v>63</v>
      </c>
      <c r="AQ8" t="s">
        <v>63</v>
      </c>
    </row>
    <row r="9" spans="1:43" x14ac:dyDescent="0.2">
      <c r="A9">
        <v>42194</v>
      </c>
      <c r="B9" t="s">
        <v>160</v>
      </c>
      <c r="C9">
        <v>5.3520000000000003</v>
      </c>
      <c r="D9">
        <v>707</v>
      </c>
      <c r="E9" t="s">
        <v>44</v>
      </c>
      <c r="F9" s="1">
        <v>40257</v>
      </c>
      <c r="G9">
        <v>967000</v>
      </c>
      <c r="H9">
        <v>92</v>
      </c>
      <c r="I9">
        <v>30000000</v>
      </c>
      <c r="J9" t="s">
        <v>161</v>
      </c>
      <c r="K9" t="s">
        <v>46</v>
      </c>
      <c r="L9" t="s">
        <v>160</v>
      </c>
      <c r="M9" t="s">
        <v>162</v>
      </c>
      <c r="N9">
        <v>2.4114</v>
      </c>
      <c r="O9" t="s">
        <v>163</v>
      </c>
      <c r="P9" t="s">
        <v>164</v>
      </c>
      <c r="Q9" t="s">
        <v>165</v>
      </c>
      <c r="R9" t="s">
        <v>166</v>
      </c>
      <c r="S9" t="s">
        <v>167</v>
      </c>
      <c r="T9" t="s">
        <v>168</v>
      </c>
      <c r="U9" t="s">
        <v>169</v>
      </c>
      <c r="V9" t="s">
        <v>170</v>
      </c>
      <c r="W9" t="s">
        <v>171</v>
      </c>
      <c r="X9" t="s">
        <v>172</v>
      </c>
      <c r="Y9" t="s">
        <v>173</v>
      </c>
      <c r="Z9">
        <v>4.8</v>
      </c>
      <c r="AA9">
        <v>29354</v>
      </c>
      <c r="AB9" t="s">
        <v>174</v>
      </c>
      <c r="AC9">
        <v>3</v>
      </c>
      <c r="AD9">
        <v>2010</v>
      </c>
      <c r="AE9">
        <v>11</v>
      </c>
      <c r="AF9" t="s">
        <v>175</v>
      </c>
      <c r="AG9">
        <v>-39</v>
      </c>
      <c r="AH9">
        <v>13.781954808561</v>
      </c>
      <c r="AI9">
        <v>0.34454887021402603</v>
      </c>
      <c r="AJ9" t="s">
        <v>61</v>
      </c>
      <c r="AK9" t="s">
        <v>176</v>
      </c>
      <c r="AL9">
        <v>9</v>
      </c>
      <c r="AM9">
        <v>0</v>
      </c>
      <c r="AN9">
        <v>21</v>
      </c>
      <c r="AO9">
        <v>0</v>
      </c>
      <c r="AP9" t="s">
        <v>63</v>
      </c>
      <c r="AQ9" t="s">
        <v>63</v>
      </c>
    </row>
    <row r="10" spans="1:43" x14ac:dyDescent="0.2">
      <c r="A10">
        <v>18823</v>
      </c>
      <c r="B10" t="s">
        <v>177</v>
      </c>
      <c r="C10">
        <v>5.9</v>
      </c>
      <c r="D10">
        <v>6494</v>
      </c>
      <c r="E10" t="s">
        <v>44</v>
      </c>
      <c r="F10" s="1">
        <v>40263</v>
      </c>
      <c r="G10">
        <v>493214993</v>
      </c>
      <c r="H10">
        <v>106</v>
      </c>
      <c r="I10">
        <v>125000000</v>
      </c>
      <c r="J10" t="s">
        <v>178</v>
      </c>
      <c r="K10" t="s">
        <v>46</v>
      </c>
      <c r="L10" t="s">
        <v>177</v>
      </c>
      <c r="M10" t="s">
        <v>179</v>
      </c>
      <c r="N10">
        <v>6.4362000000000004</v>
      </c>
      <c r="O10" t="s">
        <v>180</v>
      </c>
      <c r="P10" t="s">
        <v>181</v>
      </c>
      <c r="Q10" t="s">
        <v>182</v>
      </c>
      <c r="R10" t="s">
        <v>183</v>
      </c>
      <c r="S10" t="s">
        <v>52</v>
      </c>
      <c r="T10" t="s">
        <v>184</v>
      </c>
      <c r="U10" t="s">
        <v>185</v>
      </c>
      <c r="V10" t="s">
        <v>186</v>
      </c>
      <c r="W10" t="s">
        <v>187</v>
      </c>
      <c r="X10" t="s">
        <v>188</v>
      </c>
      <c r="Y10" t="s">
        <v>189</v>
      </c>
      <c r="Z10">
        <v>5.8</v>
      </c>
      <c r="AA10">
        <v>302228</v>
      </c>
      <c r="AB10" t="s">
        <v>190</v>
      </c>
      <c r="AC10">
        <v>3</v>
      </c>
      <c r="AD10">
        <v>2010</v>
      </c>
      <c r="AE10">
        <v>12</v>
      </c>
      <c r="AF10" t="s">
        <v>191</v>
      </c>
      <c r="AG10">
        <v>-33</v>
      </c>
      <c r="AH10">
        <v>20.016455730252201</v>
      </c>
      <c r="AI10">
        <v>0.58871928618388802</v>
      </c>
      <c r="AJ10" t="s">
        <v>61</v>
      </c>
      <c r="AK10" t="s">
        <v>192</v>
      </c>
      <c r="AL10">
        <v>71</v>
      </c>
      <c r="AM10">
        <v>0</v>
      </c>
      <c r="AN10">
        <v>77</v>
      </c>
      <c r="AO10">
        <v>0</v>
      </c>
      <c r="AP10" t="s">
        <v>63</v>
      </c>
      <c r="AQ10" t="s">
        <v>63</v>
      </c>
    </row>
    <row r="11" spans="1:43" x14ac:dyDescent="0.2">
      <c r="A11">
        <v>23048</v>
      </c>
      <c r="B11" t="s">
        <v>193</v>
      </c>
      <c r="C11">
        <v>6</v>
      </c>
      <c r="D11">
        <v>2599</v>
      </c>
      <c r="E11" t="s">
        <v>44</v>
      </c>
      <c r="F11" s="1">
        <v>40263</v>
      </c>
      <c r="G11">
        <v>64780213</v>
      </c>
      <c r="H11">
        <v>101</v>
      </c>
      <c r="I11">
        <v>36000000</v>
      </c>
      <c r="J11" t="s">
        <v>194</v>
      </c>
      <c r="K11" t="s">
        <v>46</v>
      </c>
      <c r="L11" t="s">
        <v>193</v>
      </c>
      <c r="M11" t="s">
        <v>195</v>
      </c>
      <c r="N11">
        <v>5.6464999999999996</v>
      </c>
      <c r="O11" t="s">
        <v>196</v>
      </c>
      <c r="P11" t="s">
        <v>197</v>
      </c>
      <c r="Q11" t="s">
        <v>198</v>
      </c>
      <c r="R11" t="s">
        <v>51</v>
      </c>
      <c r="S11" t="s">
        <v>52</v>
      </c>
      <c r="T11" t="s">
        <v>199</v>
      </c>
      <c r="U11" t="s">
        <v>200</v>
      </c>
      <c r="V11" t="s">
        <v>153</v>
      </c>
      <c r="W11" t="s">
        <v>201</v>
      </c>
      <c r="X11" t="s">
        <v>202</v>
      </c>
      <c r="Y11" t="s">
        <v>203</v>
      </c>
      <c r="Z11">
        <v>6.4</v>
      </c>
      <c r="AA11">
        <v>194558</v>
      </c>
      <c r="AB11" t="s">
        <v>204</v>
      </c>
      <c r="AC11">
        <v>3</v>
      </c>
      <c r="AD11">
        <v>2010</v>
      </c>
      <c r="AE11">
        <v>12</v>
      </c>
      <c r="AF11" t="s">
        <v>205</v>
      </c>
      <c r="AG11">
        <v>-33</v>
      </c>
      <c r="AH11">
        <v>17.986510775190698</v>
      </c>
      <c r="AI11">
        <v>0.52901502279972701</v>
      </c>
      <c r="AJ11" t="s">
        <v>61</v>
      </c>
      <c r="AK11" t="s">
        <v>206</v>
      </c>
      <c r="AL11">
        <v>39</v>
      </c>
      <c r="AM11">
        <v>0</v>
      </c>
      <c r="AN11">
        <v>50</v>
      </c>
      <c r="AO11">
        <v>0</v>
      </c>
      <c r="AP11" t="s">
        <v>63</v>
      </c>
      <c r="AQ11" t="s">
        <v>63</v>
      </c>
    </row>
    <row r="12" spans="1:43" x14ac:dyDescent="0.2">
      <c r="A12">
        <v>23483</v>
      </c>
      <c r="B12" t="s">
        <v>207</v>
      </c>
      <c r="C12">
        <v>7.1</v>
      </c>
      <c r="D12">
        <v>12044</v>
      </c>
      <c r="E12" t="s">
        <v>44</v>
      </c>
      <c r="F12" s="1">
        <v>40263</v>
      </c>
      <c r="G12">
        <v>96188903</v>
      </c>
      <c r="H12">
        <v>118</v>
      </c>
      <c r="I12">
        <v>28000000</v>
      </c>
      <c r="J12" t="s">
        <v>208</v>
      </c>
      <c r="K12" t="s">
        <v>46</v>
      </c>
      <c r="L12" t="s">
        <v>207</v>
      </c>
      <c r="M12" t="s">
        <v>209</v>
      </c>
      <c r="N12">
        <v>11.102600000000001</v>
      </c>
      <c r="O12" t="s">
        <v>210</v>
      </c>
      <c r="P12" t="s">
        <v>211</v>
      </c>
      <c r="Q12" t="s">
        <v>212</v>
      </c>
      <c r="R12" t="s">
        <v>150</v>
      </c>
      <c r="S12" t="s">
        <v>52</v>
      </c>
      <c r="T12" t="s">
        <v>213</v>
      </c>
      <c r="U12" t="s">
        <v>214</v>
      </c>
      <c r="V12" t="s">
        <v>215</v>
      </c>
      <c r="W12" t="s">
        <v>216</v>
      </c>
      <c r="X12" t="s">
        <v>217</v>
      </c>
      <c r="Y12" t="s">
        <v>218</v>
      </c>
      <c r="Z12">
        <v>7.6</v>
      </c>
      <c r="AA12">
        <v>615252</v>
      </c>
      <c r="AB12" t="s">
        <v>219</v>
      </c>
      <c r="AC12">
        <v>3</v>
      </c>
      <c r="AD12">
        <v>2010</v>
      </c>
      <c r="AE12">
        <v>12</v>
      </c>
      <c r="AF12" t="s">
        <v>220</v>
      </c>
      <c r="AG12">
        <v>-33</v>
      </c>
      <c r="AH12">
        <v>18.381824565948001</v>
      </c>
      <c r="AI12">
        <v>0.54064189899847204</v>
      </c>
      <c r="AJ12" t="s">
        <v>61</v>
      </c>
      <c r="AK12" t="s">
        <v>221</v>
      </c>
      <c r="AL12">
        <v>57</v>
      </c>
      <c r="AM12">
        <v>2</v>
      </c>
      <c r="AN12">
        <v>72</v>
      </c>
      <c r="AO12">
        <v>0.03</v>
      </c>
      <c r="AP12" t="s">
        <v>63</v>
      </c>
      <c r="AQ12" t="s">
        <v>63</v>
      </c>
    </row>
    <row r="13" spans="1:43" x14ac:dyDescent="0.2">
      <c r="A13">
        <v>27583</v>
      </c>
      <c r="B13" t="s">
        <v>222</v>
      </c>
      <c r="C13">
        <v>5.9</v>
      </c>
      <c r="D13">
        <v>596</v>
      </c>
      <c r="E13" t="s">
        <v>44</v>
      </c>
      <c r="F13" s="1">
        <v>40263</v>
      </c>
      <c r="G13">
        <v>6344112</v>
      </c>
      <c r="H13">
        <v>107</v>
      </c>
      <c r="I13">
        <v>25000000</v>
      </c>
      <c r="J13" t="s">
        <v>223</v>
      </c>
      <c r="K13" t="s">
        <v>46</v>
      </c>
      <c r="L13" t="s">
        <v>222</v>
      </c>
      <c r="M13" t="s">
        <v>224</v>
      </c>
      <c r="N13">
        <v>4.3067000000000002</v>
      </c>
      <c r="O13" t="s">
        <v>225</v>
      </c>
      <c r="P13" t="s">
        <v>226</v>
      </c>
      <c r="Q13" t="s">
        <v>227</v>
      </c>
      <c r="R13" t="s">
        <v>51</v>
      </c>
      <c r="S13" t="s">
        <v>52</v>
      </c>
      <c r="T13" t="s">
        <v>228</v>
      </c>
      <c r="U13" t="s">
        <v>229</v>
      </c>
      <c r="V13" t="s">
        <v>230</v>
      </c>
      <c r="W13" t="s">
        <v>231</v>
      </c>
      <c r="X13" t="s">
        <v>232</v>
      </c>
      <c r="Y13" t="s">
        <v>233</v>
      </c>
      <c r="Z13">
        <v>6.1</v>
      </c>
      <c r="AA13">
        <v>40134</v>
      </c>
      <c r="AB13" t="s">
        <v>234</v>
      </c>
      <c r="AC13">
        <v>3</v>
      </c>
      <c r="AD13">
        <v>2010</v>
      </c>
      <c r="AE13">
        <v>12</v>
      </c>
      <c r="AF13" t="s">
        <v>235</v>
      </c>
      <c r="AG13">
        <v>-33</v>
      </c>
      <c r="AH13">
        <v>15.6630378542441</v>
      </c>
      <c r="AI13">
        <v>0.46067758394835601</v>
      </c>
      <c r="AJ13" t="s">
        <v>61</v>
      </c>
      <c r="AK13" t="s">
        <v>236</v>
      </c>
      <c r="AL13">
        <v>19</v>
      </c>
      <c r="AM13">
        <v>0</v>
      </c>
      <c r="AN13">
        <v>34</v>
      </c>
      <c r="AO13">
        <v>0</v>
      </c>
      <c r="AP13" t="s">
        <v>63</v>
      </c>
      <c r="AQ13" t="s">
        <v>63</v>
      </c>
    </row>
    <row r="14" spans="1:43" x14ac:dyDescent="0.2">
      <c r="A14">
        <v>35019</v>
      </c>
      <c r="B14" t="s">
        <v>237</v>
      </c>
      <c r="C14">
        <v>6.3010000000000002</v>
      </c>
      <c r="D14">
        <v>1898</v>
      </c>
      <c r="E14" t="s">
        <v>44</v>
      </c>
      <c r="F14" s="1">
        <v>40263</v>
      </c>
      <c r="G14">
        <v>93251121</v>
      </c>
      <c r="H14">
        <v>109</v>
      </c>
      <c r="I14">
        <v>35000000</v>
      </c>
      <c r="J14" t="s">
        <v>238</v>
      </c>
      <c r="K14" t="s">
        <v>46</v>
      </c>
      <c r="L14" t="s">
        <v>237</v>
      </c>
      <c r="M14" t="s">
        <v>239</v>
      </c>
      <c r="N14">
        <v>6.0378999999999996</v>
      </c>
      <c r="O14" t="s">
        <v>240</v>
      </c>
      <c r="P14" t="s">
        <v>241</v>
      </c>
      <c r="Q14" t="s">
        <v>242</v>
      </c>
      <c r="R14" t="s">
        <v>243</v>
      </c>
      <c r="S14" t="s">
        <v>52</v>
      </c>
      <c r="T14" t="s">
        <v>244</v>
      </c>
      <c r="U14" t="s">
        <v>245</v>
      </c>
      <c r="V14" t="s">
        <v>246</v>
      </c>
      <c r="W14" t="s">
        <v>247</v>
      </c>
      <c r="X14" t="s">
        <v>248</v>
      </c>
      <c r="Y14" t="s">
        <v>249</v>
      </c>
      <c r="Z14">
        <v>6.1</v>
      </c>
      <c r="AA14">
        <v>39194</v>
      </c>
      <c r="AB14" t="s">
        <v>250</v>
      </c>
      <c r="AC14">
        <v>3</v>
      </c>
      <c r="AD14">
        <v>2010</v>
      </c>
      <c r="AE14">
        <v>12</v>
      </c>
      <c r="AF14" t="s">
        <v>251</v>
      </c>
      <c r="AG14">
        <v>-33</v>
      </c>
      <c r="AH14">
        <v>18.350806648587302</v>
      </c>
      <c r="AI14">
        <v>0.53972960731139397</v>
      </c>
      <c r="AJ14" t="s">
        <v>61</v>
      </c>
      <c r="AK14" t="s">
        <v>252</v>
      </c>
      <c r="AL14">
        <v>54</v>
      </c>
      <c r="AM14">
        <v>2</v>
      </c>
      <c r="AN14">
        <v>65</v>
      </c>
      <c r="AO14">
        <v>0.03</v>
      </c>
      <c r="AP14" t="s">
        <v>63</v>
      </c>
      <c r="AQ14" t="s">
        <v>63</v>
      </c>
    </row>
    <row r="15" spans="1:43" x14ac:dyDescent="0.2">
      <c r="A15">
        <v>41505</v>
      </c>
      <c r="B15" t="s">
        <v>253</v>
      </c>
      <c r="C15">
        <v>6</v>
      </c>
      <c r="D15">
        <v>734</v>
      </c>
      <c r="E15" t="s">
        <v>44</v>
      </c>
      <c r="F15" s="1">
        <v>40264</v>
      </c>
      <c r="G15">
        <v>851517</v>
      </c>
      <c r="H15">
        <v>112</v>
      </c>
      <c r="I15">
        <v>22000000</v>
      </c>
      <c r="J15" t="s">
        <v>254</v>
      </c>
      <c r="K15" t="s">
        <v>46</v>
      </c>
      <c r="L15" t="s">
        <v>253</v>
      </c>
      <c r="M15" t="s">
        <v>255</v>
      </c>
      <c r="N15">
        <v>2.6488</v>
      </c>
      <c r="O15" t="s">
        <v>256</v>
      </c>
      <c r="P15" t="s">
        <v>257</v>
      </c>
      <c r="Q15" t="s">
        <v>258</v>
      </c>
      <c r="R15" t="s">
        <v>51</v>
      </c>
      <c r="S15" t="s">
        <v>52</v>
      </c>
      <c r="T15" t="s">
        <v>259</v>
      </c>
      <c r="U15" t="s">
        <v>260</v>
      </c>
      <c r="V15" t="s">
        <v>261</v>
      </c>
      <c r="W15" t="s">
        <v>262</v>
      </c>
      <c r="X15" t="s">
        <v>263</v>
      </c>
      <c r="Y15" t="s">
        <v>264</v>
      </c>
      <c r="Z15">
        <v>6</v>
      </c>
      <c r="AA15">
        <v>38563</v>
      </c>
      <c r="AB15" t="s">
        <v>265</v>
      </c>
      <c r="AC15">
        <v>3</v>
      </c>
      <c r="AD15">
        <v>2010</v>
      </c>
      <c r="AE15">
        <v>12</v>
      </c>
      <c r="AF15" t="s">
        <v>266</v>
      </c>
      <c r="AG15">
        <v>-32</v>
      </c>
      <c r="AH15">
        <v>13.6547759180276</v>
      </c>
      <c r="AI15">
        <v>0.41378108842507899</v>
      </c>
      <c r="AJ15" t="s">
        <v>61</v>
      </c>
      <c r="AK15" t="s">
        <v>267</v>
      </c>
      <c r="AL15">
        <v>16</v>
      </c>
      <c r="AM15">
        <v>1</v>
      </c>
      <c r="AN15">
        <v>27</v>
      </c>
      <c r="AO15">
        <v>0.04</v>
      </c>
      <c r="AP15" t="s">
        <v>63</v>
      </c>
      <c r="AQ15" t="s">
        <v>63</v>
      </c>
    </row>
    <row r="16" spans="1:43" x14ac:dyDescent="0.2">
      <c r="A16">
        <v>35690</v>
      </c>
      <c r="B16" t="s">
        <v>268</v>
      </c>
      <c r="C16">
        <v>7.2350000000000003</v>
      </c>
      <c r="D16">
        <v>3342</v>
      </c>
      <c r="E16" t="s">
        <v>44</v>
      </c>
      <c r="F16" s="1">
        <v>40268</v>
      </c>
      <c r="G16">
        <v>89137047</v>
      </c>
      <c r="H16">
        <v>107</v>
      </c>
      <c r="I16">
        <v>20000000</v>
      </c>
      <c r="J16" t="s">
        <v>269</v>
      </c>
      <c r="K16" t="s">
        <v>46</v>
      </c>
      <c r="L16" t="s">
        <v>268</v>
      </c>
      <c r="M16" t="s">
        <v>270</v>
      </c>
      <c r="N16">
        <v>2.8862000000000001</v>
      </c>
      <c r="O16" t="s">
        <v>271</v>
      </c>
      <c r="P16" t="s">
        <v>272</v>
      </c>
      <c r="Q16" t="s">
        <v>273</v>
      </c>
      <c r="R16" t="s">
        <v>51</v>
      </c>
      <c r="S16" t="s">
        <v>52</v>
      </c>
      <c r="T16" t="s">
        <v>274</v>
      </c>
      <c r="U16" t="s">
        <v>275</v>
      </c>
      <c r="V16" t="s">
        <v>276</v>
      </c>
      <c r="W16" t="s">
        <v>277</v>
      </c>
      <c r="X16" t="s">
        <v>278</v>
      </c>
      <c r="Y16" t="s">
        <v>279</v>
      </c>
      <c r="Z16">
        <v>6</v>
      </c>
      <c r="AA16">
        <v>95196</v>
      </c>
      <c r="AB16" t="s">
        <v>280</v>
      </c>
      <c r="AC16">
        <v>3</v>
      </c>
      <c r="AD16">
        <v>2010</v>
      </c>
      <c r="AE16">
        <v>13</v>
      </c>
      <c r="AF16" t="s">
        <v>281</v>
      </c>
      <c r="AG16">
        <v>-28</v>
      </c>
      <c r="AH16">
        <v>18.305685608488201</v>
      </c>
      <c r="AI16">
        <v>0.63123053822373298</v>
      </c>
      <c r="AJ16" t="s">
        <v>61</v>
      </c>
      <c r="AK16" t="s">
        <v>282</v>
      </c>
      <c r="AL16">
        <v>36</v>
      </c>
      <c r="AM16">
        <v>1</v>
      </c>
      <c r="AN16">
        <v>42</v>
      </c>
      <c r="AO16">
        <v>0.02</v>
      </c>
      <c r="AP16" t="s">
        <v>63</v>
      </c>
      <c r="AQ16" t="s">
        <v>63</v>
      </c>
    </row>
    <row r="17" spans="1:43" x14ac:dyDescent="0.2">
      <c r="A17">
        <v>35688</v>
      </c>
      <c r="B17" t="s">
        <v>283</v>
      </c>
      <c r="C17">
        <v>6.516</v>
      </c>
      <c r="D17">
        <v>162</v>
      </c>
      <c r="E17" t="s">
        <v>44</v>
      </c>
      <c r="F17" s="1">
        <v>40270</v>
      </c>
      <c r="G17">
        <v>60673972</v>
      </c>
      <c r="H17">
        <v>121</v>
      </c>
      <c r="I17">
        <v>20000000</v>
      </c>
      <c r="J17" t="s">
        <v>284</v>
      </c>
      <c r="K17" t="s">
        <v>46</v>
      </c>
      <c r="L17" t="s">
        <v>283</v>
      </c>
      <c r="M17" t="s">
        <v>285</v>
      </c>
      <c r="N17">
        <v>1.0196000000000001</v>
      </c>
      <c r="O17" t="s">
        <v>286</v>
      </c>
      <c r="P17" t="s">
        <v>287</v>
      </c>
      <c r="Q17" t="s">
        <v>288</v>
      </c>
      <c r="R17" t="s">
        <v>51</v>
      </c>
      <c r="S17" t="s">
        <v>52</v>
      </c>
      <c r="T17" t="s">
        <v>289</v>
      </c>
      <c r="U17" t="s">
        <v>290</v>
      </c>
      <c r="V17" t="s">
        <v>291</v>
      </c>
      <c r="W17" t="s">
        <v>290</v>
      </c>
      <c r="X17" t="s">
        <v>292</v>
      </c>
      <c r="Y17" t="s">
        <v>279</v>
      </c>
      <c r="Z17">
        <v>4.8</v>
      </c>
      <c r="AA17">
        <v>10687</v>
      </c>
      <c r="AB17" t="s">
        <v>293</v>
      </c>
      <c r="AC17">
        <v>4</v>
      </c>
      <c r="AD17">
        <v>2010</v>
      </c>
      <c r="AE17">
        <v>13</v>
      </c>
      <c r="AF17" t="s">
        <v>294</v>
      </c>
      <c r="AG17">
        <v>-26</v>
      </c>
      <c r="AH17">
        <v>17.9210253831872</v>
      </c>
      <c r="AI17">
        <v>0.66374168085878804</v>
      </c>
      <c r="AJ17" t="s">
        <v>61</v>
      </c>
      <c r="AK17" t="s">
        <v>295</v>
      </c>
      <c r="AL17">
        <v>7</v>
      </c>
      <c r="AM17">
        <v>0</v>
      </c>
      <c r="AN17">
        <v>15</v>
      </c>
      <c r="AO17">
        <v>0</v>
      </c>
      <c r="AP17" t="s">
        <v>63</v>
      </c>
      <c r="AQ17" t="s">
        <v>63</v>
      </c>
    </row>
    <row r="18" spans="1:43" x14ac:dyDescent="0.2">
      <c r="A18">
        <v>35056</v>
      </c>
      <c r="B18" t="s">
        <v>296</v>
      </c>
      <c r="C18">
        <v>6.1040000000000001</v>
      </c>
      <c r="D18">
        <v>2946</v>
      </c>
      <c r="E18" t="s">
        <v>44</v>
      </c>
      <c r="F18" s="1">
        <v>40276</v>
      </c>
      <c r="G18">
        <v>152300000</v>
      </c>
      <c r="H18">
        <v>88</v>
      </c>
      <c r="I18">
        <v>55000000</v>
      </c>
      <c r="J18" t="s">
        <v>297</v>
      </c>
      <c r="K18" t="s">
        <v>46</v>
      </c>
      <c r="L18" t="s">
        <v>296</v>
      </c>
      <c r="M18" t="s">
        <v>298</v>
      </c>
      <c r="N18">
        <v>4.1361999999999997</v>
      </c>
      <c r="O18" t="s">
        <v>299</v>
      </c>
      <c r="P18" t="s">
        <v>300</v>
      </c>
      <c r="Q18" t="s">
        <v>301</v>
      </c>
      <c r="R18" t="s">
        <v>51</v>
      </c>
      <c r="S18" t="s">
        <v>302</v>
      </c>
      <c r="T18" t="s">
        <v>303</v>
      </c>
      <c r="U18" t="s">
        <v>304</v>
      </c>
      <c r="V18" t="s">
        <v>305</v>
      </c>
      <c r="W18" t="s">
        <v>306</v>
      </c>
      <c r="X18" t="s">
        <v>307</v>
      </c>
      <c r="Y18" t="s">
        <v>203</v>
      </c>
      <c r="Z18">
        <v>6.3</v>
      </c>
      <c r="AA18">
        <v>177929</v>
      </c>
      <c r="AB18" t="s">
        <v>308</v>
      </c>
      <c r="AC18">
        <v>4</v>
      </c>
      <c r="AD18">
        <v>2010</v>
      </c>
      <c r="AE18">
        <v>14</v>
      </c>
      <c r="AF18" t="s">
        <v>309</v>
      </c>
      <c r="AG18">
        <v>-20</v>
      </c>
      <c r="AH18">
        <v>18.8413628244313</v>
      </c>
      <c r="AI18">
        <v>0.89720775354435101</v>
      </c>
      <c r="AJ18" t="s">
        <v>61</v>
      </c>
      <c r="AK18" t="s">
        <v>310</v>
      </c>
      <c r="AL18">
        <v>44</v>
      </c>
      <c r="AM18">
        <v>0</v>
      </c>
      <c r="AN18">
        <v>53</v>
      </c>
      <c r="AO18">
        <v>0</v>
      </c>
      <c r="AP18" t="s">
        <v>63</v>
      </c>
      <c r="AQ18" t="s">
        <v>63</v>
      </c>
    </row>
    <row r="19" spans="1:43" x14ac:dyDescent="0.2">
      <c r="A19">
        <v>34803</v>
      </c>
      <c r="B19" t="s">
        <v>311</v>
      </c>
      <c r="C19">
        <v>5.9</v>
      </c>
      <c r="D19">
        <v>1013</v>
      </c>
      <c r="E19" t="s">
        <v>44</v>
      </c>
      <c r="F19" s="1">
        <v>40283</v>
      </c>
      <c r="G19">
        <v>49050886</v>
      </c>
      <c r="H19">
        <v>92</v>
      </c>
      <c r="I19">
        <v>21000000</v>
      </c>
      <c r="J19" t="s">
        <v>312</v>
      </c>
      <c r="K19" t="s">
        <v>46</v>
      </c>
      <c r="L19" t="s">
        <v>311</v>
      </c>
      <c r="M19" t="s">
        <v>313</v>
      </c>
      <c r="N19">
        <v>4.6783000000000001</v>
      </c>
      <c r="O19" t="s">
        <v>314</v>
      </c>
      <c r="P19" t="s">
        <v>87</v>
      </c>
      <c r="Q19" t="s">
        <v>315</v>
      </c>
      <c r="R19" t="s">
        <v>51</v>
      </c>
      <c r="S19" t="s">
        <v>52</v>
      </c>
      <c r="T19" t="s">
        <v>316</v>
      </c>
      <c r="U19" t="s">
        <v>317</v>
      </c>
      <c r="V19" t="s">
        <v>318</v>
      </c>
      <c r="W19" t="s">
        <v>319</v>
      </c>
      <c r="X19" t="s">
        <v>320</v>
      </c>
      <c r="Y19" t="s">
        <v>203</v>
      </c>
      <c r="Z19">
        <v>5.7</v>
      </c>
      <c r="AA19">
        <v>56305</v>
      </c>
      <c r="AB19" t="s">
        <v>321</v>
      </c>
      <c r="AC19">
        <v>4</v>
      </c>
      <c r="AD19">
        <v>2010</v>
      </c>
      <c r="AE19">
        <v>15</v>
      </c>
      <c r="AF19" t="s">
        <v>322</v>
      </c>
      <c r="AG19">
        <v>-13</v>
      </c>
      <c r="AH19">
        <v>17.708368827400299</v>
      </c>
      <c r="AI19">
        <v>1.2648834876714501</v>
      </c>
      <c r="AJ19" t="s">
        <v>61</v>
      </c>
      <c r="AK19" t="s">
        <v>323</v>
      </c>
      <c r="AL19">
        <v>17</v>
      </c>
      <c r="AM19">
        <v>4</v>
      </c>
      <c r="AN19">
        <v>35</v>
      </c>
      <c r="AO19">
        <v>0.11</v>
      </c>
      <c r="AP19" t="s">
        <v>63</v>
      </c>
      <c r="AQ19" t="s">
        <v>63</v>
      </c>
    </row>
    <row r="20" spans="1:43" x14ac:dyDescent="0.2">
      <c r="A20">
        <v>36939</v>
      </c>
      <c r="B20" t="s">
        <v>324</v>
      </c>
      <c r="C20">
        <v>5</v>
      </c>
      <c r="D20">
        <v>102</v>
      </c>
      <c r="E20" t="s">
        <v>44</v>
      </c>
      <c r="F20" s="1">
        <v>40284</v>
      </c>
      <c r="G20">
        <v>48411</v>
      </c>
      <c r="H20">
        <v>94</v>
      </c>
      <c r="I20">
        <v>6000000</v>
      </c>
      <c r="J20" t="s">
        <v>325</v>
      </c>
      <c r="K20" t="s">
        <v>46</v>
      </c>
      <c r="L20" t="s">
        <v>324</v>
      </c>
      <c r="M20" t="s">
        <v>326</v>
      </c>
      <c r="N20">
        <v>9.7947000000000006</v>
      </c>
      <c r="O20" t="s">
        <v>327</v>
      </c>
      <c r="P20" t="s">
        <v>328</v>
      </c>
      <c r="Q20" t="s">
        <v>329</v>
      </c>
      <c r="R20" t="s">
        <v>134</v>
      </c>
      <c r="S20" t="s">
        <v>52</v>
      </c>
      <c r="T20" t="s">
        <v>330</v>
      </c>
      <c r="U20" t="s">
        <v>331</v>
      </c>
      <c r="V20" t="s">
        <v>332</v>
      </c>
      <c r="W20" t="s">
        <v>333</v>
      </c>
      <c r="X20" t="s">
        <v>334</v>
      </c>
      <c r="Y20" t="s">
        <v>335</v>
      </c>
      <c r="Z20">
        <v>5.0999999999999996</v>
      </c>
      <c r="AA20">
        <v>4319</v>
      </c>
      <c r="AB20" t="s">
        <v>336</v>
      </c>
      <c r="AC20">
        <v>4</v>
      </c>
      <c r="AD20">
        <v>2010</v>
      </c>
      <c r="AE20">
        <v>15</v>
      </c>
      <c r="AF20" t="s">
        <v>337</v>
      </c>
      <c r="AG20">
        <v>-12</v>
      </c>
      <c r="AH20">
        <v>10.7875029958584</v>
      </c>
      <c r="AI20">
        <v>0.82980792275834503</v>
      </c>
      <c r="AJ20" t="s">
        <v>61</v>
      </c>
      <c r="AK20" t="s">
        <v>338</v>
      </c>
      <c r="AL20">
        <v>1</v>
      </c>
      <c r="AM20">
        <v>0</v>
      </c>
      <c r="AN20">
        <v>12</v>
      </c>
      <c r="AO20">
        <v>0</v>
      </c>
      <c r="AP20" t="s">
        <v>63</v>
      </c>
      <c r="AQ20" t="s">
        <v>63</v>
      </c>
    </row>
    <row r="21" spans="1:43" x14ac:dyDescent="0.2">
      <c r="A21">
        <v>41479</v>
      </c>
      <c r="B21" t="s">
        <v>339</v>
      </c>
      <c r="C21">
        <v>6.2</v>
      </c>
      <c r="D21">
        <v>608</v>
      </c>
      <c r="E21" t="s">
        <v>44</v>
      </c>
      <c r="F21" s="1">
        <v>40284</v>
      </c>
      <c r="G21">
        <v>7022728</v>
      </c>
      <c r="H21">
        <v>96</v>
      </c>
      <c r="I21">
        <v>10000000</v>
      </c>
      <c r="J21" t="s">
        <v>340</v>
      </c>
      <c r="K21" t="s">
        <v>46</v>
      </c>
      <c r="L21" t="s">
        <v>339</v>
      </c>
      <c r="M21" t="s">
        <v>341</v>
      </c>
      <c r="N21">
        <v>1.8540000000000001</v>
      </c>
      <c r="O21" t="s">
        <v>342</v>
      </c>
      <c r="P21" t="s">
        <v>328</v>
      </c>
      <c r="Q21" t="s">
        <v>343</v>
      </c>
      <c r="R21" t="s">
        <v>51</v>
      </c>
      <c r="S21" t="s">
        <v>52</v>
      </c>
      <c r="T21" t="s">
        <v>344</v>
      </c>
      <c r="U21" t="s">
        <v>345</v>
      </c>
      <c r="V21" t="s">
        <v>346</v>
      </c>
      <c r="W21" t="s">
        <v>347</v>
      </c>
      <c r="X21" t="s">
        <v>348</v>
      </c>
      <c r="Y21" t="s">
        <v>349</v>
      </c>
      <c r="Z21">
        <v>6.4</v>
      </c>
      <c r="AA21">
        <v>42624</v>
      </c>
      <c r="AB21" t="s">
        <v>350</v>
      </c>
      <c r="AC21">
        <v>4</v>
      </c>
      <c r="AD21">
        <v>2010</v>
      </c>
      <c r="AE21">
        <v>15</v>
      </c>
      <c r="AF21" t="s">
        <v>351</v>
      </c>
      <c r="AG21">
        <v>-12</v>
      </c>
      <c r="AH21">
        <v>15.7646624468984</v>
      </c>
      <c r="AI21">
        <v>1.2126663420691</v>
      </c>
      <c r="AJ21" t="s">
        <v>61</v>
      </c>
      <c r="AK21" t="s">
        <v>352</v>
      </c>
      <c r="AL21">
        <v>23</v>
      </c>
      <c r="AM21">
        <v>0</v>
      </c>
      <c r="AN21">
        <v>37</v>
      </c>
      <c r="AO21">
        <v>0</v>
      </c>
      <c r="AP21" t="s">
        <v>63</v>
      </c>
      <c r="AQ21" t="s">
        <v>63</v>
      </c>
    </row>
    <row r="22" spans="1:43" x14ac:dyDescent="0.2">
      <c r="A22">
        <v>37832</v>
      </c>
      <c r="B22" t="s">
        <v>353</v>
      </c>
      <c r="C22">
        <v>5.8</v>
      </c>
      <c r="D22">
        <v>158</v>
      </c>
      <c r="E22" t="s">
        <v>44</v>
      </c>
      <c r="F22" s="1">
        <v>40289</v>
      </c>
      <c r="G22">
        <v>7100000</v>
      </c>
      <c r="H22">
        <v>92</v>
      </c>
      <c r="I22">
        <v>3000000</v>
      </c>
      <c r="J22" t="s">
        <v>354</v>
      </c>
      <c r="K22" t="s">
        <v>66</v>
      </c>
      <c r="L22" t="s">
        <v>353</v>
      </c>
      <c r="M22" t="s">
        <v>355</v>
      </c>
      <c r="N22">
        <v>3.2867999999999999</v>
      </c>
      <c r="O22" t="s">
        <v>356</v>
      </c>
      <c r="P22" t="s">
        <v>87</v>
      </c>
      <c r="Q22" t="s">
        <v>357</v>
      </c>
      <c r="R22" t="s">
        <v>358</v>
      </c>
      <c r="S22" t="s">
        <v>359</v>
      </c>
      <c r="T22" t="s">
        <v>360</v>
      </c>
      <c r="U22" t="s">
        <v>361</v>
      </c>
      <c r="V22" t="s">
        <v>362</v>
      </c>
      <c r="W22" t="s">
        <v>361</v>
      </c>
      <c r="X22" t="s">
        <v>363</v>
      </c>
      <c r="Y22" t="s">
        <v>364</v>
      </c>
      <c r="Z22">
        <v>6.1</v>
      </c>
      <c r="AA22">
        <v>3910</v>
      </c>
      <c r="AB22" t="s">
        <v>365</v>
      </c>
      <c r="AC22">
        <v>4</v>
      </c>
      <c r="AD22">
        <v>2010</v>
      </c>
      <c r="AE22">
        <v>16</v>
      </c>
      <c r="AF22" t="s">
        <v>366</v>
      </c>
      <c r="AG22">
        <v>-7</v>
      </c>
      <c r="AH22">
        <v>15.7756054828566</v>
      </c>
      <c r="AI22">
        <v>1.9719506853570701</v>
      </c>
      <c r="AJ22" t="s">
        <v>61</v>
      </c>
      <c r="AK22" t="s">
        <v>367</v>
      </c>
      <c r="AL22">
        <v>15</v>
      </c>
      <c r="AM22">
        <v>0</v>
      </c>
      <c r="AN22">
        <v>29</v>
      </c>
      <c r="AO22">
        <v>0</v>
      </c>
      <c r="AP22" t="s">
        <v>63</v>
      </c>
      <c r="AQ22" t="s">
        <v>63</v>
      </c>
    </row>
    <row r="23" spans="1:43" x14ac:dyDescent="0.2">
      <c r="A23">
        <v>34806</v>
      </c>
      <c r="B23" t="s">
        <v>368</v>
      </c>
      <c r="C23">
        <v>6.1</v>
      </c>
      <c r="D23">
        <v>1449</v>
      </c>
      <c r="E23" t="s">
        <v>44</v>
      </c>
      <c r="F23" s="1">
        <v>40291</v>
      </c>
      <c r="G23">
        <v>77477008</v>
      </c>
      <c r="H23">
        <v>106</v>
      </c>
      <c r="I23">
        <v>35000000</v>
      </c>
      <c r="J23" t="s">
        <v>369</v>
      </c>
      <c r="K23" t="s">
        <v>46</v>
      </c>
      <c r="L23" t="s">
        <v>368</v>
      </c>
      <c r="M23" t="s">
        <v>370</v>
      </c>
      <c r="N23">
        <v>5.2529000000000003</v>
      </c>
      <c r="O23" t="s">
        <v>371</v>
      </c>
      <c r="P23" t="s">
        <v>287</v>
      </c>
      <c r="Q23" t="s">
        <v>372</v>
      </c>
      <c r="R23" t="s">
        <v>51</v>
      </c>
      <c r="S23" t="s">
        <v>52</v>
      </c>
      <c r="T23" t="s">
        <v>373</v>
      </c>
      <c r="U23" t="s">
        <v>374</v>
      </c>
      <c r="V23" t="s">
        <v>375</v>
      </c>
      <c r="W23" t="s">
        <v>376</v>
      </c>
      <c r="X23" t="s">
        <v>377</v>
      </c>
      <c r="Y23" t="s">
        <v>378</v>
      </c>
      <c r="Z23">
        <v>5.3</v>
      </c>
      <c r="AA23">
        <v>54391</v>
      </c>
      <c r="AB23" t="s">
        <v>379</v>
      </c>
      <c r="AC23">
        <v>4</v>
      </c>
      <c r="AD23">
        <v>2010</v>
      </c>
      <c r="AE23">
        <v>16</v>
      </c>
      <c r="AF23" t="s">
        <v>380</v>
      </c>
      <c r="AG23">
        <v>-5</v>
      </c>
      <c r="AH23">
        <v>18.165491792247298</v>
      </c>
      <c r="AI23">
        <v>3.0275819653745502</v>
      </c>
      <c r="AJ23" t="s">
        <v>61</v>
      </c>
      <c r="AK23" t="s">
        <v>381</v>
      </c>
      <c r="AL23">
        <v>42</v>
      </c>
      <c r="AM23">
        <v>0</v>
      </c>
      <c r="AN23">
        <v>46</v>
      </c>
      <c r="AO23">
        <v>0</v>
      </c>
      <c r="AP23" t="s">
        <v>63</v>
      </c>
      <c r="AQ23" t="s">
        <v>63</v>
      </c>
    </row>
    <row r="24" spans="1:43" x14ac:dyDescent="0.2">
      <c r="A24">
        <v>34813</v>
      </c>
      <c r="B24" t="s">
        <v>382</v>
      </c>
      <c r="C24">
        <v>6.3</v>
      </c>
      <c r="D24">
        <v>1885</v>
      </c>
      <c r="E24" t="s">
        <v>44</v>
      </c>
      <c r="F24" s="1">
        <v>40291</v>
      </c>
      <c r="G24">
        <v>23580000</v>
      </c>
      <c r="H24">
        <v>97</v>
      </c>
      <c r="I24">
        <v>25000000</v>
      </c>
      <c r="J24" t="s">
        <v>383</v>
      </c>
      <c r="K24" t="s">
        <v>46</v>
      </c>
      <c r="L24" t="s">
        <v>382</v>
      </c>
      <c r="M24" t="s">
        <v>384</v>
      </c>
      <c r="N24">
        <v>6.7008999999999999</v>
      </c>
      <c r="O24" t="s">
        <v>385</v>
      </c>
      <c r="P24" t="s">
        <v>386</v>
      </c>
      <c r="Q24" t="s">
        <v>387</v>
      </c>
      <c r="R24" t="s">
        <v>388</v>
      </c>
      <c r="S24" t="s">
        <v>52</v>
      </c>
      <c r="T24" t="s">
        <v>389</v>
      </c>
      <c r="U24" t="s">
        <v>390</v>
      </c>
      <c r="V24" t="s">
        <v>391</v>
      </c>
      <c r="W24" t="s">
        <v>392</v>
      </c>
      <c r="X24" t="s">
        <v>393</v>
      </c>
      <c r="Y24" t="s">
        <v>394</v>
      </c>
      <c r="Z24">
        <v>6.2</v>
      </c>
      <c r="AA24">
        <v>110523</v>
      </c>
      <c r="AB24" t="s">
        <v>395</v>
      </c>
      <c r="AC24">
        <v>4</v>
      </c>
      <c r="AD24">
        <v>2010</v>
      </c>
      <c r="AE24">
        <v>16</v>
      </c>
      <c r="AF24" t="s">
        <v>396</v>
      </c>
      <c r="AG24">
        <v>-5</v>
      </c>
      <c r="AH24">
        <v>16.975909495482298</v>
      </c>
      <c r="AI24">
        <v>2.8293182492470499</v>
      </c>
      <c r="AJ24" t="s">
        <v>61</v>
      </c>
      <c r="AK24" t="s">
        <v>397</v>
      </c>
      <c r="AL24">
        <v>30</v>
      </c>
      <c r="AM24">
        <v>2</v>
      </c>
      <c r="AN24">
        <v>47</v>
      </c>
      <c r="AO24">
        <v>0.04</v>
      </c>
      <c r="AP24" t="s">
        <v>63</v>
      </c>
      <c r="AQ24" t="s">
        <v>63</v>
      </c>
    </row>
    <row r="25" spans="1:43" x14ac:dyDescent="0.2">
      <c r="A25">
        <v>37472</v>
      </c>
      <c r="B25" t="s">
        <v>398</v>
      </c>
      <c r="C25">
        <v>7.4610000000000003</v>
      </c>
      <c r="D25">
        <v>2393</v>
      </c>
      <c r="E25" t="s">
        <v>44</v>
      </c>
      <c r="F25" s="1">
        <v>40297</v>
      </c>
      <c r="G25">
        <v>36000000</v>
      </c>
      <c r="H25">
        <v>108</v>
      </c>
      <c r="I25">
        <v>12900000</v>
      </c>
      <c r="J25" t="s">
        <v>399</v>
      </c>
      <c r="K25" t="s">
        <v>400</v>
      </c>
      <c r="L25" t="s">
        <v>401</v>
      </c>
      <c r="M25" t="s">
        <v>402</v>
      </c>
      <c r="N25">
        <v>0.95669999999999999</v>
      </c>
      <c r="O25" t="s">
        <v>403</v>
      </c>
      <c r="P25" t="s">
        <v>404</v>
      </c>
      <c r="Q25" t="s">
        <v>405</v>
      </c>
      <c r="R25" t="s">
        <v>406</v>
      </c>
      <c r="S25" t="s">
        <v>407</v>
      </c>
      <c r="T25" t="s">
        <v>408</v>
      </c>
      <c r="U25" t="s">
        <v>409</v>
      </c>
      <c r="V25" t="s">
        <v>410</v>
      </c>
      <c r="W25" t="s">
        <v>411</v>
      </c>
      <c r="X25" t="s">
        <v>412</v>
      </c>
      <c r="Y25" t="s">
        <v>413</v>
      </c>
      <c r="Z25">
        <v>7.5</v>
      </c>
      <c r="AA25">
        <v>115298</v>
      </c>
      <c r="AB25" t="s">
        <v>414</v>
      </c>
      <c r="AC25">
        <v>4</v>
      </c>
      <c r="AD25">
        <v>2010</v>
      </c>
      <c r="AE25">
        <v>17</v>
      </c>
      <c r="AF25" t="s">
        <v>415</v>
      </c>
      <c r="AG25">
        <v>1</v>
      </c>
      <c r="AH25">
        <v>17.399029524198099</v>
      </c>
      <c r="AI25">
        <v>8.6995147620990796</v>
      </c>
      <c r="AJ25" t="s">
        <v>61</v>
      </c>
      <c r="AK25" t="s">
        <v>416</v>
      </c>
      <c r="AL25">
        <v>12</v>
      </c>
      <c r="AM25">
        <v>2</v>
      </c>
      <c r="AN25">
        <v>25</v>
      </c>
      <c r="AO25">
        <v>0.08</v>
      </c>
      <c r="AP25" t="s">
        <v>63</v>
      </c>
      <c r="AQ25" t="s">
        <v>63</v>
      </c>
    </row>
    <row r="26" spans="1:43" x14ac:dyDescent="0.2">
      <c r="A26">
        <v>23437</v>
      </c>
      <c r="B26" t="s">
        <v>417</v>
      </c>
      <c r="C26">
        <v>5.5</v>
      </c>
      <c r="D26">
        <v>2827</v>
      </c>
      <c r="E26" t="s">
        <v>44</v>
      </c>
      <c r="F26" s="1">
        <v>40298</v>
      </c>
      <c r="G26">
        <v>115664037</v>
      </c>
      <c r="H26">
        <v>95</v>
      </c>
      <c r="I26">
        <v>35000000</v>
      </c>
      <c r="J26" t="s">
        <v>418</v>
      </c>
      <c r="K26" t="s">
        <v>46</v>
      </c>
      <c r="L26" t="s">
        <v>417</v>
      </c>
      <c r="M26" t="s">
        <v>419</v>
      </c>
      <c r="N26">
        <v>5.1364999999999998</v>
      </c>
      <c r="O26" t="s">
        <v>420</v>
      </c>
      <c r="P26" t="s">
        <v>257</v>
      </c>
      <c r="Q26" t="s">
        <v>421</v>
      </c>
      <c r="R26" t="s">
        <v>51</v>
      </c>
      <c r="S26" t="s">
        <v>52</v>
      </c>
      <c r="T26" t="s">
        <v>422</v>
      </c>
      <c r="U26" t="s">
        <v>423</v>
      </c>
      <c r="V26" t="s">
        <v>424</v>
      </c>
      <c r="W26" t="s">
        <v>425</v>
      </c>
      <c r="X26" t="s">
        <v>426</v>
      </c>
      <c r="Y26" t="s">
        <v>427</v>
      </c>
      <c r="Z26">
        <v>5.2</v>
      </c>
      <c r="AA26">
        <v>113680</v>
      </c>
      <c r="AB26" t="s">
        <v>428</v>
      </c>
      <c r="AC26">
        <v>4</v>
      </c>
      <c r="AD26">
        <v>2010</v>
      </c>
      <c r="AE26">
        <v>17</v>
      </c>
      <c r="AF26" t="s">
        <v>429</v>
      </c>
      <c r="AG26">
        <v>2</v>
      </c>
      <c r="AH26">
        <v>18.566200322759901</v>
      </c>
      <c r="AI26">
        <v>6.1887334409199903</v>
      </c>
      <c r="AJ26" t="s">
        <v>61</v>
      </c>
      <c r="AK26" t="s">
        <v>430</v>
      </c>
      <c r="AL26">
        <v>54</v>
      </c>
      <c r="AM26">
        <v>1</v>
      </c>
      <c r="AN26">
        <v>67</v>
      </c>
      <c r="AO26">
        <v>0.01</v>
      </c>
      <c r="AP26" t="s">
        <v>63</v>
      </c>
      <c r="AQ26" t="s">
        <v>63</v>
      </c>
    </row>
    <row r="27" spans="1:43" x14ac:dyDescent="0.2">
      <c r="A27">
        <v>35169</v>
      </c>
      <c r="B27" t="s">
        <v>431</v>
      </c>
      <c r="C27">
        <v>5</v>
      </c>
      <c r="D27">
        <v>627</v>
      </c>
      <c r="E27" t="s">
        <v>44</v>
      </c>
      <c r="F27" s="1">
        <v>40298</v>
      </c>
      <c r="G27">
        <v>36236710</v>
      </c>
      <c r="H27">
        <v>92</v>
      </c>
      <c r="I27">
        <v>35000000</v>
      </c>
      <c r="J27" t="s">
        <v>432</v>
      </c>
      <c r="K27" t="s">
        <v>46</v>
      </c>
      <c r="L27" t="s">
        <v>431</v>
      </c>
      <c r="M27" t="s">
        <v>433</v>
      </c>
      <c r="N27">
        <v>4.5160999999999998</v>
      </c>
      <c r="O27" t="s">
        <v>434</v>
      </c>
      <c r="P27" t="s">
        <v>435</v>
      </c>
      <c r="Q27" t="s">
        <v>436</v>
      </c>
      <c r="R27" t="s">
        <v>51</v>
      </c>
      <c r="S27" t="s">
        <v>52</v>
      </c>
      <c r="T27" t="s">
        <v>437</v>
      </c>
      <c r="U27" t="s">
        <v>438</v>
      </c>
      <c r="V27" t="s">
        <v>439</v>
      </c>
      <c r="W27" t="s">
        <v>440</v>
      </c>
      <c r="X27" t="s">
        <v>441</v>
      </c>
      <c r="Y27" t="s">
        <v>442</v>
      </c>
      <c r="Z27">
        <v>3.9</v>
      </c>
      <c r="AA27">
        <v>18976</v>
      </c>
      <c r="AB27" t="s">
        <v>443</v>
      </c>
      <c r="AC27">
        <v>4</v>
      </c>
      <c r="AD27">
        <v>2010</v>
      </c>
      <c r="AE27">
        <v>17</v>
      </c>
      <c r="AF27" t="s">
        <v>444</v>
      </c>
      <c r="AG27">
        <v>2</v>
      </c>
      <c r="AH27">
        <v>17.405583278949798</v>
      </c>
      <c r="AI27">
        <v>5.8018610929832697</v>
      </c>
      <c r="AJ27" t="s">
        <v>61</v>
      </c>
      <c r="AK27" t="s">
        <v>445</v>
      </c>
      <c r="AL27">
        <v>37</v>
      </c>
      <c r="AM27">
        <v>0</v>
      </c>
      <c r="AN27">
        <v>40</v>
      </c>
      <c r="AO27">
        <v>0</v>
      </c>
      <c r="AP27" t="s">
        <v>63</v>
      </c>
      <c r="AQ27" t="s">
        <v>63</v>
      </c>
    </row>
    <row r="28" spans="1:43" x14ac:dyDescent="0.2">
      <c r="A28">
        <v>29426</v>
      </c>
      <c r="B28" t="s">
        <v>446</v>
      </c>
      <c r="C28">
        <v>4.9000000000000004</v>
      </c>
      <c r="D28">
        <v>478</v>
      </c>
      <c r="E28" t="s">
        <v>44</v>
      </c>
      <c r="F28" s="1">
        <v>40304</v>
      </c>
      <c r="G28">
        <v>386078</v>
      </c>
      <c r="H28">
        <v>90</v>
      </c>
      <c r="I28">
        <v>4000000</v>
      </c>
      <c r="J28" t="s">
        <v>447</v>
      </c>
      <c r="K28" t="s">
        <v>46</v>
      </c>
      <c r="L28" t="s">
        <v>446</v>
      </c>
      <c r="M28" t="s">
        <v>448</v>
      </c>
      <c r="N28">
        <v>5.5541</v>
      </c>
      <c r="O28" t="s">
        <v>449</v>
      </c>
      <c r="P28" t="s">
        <v>450</v>
      </c>
      <c r="Q28" t="s">
        <v>451</v>
      </c>
      <c r="R28" t="s">
        <v>118</v>
      </c>
      <c r="S28" t="s">
        <v>52</v>
      </c>
      <c r="T28" t="s">
        <v>452</v>
      </c>
      <c r="U28" t="s">
        <v>453</v>
      </c>
      <c r="V28" t="s">
        <v>454</v>
      </c>
      <c r="W28" t="s">
        <v>453</v>
      </c>
      <c r="X28" t="s">
        <v>455</v>
      </c>
      <c r="Y28" t="s">
        <v>456</v>
      </c>
      <c r="Z28">
        <v>4.8</v>
      </c>
      <c r="AA28">
        <v>23293</v>
      </c>
      <c r="AB28" t="s">
        <v>457</v>
      </c>
      <c r="AC28">
        <v>5</v>
      </c>
      <c r="AD28">
        <v>2010</v>
      </c>
      <c r="AE28">
        <v>18</v>
      </c>
      <c r="AF28" t="s">
        <v>458</v>
      </c>
      <c r="AG28">
        <v>8</v>
      </c>
      <c r="AH28">
        <v>12.863797290718701</v>
      </c>
      <c r="AI28">
        <v>1.4293108100798599</v>
      </c>
      <c r="AJ28" t="s">
        <v>61</v>
      </c>
      <c r="AK28" t="s">
        <v>459</v>
      </c>
      <c r="AL28">
        <v>7</v>
      </c>
      <c r="AM28">
        <v>0</v>
      </c>
      <c r="AN28">
        <v>29</v>
      </c>
      <c r="AO28">
        <v>0</v>
      </c>
      <c r="AP28" t="s">
        <v>63</v>
      </c>
      <c r="AQ28" t="s">
        <v>63</v>
      </c>
    </row>
    <row r="29" spans="1:43" x14ac:dyDescent="0.2">
      <c r="A29">
        <v>37495</v>
      </c>
      <c r="B29" t="s">
        <v>460</v>
      </c>
      <c r="C29">
        <v>6.9489999999999998</v>
      </c>
      <c r="D29">
        <v>1202</v>
      </c>
      <c r="E29" t="s">
        <v>44</v>
      </c>
      <c r="F29" s="1">
        <v>40305</v>
      </c>
      <c r="G29">
        <v>6200000</v>
      </c>
      <c r="H29">
        <v>97</v>
      </c>
      <c r="I29">
        <v>3900000</v>
      </c>
      <c r="J29" t="s">
        <v>461</v>
      </c>
      <c r="K29" t="s">
        <v>46</v>
      </c>
      <c r="L29" t="s">
        <v>460</v>
      </c>
      <c r="M29" t="s">
        <v>462</v>
      </c>
      <c r="N29">
        <v>2.331</v>
      </c>
      <c r="O29" t="s">
        <v>463</v>
      </c>
      <c r="P29" t="s">
        <v>464</v>
      </c>
      <c r="Q29" t="s">
        <v>465</v>
      </c>
      <c r="R29" t="s">
        <v>466</v>
      </c>
      <c r="S29" t="s">
        <v>467</v>
      </c>
      <c r="T29" t="s">
        <v>468</v>
      </c>
      <c r="U29" t="s">
        <v>469</v>
      </c>
      <c r="V29" t="s">
        <v>470</v>
      </c>
      <c r="W29" t="s">
        <v>471</v>
      </c>
      <c r="X29" t="s">
        <v>472</v>
      </c>
      <c r="Y29" t="s">
        <v>473</v>
      </c>
      <c r="Z29">
        <v>7.3</v>
      </c>
      <c r="AA29">
        <v>89689</v>
      </c>
      <c r="AB29" t="s">
        <v>474</v>
      </c>
      <c r="AC29">
        <v>5</v>
      </c>
      <c r="AD29">
        <v>2010</v>
      </c>
      <c r="AE29">
        <v>18</v>
      </c>
      <c r="AF29" t="s">
        <v>475</v>
      </c>
      <c r="AG29">
        <v>9</v>
      </c>
      <c r="AH29">
        <v>15.6400600113056</v>
      </c>
      <c r="AI29">
        <v>1.5640060011305601</v>
      </c>
      <c r="AJ29" t="s">
        <v>61</v>
      </c>
      <c r="AK29" t="s">
        <v>476</v>
      </c>
      <c r="AL29">
        <v>26</v>
      </c>
      <c r="AM29">
        <v>0</v>
      </c>
      <c r="AN29">
        <v>52</v>
      </c>
      <c r="AO29">
        <v>0</v>
      </c>
      <c r="AP29" t="s">
        <v>63</v>
      </c>
      <c r="AQ29" t="s">
        <v>63</v>
      </c>
    </row>
    <row r="30" spans="1:43" x14ac:dyDescent="0.2">
      <c r="A30">
        <v>37822</v>
      </c>
      <c r="B30" t="s">
        <v>477</v>
      </c>
      <c r="C30">
        <v>5.875</v>
      </c>
      <c r="D30">
        <v>52</v>
      </c>
      <c r="E30" t="s">
        <v>44</v>
      </c>
      <c r="F30" s="1">
        <v>40305</v>
      </c>
      <c r="G30">
        <v>5100000</v>
      </c>
      <c r="H30">
        <v>144</v>
      </c>
      <c r="I30">
        <v>1900000</v>
      </c>
      <c r="J30" t="s">
        <v>478</v>
      </c>
      <c r="K30" t="s">
        <v>479</v>
      </c>
      <c r="L30" t="s">
        <v>480</v>
      </c>
      <c r="M30" t="s">
        <v>481</v>
      </c>
      <c r="N30">
        <v>2.3639999999999999</v>
      </c>
      <c r="O30" t="s">
        <v>482</v>
      </c>
      <c r="P30" t="s">
        <v>483</v>
      </c>
      <c r="Q30" t="s">
        <v>484</v>
      </c>
      <c r="R30" t="s">
        <v>485</v>
      </c>
      <c r="S30" t="s">
        <v>486</v>
      </c>
      <c r="T30" t="s">
        <v>487</v>
      </c>
      <c r="U30" t="s">
        <v>488</v>
      </c>
      <c r="V30" t="s">
        <v>489</v>
      </c>
      <c r="W30" t="s">
        <v>490</v>
      </c>
      <c r="X30" t="s">
        <v>491</v>
      </c>
      <c r="Y30" t="s">
        <v>492</v>
      </c>
      <c r="Z30">
        <v>6.1</v>
      </c>
      <c r="AA30">
        <v>8400</v>
      </c>
      <c r="AB30" t="s">
        <v>493</v>
      </c>
      <c r="AC30">
        <v>5</v>
      </c>
      <c r="AD30">
        <v>2010</v>
      </c>
      <c r="AE30">
        <v>18</v>
      </c>
      <c r="AF30" t="s">
        <v>494</v>
      </c>
      <c r="AG30">
        <v>9</v>
      </c>
      <c r="AH30">
        <v>15.444751293772899</v>
      </c>
      <c r="AI30">
        <v>1.54447512937729</v>
      </c>
      <c r="AJ30" t="s">
        <v>61</v>
      </c>
      <c r="AK30" t="s">
        <v>495</v>
      </c>
      <c r="AL30">
        <v>5</v>
      </c>
      <c r="AM30">
        <v>0</v>
      </c>
      <c r="AN30">
        <v>5</v>
      </c>
      <c r="AO30">
        <v>0</v>
      </c>
      <c r="AP30" t="s">
        <v>63</v>
      </c>
      <c r="AQ30" t="s">
        <v>63</v>
      </c>
    </row>
    <row r="31" spans="1:43" x14ac:dyDescent="0.2">
      <c r="A31">
        <v>41210</v>
      </c>
      <c r="B31" t="s">
        <v>496</v>
      </c>
      <c r="C31">
        <v>6.2290000000000001</v>
      </c>
      <c r="D31">
        <v>1955</v>
      </c>
      <c r="E31" t="s">
        <v>44</v>
      </c>
      <c r="F31" s="1">
        <v>40309</v>
      </c>
      <c r="G31">
        <v>49830607</v>
      </c>
      <c r="H31">
        <v>101</v>
      </c>
      <c r="I31">
        <v>19000000</v>
      </c>
      <c r="J31" t="s">
        <v>497</v>
      </c>
      <c r="K31" t="s">
        <v>46</v>
      </c>
      <c r="L31" t="s">
        <v>496</v>
      </c>
      <c r="M31" t="s">
        <v>498</v>
      </c>
      <c r="N31">
        <v>4.2819000000000003</v>
      </c>
      <c r="O31" t="s">
        <v>499</v>
      </c>
      <c r="P31" t="s">
        <v>500</v>
      </c>
      <c r="Q31" t="s">
        <v>501</v>
      </c>
      <c r="R31" t="s">
        <v>51</v>
      </c>
      <c r="S31" t="s">
        <v>52</v>
      </c>
      <c r="T31" t="s">
        <v>502</v>
      </c>
      <c r="U31" t="s">
        <v>503</v>
      </c>
      <c r="V31" t="s">
        <v>504</v>
      </c>
      <c r="W31" t="s">
        <v>505</v>
      </c>
      <c r="X31" t="s">
        <v>506</v>
      </c>
      <c r="Y31" t="s">
        <v>507</v>
      </c>
      <c r="Z31">
        <v>6.1</v>
      </c>
      <c r="AA31">
        <v>116262</v>
      </c>
      <c r="AB31" t="s">
        <v>508</v>
      </c>
      <c r="AC31">
        <v>5</v>
      </c>
      <c r="AD31">
        <v>2010</v>
      </c>
      <c r="AE31">
        <v>19</v>
      </c>
      <c r="AF31" t="s">
        <v>509</v>
      </c>
      <c r="AG31">
        <v>13</v>
      </c>
      <c r="AH31">
        <v>17.724139971668102</v>
      </c>
      <c r="AI31">
        <v>1.26600999797629</v>
      </c>
      <c r="AJ31" t="s">
        <v>61</v>
      </c>
      <c r="AK31" t="s">
        <v>510</v>
      </c>
      <c r="AL31">
        <v>42</v>
      </c>
      <c r="AM31">
        <v>0</v>
      </c>
      <c r="AN31">
        <v>50</v>
      </c>
      <c r="AO31">
        <v>0</v>
      </c>
      <c r="AP31" t="s">
        <v>63</v>
      </c>
      <c r="AQ31" t="s">
        <v>63</v>
      </c>
    </row>
    <row r="32" spans="1:43" x14ac:dyDescent="0.2">
      <c r="A32">
        <v>20662</v>
      </c>
      <c r="B32" t="s">
        <v>511</v>
      </c>
      <c r="C32">
        <v>6.3929999999999998</v>
      </c>
      <c r="D32">
        <v>4816</v>
      </c>
      <c r="E32" t="s">
        <v>44</v>
      </c>
      <c r="F32" s="1">
        <v>40310</v>
      </c>
      <c r="G32">
        <v>321669741</v>
      </c>
      <c r="H32">
        <v>140</v>
      </c>
      <c r="I32">
        <v>200000000</v>
      </c>
      <c r="J32" t="s">
        <v>512</v>
      </c>
      <c r="K32" t="s">
        <v>46</v>
      </c>
      <c r="L32" t="s">
        <v>511</v>
      </c>
      <c r="M32" t="s">
        <v>513</v>
      </c>
      <c r="N32">
        <v>5.6504000000000003</v>
      </c>
      <c r="O32" t="s">
        <v>514</v>
      </c>
      <c r="P32" t="s">
        <v>515</v>
      </c>
      <c r="Q32" t="s">
        <v>516</v>
      </c>
      <c r="R32" t="s">
        <v>51</v>
      </c>
      <c r="S32" t="s">
        <v>517</v>
      </c>
      <c r="T32" t="s">
        <v>518</v>
      </c>
      <c r="U32" t="s">
        <v>519</v>
      </c>
      <c r="V32" t="s">
        <v>332</v>
      </c>
      <c r="W32" t="s">
        <v>520</v>
      </c>
      <c r="X32" t="s">
        <v>521</v>
      </c>
      <c r="Y32" t="s">
        <v>522</v>
      </c>
      <c r="Z32">
        <v>6.6</v>
      </c>
      <c r="AA32">
        <v>293301</v>
      </c>
      <c r="AB32" t="s">
        <v>523</v>
      </c>
      <c r="AC32">
        <v>5</v>
      </c>
      <c r="AD32">
        <v>2010</v>
      </c>
      <c r="AE32">
        <v>19</v>
      </c>
      <c r="AF32" t="s">
        <v>524</v>
      </c>
      <c r="AG32">
        <v>14</v>
      </c>
      <c r="AH32">
        <v>19.5890359312112</v>
      </c>
      <c r="AI32">
        <v>1.30593572874741</v>
      </c>
      <c r="AJ32" t="s">
        <v>61</v>
      </c>
      <c r="AK32" t="s">
        <v>525</v>
      </c>
      <c r="AL32">
        <v>81</v>
      </c>
      <c r="AM32">
        <v>1</v>
      </c>
      <c r="AN32">
        <v>88</v>
      </c>
      <c r="AO32">
        <v>0.01</v>
      </c>
      <c r="AP32" t="s">
        <v>63</v>
      </c>
      <c r="AQ32" t="s">
        <v>63</v>
      </c>
    </row>
    <row r="33" spans="1:43" x14ac:dyDescent="0.2">
      <c r="A33">
        <v>39806</v>
      </c>
      <c r="B33" t="s">
        <v>526</v>
      </c>
      <c r="C33">
        <v>5.7</v>
      </c>
      <c r="D33">
        <v>40</v>
      </c>
      <c r="E33" t="s">
        <v>44</v>
      </c>
      <c r="F33" s="1">
        <v>40312</v>
      </c>
      <c r="G33">
        <v>771499</v>
      </c>
      <c r="H33">
        <v>130</v>
      </c>
      <c r="I33">
        <v>9000000</v>
      </c>
      <c r="J33" t="s">
        <v>527</v>
      </c>
      <c r="K33" t="s">
        <v>46</v>
      </c>
      <c r="L33" t="s">
        <v>528</v>
      </c>
      <c r="M33" t="s">
        <v>529</v>
      </c>
      <c r="N33">
        <v>0.3659</v>
      </c>
      <c r="O33" t="s">
        <v>530</v>
      </c>
      <c r="P33" t="s">
        <v>531</v>
      </c>
      <c r="Q33" t="s">
        <v>532</v>
      </c>
      <c r="R33" t="s">
        <v>51</v>
      </c>
      <c r="S33" t="s">
        <v>52</v>
      </c>
      <c r="T33" t="s">
        <v>533</v>
      </c>
      <c r="U33" t="s">
        <v>534</v>
      </c>
      <c r="V33" t="s">
        <v>535</v>
      </c>
      <c r="W33" t="s">
        <v>534</v>
      </c>
      <c r="X33" t="s">
        <v>536</v>
      </c>
      <c r="Y33" t="s">
        <v>537</v>
      </c>
      <c r="Z33">
        <v>6.2</v>
      </c>
      <c r="AA33">
        <v>1981</v>
      </c>
      <c r="AB33" t="s">
        <v>538</v>
      </c>
      <c r="AC33">
        <v>5</v>
      </c>
      <c r="AD33">
        <v>2010</v>
      </c>
      <c r="AE33">
        <v>19</v>
      </c>
      <c r="AF33" t="s">
        <v>539</v>
      </c>
      <c r="AG33">
        <v>16</v>
      </c>
      <c r="AH33">
        <v>13.5560919507853</v>
      </c>
      <c r="AI33">
        <v>0.79741717357560904</v>
      </c>
      <c r="AJ33" t="s">
        <v>61</v>
      </c>
      <c r="AK33" t="s">
        <v>540</v>
      </c>
      <c r="AL33">
        <v>2</v>
      </c>
      <c r="AM33">
        <v>0</v>
      </c>
      <c r="AN33">
        <v>5</v>
      </c>
      <c r="AO33">
        <v>0</v>
      </c>
      <c r="AP33" t="s">
        <v>63</v>
      </c>
      <c r="AQ33" t="s">
        <v>63</v>
      </c>
    </row>
    <row r="34" spans="1:43" x14ac:dyDescent="0.2">
      <c r="A34">
        <v>78394</v>
      </c>
      <c r="B34" t="s">
        <v>541</v>
      </c>
      <c r="C34">
        <v>6.9</v>
      </c>
      <c r="D34">
        <v>22</v>
      </c>
      <c r="E34" t="s">
        <v>44</v>
      </c>
      <c r="F34" s="1">
        <v>40312</v>
      </c>
      <c r="G34">
        <v>4074023</v>
      </c>
      <c r="H34">
        <v>41</v>
      </c>
      <c r="I34">
        <v>5000000</v>
      </c>
      <c r="J34" t="s">
        <v>542</v>
      </c>
      <c r="K34" t="s">
        <v>46</v>
      </c>
      <c r="L34" t="s">
        <v>541</v>
      </c>
      <c r="M34" t="s">
        <v>543</v>
      </c>
      <c r="N34">
        <v>0.52070000000000005</v>
      </c>
      <c r="O34" t="s">
        <v>544</v>
      </c>
      <c r="P34" t="s">
        <v>545</v>
      </c>
      <c r="Q34" t="s">
        <v>546</v>
      </c>
      <c r="R34" t="s">
        <v>466</v>
      </c>
      <c r="S34" t="s">
        <v>52</v>
      </c>
      <c r="T34" t="s">
        <v>547</v>
      </c>
      <c r="U34" t="s">
        <v>548</v>
      </c>
      <c r="V34" t="s">
        <v>549</v>
      </c>
      <c r="W34" t="s">
        <v>548</v>
      </c>
      <c r="X34" t="s">
        <v>550</v>
      </c>
      <c r="Y34" t="s">
        <v>551</v>
      </c>
      <c r="Z34">
        <v>6.6</v>
      </c>
      <c r="AA34">
        <v>466</v>
      </c>
      <c r="AB34" t="s">
        <v>552</v>
      </c>
      <c r="AC34">
        <v>5</v>
      </c>
      <c r="AD34">
        <v>2010</v>
      </c>
      <c r="AE34">
        <v>19</v>
      </c>
      <c r="AF34" t="s">
        <v>553</v>
      </c>
      <c r="AG34">
        <v>16</v>
      </c>
      <c r="AH34">
        <v>15.2201417667677</v>
      </c>
      <c r="AI34">
        <v>0.89530245686869003</v>
      </c>
      <c r="AJ34" t="s">
        <v>61</v>
      </c>
      <c r="AK34" t="s">
        <v>554</v>
      </c>
      <c r="AL34">
        <v>11</v>
      </c>
      <c r="AM34">
        <v>0</v>
      </c>
      <c r="AN34">
        <v>18</v>
      </c>
      <c r="AO34">
        <v>0</v>
      </c>
      <c r="AP34" t="s">
        <v>63</v>
      </c>
      <c r="AQ34" t="s">
        <v>63</v>
      </c>
    </row>
    <row r="35" spans="1:43" x14ac:dyDescent="0.2">
      <c r="A35">
        <v>9543</v>
      </c>
      <c r="B35" t="s">
        <v>555</v>
      </c>
      <c r="C35">
        <v>6.2910000000000004</v>
      </c>
      <c r="D35">
        <v>6970</v>
      </c>
      <c r="E35" t="s">
        <v>44</v>
      </c>
      <c r="F35" s="1">
        <v>40317</v>
      </c>
      <c r="G35">
        <v>336365676</v>
      </c>
      <c r="H35">
        <v>116</v>
      </c>
      <c r="I35">
        <v>200000000</v>
      </c>
      <c r="J35" t="s">
        <v>556</v>
      </c>
      <c r="K35" t="s">
        <v>46</v>
      </c>
      <c r="L35" t="s">
        <v>555</v>
      </c>
      <c r="M35" t="s">
        <v>557</v>
      </c>
      <c r="N35">
        <v>4.3550000000000004</v>
      </c>
      <c r="O35" t="s">
        <v>558</v>
      </c>
      <c r="P35" t="s">
        <v>181</v>
      </c>
      <c r="Q35" t="s">
        <v>559</v>
      </c>
      <c r="R35" t="s">
        <v>51</v>
      </c>
      <c r="S35" t="s">
        <v>52</v>
      </c>
      <c r="T35" t="s">
        <v>560</v>
      </c>
      <c r="U35" t="s">
        <v>561</v>
      </c>
      <c r="V35" t="s">
        <v>562</v>
      </c>
      <c r="W35" t="s">
        <v>563</v>
      </c>
      <c r="X35" t="s">
        <v>564</v>
      </c>
      <c r="Y35" t="s">
        <v>565</v>
      </c>
      <c r="Z35">
        <v>6.5</v>
      </c>
      <c r="AA35">
        <v>314673</v>
      </c>
      <c r="AB35" t="s">
        <v>566</v>
      </c>
      <c r="AC35">
        <v>5</v>
      </c>
      <c r="AD35">
        <v>2010</v>
      </c>
      <c r="AE35">
        <v>20</v>
      </c>
      <c r="AF35" t="s">
        <v>567</v>
      </c>
      <c r="AG35">
        <v>21</v>
      </c>
      <c r="AH35">
        <v>19.6337094505365</v>
      </c>
      <c r="AI35">
        <v>0.89244133866075304</v>
      </c>
      <c r="AJ35" t="s">
        <v>61</v>
      </c>
      <c r="AK35" t="s">
        <v>568</v>
      </c>
      <c r="AL35">
        <v>60</v>
      </c>
      <c r="AM35">
        <v>0</v>
      </c>
      <c r="AN35">
        <v>72</v>
      </c>
      <c r="AO35">
        <v>0</v>
      </c>
      <c r="AP35" t="s">
        <v>63</v>
      </c>
      <c r="AQ35" t="s">
        <v>63</v>
      </c>
    </row>
    <row r="36" spans="1:43" x14ac:dyDescent="0.2">
      <c r="A36">
        <v>10192</v>
      </c>
      <c r="B36" t="s">
        <v>569</v>
      </c>
      <c r="C36">
        <v>6.3890000000000002</v>
      </c>
      <c r="D36">
        <v>7696</v>
      </c>
      <c r="E36" t="s">
        <v>44</v>
      </c>
      <c r="F36" s="1">
        <v>40318</v>
      </c>
      <c r="G36">
        <v>752600867</v>
      </c>
      <c r="H36">
        <v>93</v>
      </c>
      <c r="I36">
        <v>165000000</v>
      </c>
      <c r="J36" t="s">
        <v>570</v>
      </c>
      <c r="K36" t="s">
        <v>46</v>
      </c>
      <c r="L36" t="s">
        <v>569</v>
      </c>
      <c r="M36" t="s">
        <v>571</v>
      </c>
      <c r="N36">
        <v>11.765700000000001</v>
      </c>
      <c r="O36" t="s">
        <v>572</v>
      </c>
      <c r="P36" t="s">
        <v>573</v>
      </c>
      <c r="Q36" t="s">
        <v>102</v>
      </c>
      <c r="R36" t="s">
        <v>51</v>
      </c>
      <c r="S36" t="s">
        <v>52</v>
      </c>
      <c r="T36" t="s">
        <v>574</v>
      </c>
      <c r="U36" t="s">
        <v>575</v>
      </c>
      <c r="W36" t="s">
        <v>576</v>
      </c>
      <c r="X36" t="s">
        <v>577</v>
      </c>
      <c r="Y36" t="s">
        <v>565</v>
      </c>
      <c r="Z36">
        <v>6.3</v>
      </c>
      <c r="AA36">
        <v>240284</v>
      </c>
      <c r="AB36" t="s">
        <v>578</v>
      </c>
      <c r="AC36">
        <v>5</v>
      </c>
      <c r="AD36">
        <v>2010</v>
      </c>
      <c r="AE36">
        <v>20</v>
      </c>
      <c r="AF36" t="s">
        <v>579</v>
      </c>
      <c r="AG36">
        <v>22</v>
      </c>
      <c r="AH36">
        <v>20.439045589458001</v>
      </c>
      <c r="AI36">
        <v>0.88865415606339304</v>
      </c>
      <c r="AJ36" t="s">
        <v>61</v>
      </c>
      <c r="AK36" t="s">
        <v>580</v>
      </c>
      <c r="AL36">
        <v>84</v>
      </c>
      <c r="AM36">
        <v>1</v>
      </c>
      <c r="AN36">
        <v>95</v>
      </c>
      <c r="AO36">
        <v>0.01</v>
      </c>
      <c r="AP36" t="s">
        <v>63</v>
      </c>
      <c r="AQ36" t="s">
        <v>63</v>
      </c>
    </row>
    <row r="37" spans="1:43" x14ac:dyDescent="0.2">
      <c r="A37">
        <v>38363</v>
      </c>
      <c r="B37" t="s">
        <v>581</v>
      </c>
      <c r="C37">
        <v>6.5</v>
      </c>
      <c r="D37">
        <v>813</v>
      </c>
      <c r="E37" t="s">
        <v>44</v>
      </c>
      <c r="F37" s="1">
        <v>40318</v>
      </c>
      <c r="G37">
        <v>25806953</v>
      </c>
      <c r="H37">
        <v>108</v>
      </c>
      <c r="I37">
        <v>22000000</v>
      </c>
      <c r="J37" t="s">
        <v>582</v>
      </c>
      <c r="K37" t="s">
        <v>46</v>
      </c>
      <c r="L37" t="s">
        <v>581</v>
      </c>
      <c r="M37" t="s">
        <v>583</v>
      </c>
      <c r="N37">
        <v>2.6532</v>
      </c>
      <c r="O37" t="s">
        <v>584</v>
      </c>
      <c r="P37" t="s">
        <v>585</v>
      </c>
      <c r="Q37" t="s">
        <v>586</v>
      </c>
      <c r="R37" t="s">
        <v>587</v>
      </c>
      <c r="S37" t="s">
        <v>52</v>
      </c>
      <c r="T37" t="s">
        <v>588</v>
      </c>
      <c r="U37" t="s">
        <v>589</v>
      </c>
      <c r="V37" t="s">
        <v>589</v>
      </c>
      <c r="W37" t="s">
        <v>590</v>
      </c>
      <c r="X37" t="s">
        <v>591</v>
      </c>
      <c r="Y37" t="s">
        <v>108</v>
      </c>
      <c r="Z37">
        <v>6.8</v>
      </c>
      <c r="AA37">
        <v>52470</v>
      </c>
      <c r="AB37" t="s">
        <v>592</v>
      </c>
      <c r="AC37">
        <v>5</v>
      </c>
      <c r="AD37">
        <v>2010</v>
      </c>
      <c r="AE37">
        <v>20</v>
      </c>
      <c r="AF37" t="s">
        <v>593</v>
      </c>
      <c r="AG37">
        <v>22</v>
      </c>
      <c r="AH37">
        <v>17.066154548457501</v>
      </c>
      <c r="AI37">
        <v>0.742006719498155</v>
      </c>
      <c r="AJ37" t="s">
        <v>61</v>
      </c>
      <c r="AK37" t="s">
        <v>594</v>
      </c>
      <c r="AL37">
        <v>49</v>
      </c>
      <c r="AM37">
        <v>1</v>
      </c>
      <c r="AN37">
        <v>73</v>
      </c>
      <c r="AO37">
        <v>0.01</v>
      </c>
      <c r="AP37" t="s">
        <v>63</v>
      </c>
      <c r="AQ37" t="s">
        <v>63</v>
      </c>
    </row>
    <row r="38" spans="1:43" x14ac:dyDescent="0.2">
      <c r="A38">
        <v>37931</v>
      </c>
      <c r="B38" t="s">
        <v>595</v>
      </c>
      <c r="C38">
        <v>5.4</v>
      </c>
      <c r="D38">
        <v>576</v>
      </c>
      <c r="E38" t="s">
        <v>44</v>
      </c>
      <c r="F38" s="1">
        <v>40319</v>
      </c>
      <c r="G38">
        <v>9322895</v>
      </c>
      <c r="H38">
        <v>90</v>
      </c>
      <c r="I38">
        <v>10000000</v>
      </c>
      <c r="J38" t="s">
        <v>596</v>
      </c>
      <c r="K38" t="s">
        <v>46</v>
      </c>
      <c r="L38" t="s">
        <v>595</v>
      </c>
      <c r="M38" t="s">
        <v>597</v>
      </c>
      <c r="N38">
        <v>1.7397</v>
      </c>
      <c r="O38" t="s">
        <v>598</v>
      </c>
      <c r="P38" t="s">
        <v>599</v>
      </c>
      <c r="Q38" t="s">
        <v>600</v>
      </c>
      <c r="R38" t="s">
        <v>51</v>
      </c>
      <c r="S38" t="s">
        <v>601</v>
      </c>
      <c r="T38" t="s">
        <v>602</v>
      </c>
      <c r="U38" t="s">
        <v>603</v>
      </c>
      <c r="V38" t="s">
        <v>604</v>
      </c>
      <c r="W38" t="s">
        <v>605</v>
      </c>
      <c r="X38" t="s">
        <v>606</v>
      </c>
      <c r="Y38" t="s">
        <v>607</v>
      </c>
      <c r="Z38">
        <v>5.6</v>
      </c>
      <c r="AA38">
        <v>49525</v>
      </c>
      <c r="AB38" t="s">
        <v>608</v>
      </c>
      <c r="AC38">
        <v>5</v>
      </c>
      <c r="AD38">
        <v>2010</v>
      </c>
      <c r="AE38">
        <v>20</v>
      </c>
      <c r="AF38" t="s">
        <v>609</v>
      </c>
      <c r="AG38">
        <v>23</v>
      </c>
      <c r="AH38">
        <v>16.047983868008998</v>
      </c>
      <c r="AI38">
        <v>0.668665994500377</v>
      </c>
      <c r="AJ38" t="s">
        <v>61</v>
      </c>
      <c r="AK38" t="s">
        <v>610</v>
      </c>
      <c r="AL38">
        <v>7</v>
      </c>
      <c r="AM38">
        <v>0</v>
      </c>
      <c r="AN38">
        <v>14</v>
      </c>
      <c r="AO38">
        <v>0</v>
      </c>
      <c r="AP38" t="s">
        <v>63</v>
      </c>
      <c r="AQ38" t="s">
        <v>63</v>
      </c>
    </row>
    <row r="39" spans="1:43" x14ac:dyDescent="0.2">
      <c r="A39">
        <v>44877</v>
      </c>
      <c r="B39" t="s">
        <v>611</v>
      </c>
      <c r="C39">
        <v>5.5</v>
      </c>
      <c r="D39">
        <v>202</v>
      </c>
      <c r="E39" t="s">
        <v>44</v>
      </c>
      <c r="F39" s="1">
        <v>40331</v>
      </c>
      <c r="G39">
        <v>1163967</v>
      </c>
      <c r="H39">
        <v>117</v>
      </c>
      <c r="I39">
        <v>4600000</v>
      </c>
      <c r="J39" t="s">
        <v>612</v>
      </c>
      <c r="K39" t="s">
        <v>46</v>
      </c>
      <c r="L39" t="s">
        <v>611</v>
      </c>
      <c r="M39" t="s">
        <v>613</v>
      </c>
      <c r="N39">
        <v>1.2055</v>
      </c>
      <c r="O39" t="s">
        <v>614</v>
      </c>
      <c r="P39" t="s">
        <v>615</v>
      </c>
      <c r="Q39" t="s">
        <v>616</v>
      </c>
      <c r="R39" t="s">
        <v>134</v>
      </c>
      <c r="S39" t="s">
        <v>52</v>
      </c>
      <c r="T39" t="s">
        <v>617</v>
      </c>
      <c r="U39" t="s">
        <v>618</v>
      </c>
      <c r="V39" t="s">
        <v>619</v>
      </c>
      <c r="W39" t="s">
        <v>620</v>
      </c>
      <c r="X39" t="s">
        <v>621</v>
      </c>
      <c r="Y39" t="s">
        <v>622</v>
      </c>
      <c r="Z39">
        <v>5.8</v>
      </c>
      <c r="AA39">
        <v>11207</v>
      </c>
      <c r="AB39" t="s">
        <v>623</v>
      </c>
      <c r="AC39">
        <v>6</v>
      </c>
      <c r="AD39">
        <v>2010</v>
      </c>
      <c r="AE39">
        <v>22</v>
      </c>
      <c r="AF39" t="s">
        <v>611</v>
      </c>
      <c r="AG39">
        <v>35</v>
      </c>
      <c r="AH39">
        <v>13.9673454154866</v>
      </c>
      <c r="AI39">
        <v>0.38798181709685198</v>
      </c>
      <c r="AJ39" t="s">
        <v>61</v>
      </c>
      <c r="AK39" t="s">
        <v>624</v>
      </c>
      <c r="AL39">
        <v>8</v>
      </c>
      <c r="AM39">
        <v>0</v>
      </c>
      <c r="AN39">
        <v>15</v>
      </c>
      <c r="AO39">
        <v>0</v>
      </c>
      <c r="AP39" t="s">
        <v>63</v>
      </c>
      <c r="AQ39" t="s">
        <v>63</v>
      </c>
    </row>
    <row r="40" spans="1:43" x14ac:dyDescent="0.2">
      <c r="A40">
        <v>27584</v>
      </c>
      <c r="B40" t="s">
        <v>625</v>
      </c>
      <c r="C40">
        <v>5.6</v>
      </c>
      <c r="D40">
        <v>159</v>
      </c>
      <c r="E40" t="s">
        <v>44</v>
      </c>
      <c r="F40" s="1">
        <v>40332</v>
      </c>
      <c r="G40">
        <v>221590</v>
      </c>
      <c r="H40">
        <v>99</v>
      </c>
      <c r="I40">
        <v>10000000</v>
      </c>
      <c r="J40" t="s">
        <v>626</v>
      </c>
      <c r="K40" t="s">
        <v>46</v>
      </c>
      <c r="L40" t="s">
        <v>625</v>
      </c>
      <c r="M40" t="s">
        <v>627</v>
      </c>
      <c r="N40">
        <v>4.4740000000000002</v>
      </c>
      <c r="O40" t="s">
        <v>628</v>
      </c>
      <c r="P40" t="s">
        <v>87</v>
      </c>
      <c r="Q40" t="s">
        <v>629</v>
      </c>
      <c r="R40" t="s">
        <v>51</v>
      </c>
      <c r="S40" t="s">
        <v>52</v>
      </c>
      <c r="T40" t="s">
        <v>630</v>
      </c>
      <c r="U40" t="s">
        <v>631</v>
      </c>
      <c r="V40" t="s">
        <v>632</v>
      </c>
      <c r="W40" t="s">
        <v>633</v>
      </c>
      <c r="X40" t="s">
        <v>634</v>
      </c>
      <c r="Y40" t="s">
        <v>635</v>
      </c>
      <c r="Z40">
        <v>5.7</v>
      </c>
      <c r="AA40">
        <v>8093</v>
      </c>
      <c r="AB40" t="s">
        <v>636</v>
      </c>
      <c r="AC40">
        <v>6</v>
      </c>
      <c r="AD40">
        <v>2010</v>
      </c>
      <c r="AE40">
        <v>22</v>
      </c>
      <c r="AF40" t="s">
        <v>637</v>
      </c>
      <c r="AG40">
        <v>36</v>
      </c>
      <c r="AH40">
        <v>12.308588619311999</v>
      </c>
      <c r="AI40">
        <v>0.33266455727870498</v>
      </c>
      <c r="AJ40" t="s">
        <v>61</v>
      </c>
      <c r="AK40" t="s">
        <v>638</v>
      </c>
      <c r="AL40">
        <v>2</v>
      </c>
      <c r="AM40">
        <v>0</v>
      </c>
      <c r="AN40">
        <v>13</v>
      </c>
      <c r="AO40">
        <v>0</v>
      </c>
      <c r="AP40" t="s">
        <v>63</v>
      </c>
      <c r="AQ40" t="s">
        <v>63</v>
      </c>
    </row>
    <row r="41" spans="1:43" x14ac:dyDescent="0.2">
      <c r="A41">
        <v>32823</v>
      </c>
      <c r="B41" t="s">
        <v>639</v>
      </c>
      <c r="C41">
        <v>5.9850000000000003</v>
      </c>
      <c r="D41">
        <v>1857</v>
      </c>
      <c r="E41" t="s">
        <v>44</v>
      </c>
      <c r="F41" s="1">
        <v>40332</v>
      </c>
      <c r="G41">
        <v>90029656</v>
      </c>
      <c r="H41">
        <v>109</v>
      </c>
      <c r="I41">
        <v>40000000</v>
      </c>
      <c r="J41" t="s">
        <v>640</v>
      </c>
      <c r="K41" t="s">
        <v>46</v>
      </c>
      <c r="L41" t="s">
        <v>639</v>
      </c>
      <c r="M41" t="s">
        <v>641</v>
      </c>
      <c r="N41">
        <v>2.3883000000000001</v>
      </c>
      <c r="O41" t="s">
        <v>642</v>
      </c>
      <c r="P41" t="s">
        <v>643</v>
      </c>
      <c r="Q41" t="s">
        <v>644</v>
      </c>
      <c r="R41" t="s">
        <v>51</v>
      </c>
      <c r="S41" t="s">
        <v>52</v>
      </c>
      <c r="T41" t="s">
        <v>645</v>
      </c>
      <c r="U41" t="s">
        <v>646</v>
      </c>
      <c r="V41" t="s">
        <v>647</v>
      </c>
      <c r="W41" t="s">
        <v>648</v>
      </c>
      <c r="X41" t="s">
        <v>649</v>
      </c>
      <c r="Y41" t="s">
        <v>650</v>
      </c>
      <c r="Z41">
        <v>6.3</v>
      </c>
      <c r="AA41">
        <v>189256</v>
      </c>
      <c r="AB41" t="s">
        <v>651</v>
      </c>
      <c r="AC41">
        <v>6</v>
      </c>
      <c r="AD41">
        <v>2010</v>
      </c>
      <c r="AE41">
        <v>22</v>
      </c>
      <c r="AF41" t="s">
        <v>652</v>
      </c>
      <c r="AG41">
        <v>36</v>
      </c>
      <c r="AH41">
        <v>18.3156496962362</v>
      </c>
      <c r="AI41">
        <v>0.495017559357736</v>
      </c>
      <c r="AJ41" t="s">
        <v>61</v>
      </c>
      <c r="AK41" t="s">
        <v>653</v>
      </c>
      <c r="AL41">
        <v>27</v>
      </c>
      <c r="AM41">
        <v>1</v>
      </c>
      <c r="AN41">
        <v>37</v>
      </c>
      <c r="AO41">
        <v>0.03</v>
      </c>
      <c r="AP41" t="s">
        <v>63</v>
      </c>
      <c r="AQ41" t="s">
        <v>63</v>
      </c>
    </row>
    <row r="42" spans="1:43" x14ac:dyDescent="0.2">
      <c r="A42">
        <v>38579</v>
      </c>
      <c r="B42" t="s">
        <v>654</v>
      </c>
      <c r="C42">
        <v>5.218</v>
      </c>
      <c r="D42">
        <v>783</v>
      </c>
      <c r="E42" t="s">
        <v>44</v>
      </c>
      <c r="F42" s="1">
        <v>40332</v>
      </c>
      <c r="G42">
        <v>83761844</v>
      </c>
      <c r="H42">
        <v>88</v>
      </c>
      <c r="I42">
        <v>50000000</v>
      </c>
      <c r="J42" t="s">
        <v>655</v>
      </c>
      <c r="K42" t="s">
        <v>46</v>
      </c>
      <c r="L42" t="s">
        <v>654</v>
      </c>
      <c r="M42" t="s">
        <v>656</v>
      </c>
      <c r="N42">
        <v>1.5206999999999999</v>
      </c>
      <c r="O42" t="s">
        <v>657</v>
      </c>
      <c r="P42" t="s">
        <v>435</v>
      </c>
      <c r="Q42" t="s">
        <v>658</v>
      </c>
      <c r="R42" t="s">
        <v>51</v>
      </c>
      <c r="S42" t="s">
        <v>52</v>
      </c>
      <c r="T42" t="s">
        <v>659</v>
      </c>
      <c r="U42" t="s">
        <v>660</v>
      </c>
      <c r="V42" t="s">
        <v>661</v>
      </c>
      <c r="W42" t="s">
        <v>662</v>
      </c>
      <c r="X42" t="s">
        <v>663</v>
      </c>
      <c r="Y42" t="s">
        <v>664</v>
      </c>
      <c r="Z42">
        <v>4.3</v>
      </c>
      <c r="AA42">
        <v>18472</v>
      </c>
      <c r="AB42" t="s">
        <v>665</v>
      </c>
      <c r="AC42">
        <v>6</v>
      </c>
      <c r="AD42">
        <v>2010</v>
      </c>
      <c r="AE42">
        <v>22</v>
      </c>
      <c r="AF42" t="s">
        <v>666</v>
      </c>
      <c r="AG42">
        <v>36</v>
      </c>
      <c r="AH42">
        <v>18.243488151504501</v>
      </c>
      <c r="AI42">
        <v>0.49306724733796098</v>
      </c>
      <c r="AJ42" t="s">
        <v>61</v>
      </c>
      <c r="AK42" t="s">
        <v>667</v>
      </c>
      <c r="AL42">
        <v>35</v>
      </c>
      <c r="AM42">
        <v>1</v>
      </c>
      <c r="AN42">
        <v>41</v>
      </c>
      <c r="AO42">
        <v>0.02</v>
      </c>
      <c r="AP42" t="s">
        <v>63</v>
      </c>
      <c r="AQ42" t="s">
        <v>63</v>
      </c>
    </row>
    <row r="43" spans="1:43" x14ac:dyDescent="0.2">
      <c r="A43">
        <v>44629</v>
      </c>
      <c r="B43" t="s">
        <v>668</v>
      </c>
      <c r="C43">
        <v>6.8</v>
      </c>
      <c r="D43">
        <v>861</v>
      </c>
      <c r="E43" t="s">
        <v>44</v>
      </c>
      <c r="F43" s="1">
        <v>40332</v>
      </c>
      <c r="G43">
        <v>1000000</v>
      </c>
      <c r="H43">
        <v>113</v>
      </c>
      <c r="I43">
        <v>5000000</v>
      </c>
      <c r="J43" t="s">
        <v>669</v>
      </c>
      <c r="K43" t="s">
        <v>46</v>
      </c>
      <c r="L43" t="s">
        <v>668</v>
      </c>
      <c r="M43" t="s">
        <v>670</v>
      </c>
      <c r="N43">
        <v>4.5890000000000004</v>
      </c>
      <c r="O43" t="s">
        <v>671</v>
      </c>
      <c r="P43" t="s">
        <v>672</v>
      </c>
      <c r="Q43" t="s">
        <v>673</v>
      </c>
      <c r="R43" t="s">
        <v>674</v>
      </c>
      <c r="S43" t="s">
        <v>52</v>
      </c>
      <c r="T43" t="s">
        <v>675</v>
      </c>
      <c r="U43" t="s">
        <v>676</v>
      </c>
      <c r="V43" t="s">
        <v>677</v>
      </c>
      <c r="W43" t="s">
        <v>676</v>
      </c>
      <c r="X43" t="s">
        <v>678</v>
      </c>
      <c r="Y43" t="s">
        <v>679</v>
      </c>
      <c r="Z43">
        <v>7.2</v>
      </c>
      <c r="AA43">
        <v>62663</v>
      </c>
      <c r="AB43" t="s">
        <v>680</v>
      </c>
      <c r="AC43">
        <v>6</v>
      </c>
      <c r="AD43">
        <v>2010</v>
      </c>
      <c r="AE43">
        <v>22</v>
      </c>
      <c r="AF43" t="s">
        <v>681</v>
      </c>
      <c r="AG43">
        <v>36</v>
      </c>
      <c r="AH43">
        <v>13.815511557963699</v>
      </c>
      <c r="AI43">
        <v>0.37339220426929098</v>
      </c>
      <c r="AJ43" t="s">
        <v>61</v>
      </c>
      <c r="AK43" t="s">
        <v>682</v>
      </c>
      <c r="AL43">
        <v>22</v>
      </c>
      <c r="AM43">
        <v>0</v>
      </c>
      <c r="AN43">
        <v>48</v>
      </c>
      <c r="AO43">
        <v>0</v>
      </c>
      <c r="AP43" t="s">
        <v>63</v>
      </c>
      <c r="AQ43" t="s">
        <v>63</v>
      </c>
    </row>
    <row r="44" spans="1:43" x14ac:dyDescent="0.2">
      <c r="A44">
        <v>37821</v>
      </c>
      <c r="B44" t="s">
        <v>683</v>
      </c>
      <c r="C44">
        <v>6</v>
      </c>
      <c r="D44">
        <v>2258</v>
      </c>
      <c r="E44" t="s">
        <v>44</v>
      </c>
      <c r="F44" s="1">
        <v>40333</v>
      </c>
      <c r="G44">
        <v>98159963</v>
      </c>
      <c r="H44">
        <v>100</v>
      </c>
      <c r="I44">
        <v>75000000</v>
      </c>
      <c r="J44" t="s">
        <v>684</v>
      </c>
      <c r="K44" t="s">
        <v>46</v>
      </c>
      <c r="L44" t="s">
        <v>683</v>
      </c>
      <c r="M44" t="s">
        <v>685</v>
      </c>
      <c r="N44">
        <v>5.9988000000000001</v>
      </c>
      <c r="O44" t="s">
        <v>686</v>
      </c>
      <c r="P44" t="s">
        <v>687</v>
      </c>
      <c r="Q44" t="s">
        <v>688</v>
      </c>
      <c r="R44" t="s">
        <v>51</v>
      </c>
      <c r="S44" t="s">
        <v>52</v>
      </c>
      <c r="T44" t="s">
        <v>689</v>
      </c>
      <c r="U44" t="s">
        <v>690</v>
      </c>
      <c r="V44" t="s">
        <v>691</v>
      </c>
      <c r="W44" t="s">
        <v>692</v>
      </c>
      <c r="X44" t="s">
        <v>693</v>
      </c>
      <c r="Y44" t="s">
        <v>694</v>
      </c>
      <c r="Z44">
        <v>5.5</v>
      </c>
      <c r="AA44">
        <v>98899</v>
      </c>
      <c r="AB44" t="s">
        <v>695</v>
      </c>
      <c r="AC44">
        <v>6</v>
      </c>
      <c r="AD44">
        <v>2010</v>
      </c>
      <c r="AE44">
        <v>22</v>
      </c>
      <c r="AF44" t="s">
        <v>696</v>
      </c>
      <c r="AG44">
        <v>37</v>
      </c>
      <c r="AH44">
        <v>18.402108991618601</v>
      </c>
      <c r="AI44">
        <v>0.48426602609522801</v>
      </c>
      <c r="AJ44" t="s">
        <v>61</v>
      </c>
      <c r="AK44" t="s">
        <v>697</v>
      </c>
      <c r="AL44">
        <v>47</v>
      </c>
      <c r="AM44">
        <v>0</v>
      </c>
      <c r="AN44">
        <v>56</v>
      </c>
      <c r="AO44">
        <v>0</v>
      </c>
      <c r="AP44" t="s">
        <v>63</v>
      </c>
      <c r="AQ44" t="s">
        <v>63</v>
      </c>
    </row>
    <row r="45" spans="1:43" x14ac:dyDescent="0.2">
      <c r="A45">
        <v>34544</v>
      </c>
      <c r="B45" t="s">
        <v>698</v>
      </c>
      <c r="C45">
        <v>6.4080000000000004</v>
      </c>
      <c r="D45">
        <v>4821</v>
      </c>
      <c r="E45" t="s">
        <v>44</v>
      </c>
      <c r="F45" s="1">
        <v>40338</v>
      </c>
      <c r="G45">
        <v>177238796</v>
      </c>
      <c r="H45">
        <v>117</v>
      </c>
      <c r="I45">
        <v>110000000</v>
      </c>
      <c r="J45" t="s">
        <v>699</v>
      </c>
      <c r="K45" t="s">
        <v>46</v>
      </c>
      <c r="L45" t="s">
        <v>698</v>
      </c>
      <c r="M45" t="s">
        <v>700</v>
      </c>
      <c r="N45">
        <v>6.1707999999999998</v>
      </c>
      <c r="O45" t="s">
        <v>701</v>
      </c>
      <c r="P45" t="s">
        <v>702</v>
      </c>
      <c r="Q45" t="s">
        <v>703</v>
      </c>
      <c r="R45" t="s">
        <v>150</v>
      </c>
      <c r="S45" t="s">
        <v>704</v>
      </c>
      <c r="T45" t="s">
        <v>705</v>
      </c>
      <c r="U45" t="s">
        <v>706</v>
      </c>
      <c r="V45" t="s">
        <v>707</v>
      </c>
      <c r="W45" t="s">
        <v>708</v>
      </c>
      <c r="X45" t="s">
        <v>709</v>
      </c>
      <c r="Y45" t="s">
        <v>710</v>
      </c>
      <c r="Z45">
        <v>6.7</v>
      </c>
      <c r="AA45">
        <v>275332</v>
      </c>
      <c r="AB45" t="s">
        <v>711</v>
      </c>
      <c r="AC45">
        <v>6</v>
      </c>
      <c r="AD45">
        <v>2010</v>
      </c>
      <c r="AE45">
        <v>23</v>
      </c>
      <c r="AF45" t="s">
        <v>712</v>
      </c>
      <c r="AG45">
        <v>42</v>
      </c>
      <c r="AH45">
        <v>18.993008516865601</v>
      </c>
      <c r="AI45">
        <v>0.441697872485247</v>
      </c>
      <c r="AJ45" t="s">
        <v>61</v>
      </c>
      <c r="AK45" t="s">
        <v>713</v>
      </c>
      <c r="AL45">
        <v>66</v>
      </c>
      <c r="AM45">
        <v>1</v>
      </c>
      <c r="AN45">
        <v>74</v>
      </c>
      <c r="AO45">
        <v>0.01</v>
      </c>
      <c r="AP45" t="s">
        <v>63</v>
      </c>
      <c r="AQ45" t="s">
        <v>63</v>
      </c>
    </row>
    <row r="46" spans="1:43" x14ac:dyDescent="0.2">
      <c r="A46">
        <v>38575</v>
      </c>
      <c r="B46" t="s">
        <v>714</v>
      </c>
      <c r="C46">
        <v>6.6</v>
      </c>
      <c r="D46">
        <v>6360</v>
      </c>
      <c r="E46" t="s">
        <v>44</v>
      </c>
      <c r="F46" s="1">
        <v>40339</v>
      </c>
      <c r="G46">
        <v>359126022</v>
      </c>
      <c r="H46">
        <v>140</v>
      </c>
      <c r="I46">
        <v>40000000</v>
      </c>
      <c r="J46" t="s">
        <v>715</v>
      </c>
      <c r="K46" t="s">
        <v>46</v>
      </c>
      <c r="L46" t="s">
        <v>714</v>
      </c>
      <c r="M46" t="s">
        <v>716</v>
      </c>
      <c r="N46">
        <v>7.1805000000000003</v>
      </c>
      <c r="O46" t="s">
        <v>717</v>
      </c>
      <c r="P46" t="s">
        <v>718</v>
      </c>
      <c r="Q46" t="s">
        <v>719</v>
      </c>
      <c r="R46" t="s">
        <v>720</v>
      </c>
      <c r="S46" t="s">
        <v>721</v>
      </c>
      <c r="T46" t="s">
        <v>722</v>
      </c>
      <c r="U46" t="s">
        <v>723</v>
      </c>
      <c r="V46" t="s">
        <v>724</v>
      </c>
      <c r="W46" t="s">
        <v>725</v>
      </c>
      <c r="X46" t="s">
        <v>726</v>
      </c>
      <c r="Y46" t="s">
        <v>727</v>
      </c>
      <c r="Z46">
        <v>6.3</v>
      </c>
      <c r="AA46">
        <v>222645</v>
      </c>
      <c r="AB46" t="s">
        <v>728</v>
      </c>
      <c r="AC46">
        <v>6</v>
      </c>
      <c r="AD46">
        <v>2010</v>
      </c>
      <c r="AE46">
        <v>23</v>
      </c>
      <c r="AF46" t="s">
        <v>729</v>
      </c>
      <c r="AG46">
        <v>43</v>
      </c>
      <c r="AH46">
        <v>19.699183923849901</v>
      </c>
      <c r="AI46">
        <v>0.44770872554204499</v>
      </c>
      <c r="AJ46" t="s">
        <v>61</v>
      </c>
      <c r="AK46" t="s">
        <v>730</v>
      </c>
      <c r="AL46">
        <v>72</v>
      </c>
      <c r="AM46">
        <v>2</v>
      </c>
      <c r="AN46">
        <v>87</v>
      </c>
      <c r="AO46">
        <v>0.02</v>
      </c>
      <c r="AP46" t="s">
        <v>63</v>
      </c>
      <c r="AQ46" t="s">
        <v>63</v>
      </c>
    </row>
    <row r="47" spans="1:43" x14ac:dyDescent="0.2">
      <c r="A47">
        <v>39013</v>
      </c>
      <c r="B47" t="s">
        <v>731</v>
      </c>
      <c r="C47">
        <v>6.8</v>
      </c>
      <c r="D47">
        <v>1884</v>
      </c>
      <c r="E47" t="s">
        <v>44</v>
      </c>
      <c r="F47" s="1">
        <v>40340</v>
      </c>
      <c r="G47">
        <v>13831503</v>
      </c>
      <c r="H47">
        <v>101</v>
      </c>
      <c r="I47">
        <v>2000000</v>
      </c>
      <c r="J47" t="s">
        <v>732</v>
      </c>
      <c r="K47" t="s">
        <v>46</v>
      </c>
      <c r="L47" t="s">
        <v>731</v>
      </c>
      <c r="M47" t="s">
        <v>733</v>
      </c>
      <c r="N47">
        <v>3.8990999999999998</v>
      </c>
      <c r="O47" t="s">
        <v>734</v>
      </c>
      <c r="P47" t="s">
        <v>735</v>
      </c>
      <c r="Q47" t="s">
        <v>736</v>
      </c>
      <c r="R47" t="s">
        <v>737</v>
      </c>
      <c r="S47" t="s">
        <v>52</v>
      </c>
      <c r="T47" t="s">
        <v>738</v>
      </c>
      <c r="U47" t="s">
        <v>739</v>
      </c>
      <c r="V47" t="s">
        <v>740</v>
      </c>
      <c r="W47" t="s">
        <v>741</v>
      </c>
      <c r="X47" t="s">
        <v>742</v>
      </c>
      <c r="Y47" t="s">
        <v>743</v>
      </c>
      <c r="Z47">
        <v>7.1</v>
      </c>
      <c r="AA47">
        <v>155895</v>
      </c>
      <c r="AB47" t="s">
        <v>744</v>
      </c>
      <c r="AC47">
        <v>6</v>
      </c>
      <c r="AD47">
        <v>2010</v>
      </c>
      <c r="AE47">
        <v>23</v>
      </c>
      <c r="AF47" t="s">
        <v>745</v>
      </c>
      <c r="AG47">
        <v>44</v>
      </c>
      <c r="AH47">
        <v>16.442459446824301</v>
      </c>
      <c r="AI47">
        <v>0.36538798770720698</v>
      </c>
      <c r="AJ47" t="s">
        <v>61</v>
      </c>
      <c r="AK47" t="s">
        <v>746</v>
      </c>
      <c r="AL47">
        <v>32</v>
      </c>
      <c r="AM47">
        <v>0</v>
      </c>
      <c r="AN47">
        <v>74</v>
      </c>
      <c r="AO47">
        <v>0</v>
      </c>
      <c r="AP47" t="s">
        <v>63</v>
      </c>
      <c r="AQ47" t="s">
        <v>63</v>
      </c>
    </row>
    <row r="48" spans="1:43" x14ac:dyDescent="0.2">
      <c r="A48" t="s">
        <v>747</v>
      </c>
      <c r="AI48">
        <f>SUBTOTAL(109,Table1[score])</f>
        <v>56.131508360623982</v>
      </c>
      <c r="AQ48">
        <f>SUBTOTAL(103,Table1[error])</f>
        <v>46</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Iron_Man_2_attributes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ksarav</cp:lastModifiedBy>
  <dcterms:created xsi:type="dcterms:W3CDTF">2026-02-17T17:14:57Z</dcterms:created>
  <dcterms:modified xsi:type="dcterms:W3CDTF">2026-02-17T18:01:53Z</dcterms:modified>
</cp:coreProperties>
</file>