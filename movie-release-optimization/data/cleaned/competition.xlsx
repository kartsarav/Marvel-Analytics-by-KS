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kitkat/github projects/Marvel-Analytics-by-KS/movie-release-optimization/data/cleaned/"/>
    </mc:Choice>
  </mc:AlternateContent>
  <xr:revisionPtr revIDLastSave="0" documentId="13_ncr:1_{3D22B6A5-C0C5-0945-8A1F-F5555209A8B0}" xr6:coauthVersionLast="47" xr6:coauthVersionMax="47" xr10:uidLastSave="{00000000-0000-0000-0000-000000000000}"/>
  <bookViews>
    <workbookView xWindow="14380" yWindow="0" windowWidth="14420" windowHeight="18000" xr2:uid="{CA3EB968-321F-9E45-AC90-99B4A92B1A55}"/>
  </bookViews>
  <sheets>
    <sheet name="marvel_movies_full"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38" i="1" l="1"/>
  <c r="AF37" i="1"/>
  <c r="AF36" i="1"/>
  <c r="AF35" i="1"/>
  <c r="AF31" i="1"/>
  <c r="AF29" i="1"/>
  <c r="AF28" i="1"/>
  <c r="AF27" i="1"/>
  <c r="AF14" i="1"/>
  <c r="AF13" i="1"/>
  <c r="AF12" i="1"/>
  <c r="AF11" i="1"/>
  <c r="AF9" i="1"/>
  <c r="AF7" i="1"/>
  <c r="AF6" i="1"/>
  <c r="AF5" i="1"/>
  <c r="AF4" i="1"/>
  <c r="AF34" i="1"/>
  <c r="AF33" i="1"/>
  <c r="AF32" i="1"/>
  <c r="AF30" i="1"/>
  <c r="AF26" i="1"/>
  <c r="AF23" i="1"/>
  <c r="AF25" i="1"/>
  <c r="AF24" i="1"/>
  <c r="AF22" i="1"/>
  <c r="AF21" i="1"/>
  <c r="AF20" i="1"/>
  <c r="AF19" i="1"/>
  <c r="AF18" i="1"/>
  <c r="AF17" i="1"/>
  <c r="AF16" i="1"/>
  <c r="AF15" i="1"/>
  <c r="AF10" i="1"/>
  <c r="AF8" i="1"/>
  <c r="AF3" i="1"/>
</calcChain>
</file>

<file path=xl/sharedStrings.xml><?xml version="1.0" encoding="utf-8"?>
<sst xmlns="http://schemas.openxmlformats.org/spreadsheetml/2006/main" count="698" uniqueCount="448">
  <si>
    <t>id</t>
  </si>
  <si>
    <t>title</t>
  </si>
  <si>
    <t>vote_average</t>
  </si>
  <si>
    <t>vote_count</t>
  </si>
  <si>
    <t>status</t>
  </si>
  <si>
    <t>release_date</t>
  </si>
  <si>
    <t>revenue</t>
  </si>
  <si>
    <t>runtime</t>
  </si>
  <si>
    <t>budget</t>
  </si>
  <si>
    <t>imdb_id</t>
  </si>
  <si>
    <t>original_language</t>
  </si>
  <si>
    <t>original_title</t>
  </si>
  <si>
    <t>overview</t>
  </si>
  <si>
    <t>popularity</t>
  </si>
  <si>
    <t>tagline</t>
  </si>
  <si>
    <t>genres</t>
  </si>
  <si>
    <t>production_companies</t>
  </si>
  <si>
    <t>production_countries</t>
  </si>
  <si>
    <t>spoken_languages</t>
  </si>
  <si>
    <t>cast</t>
  </si>
  <si>
    <t>director</t>
  </si>
  <si>
    <t>director_of_photography</t>
  </si>
  <si>
    <t>writers</t>
  </si>
  <si>
    <t>producers</t>
  </si>
  <si>
    <t>music_composer</t>
  </si>
  <si>
    <t>imdb_rating</t>
  </si>
  <si>
    <t>imdb_votes</t>
  </si>
  <si>
    <t>poster_path</t>
  </si>
  <si>
    <t>release_month</t>
  </si>
  <si>
    <t>release_year</t>
  </si>
  <si>
    <t>ISO_week</t>
  </si>
  <si>
    <t>Iron Man</t>
  </si>
  <si>
    <t>Released</t>
  </si>
  <si>
    <t>tt0371746</t>
  </si>
  <si>
    <t>en</t>
  </si>
  <si>
    <t>After being held captive in an Afghan cave, billionaire engineer Tony Stark creates a unique weaponized suit of armor to fight evil.</t>
  </si>
  <si>
    <t>Heroes aren't born. They're built.</t>
  </si>
  <si>
    <t>Action, Science Fiction, Adventure</t>
  </si>
  <si>
    <t>Marvel Studios, Marvel Entertainment, Fairview Entertainment</t>
  </si>
  <si>
    <t>United States of America</t>
  </si>
  <si>
    <t>English, ≈∏√Ö√ø√ü√ø¬±√ø‚â•‚Ç¨√•, √ø√ü√ø¬±√ø√ò≈∏√†, √ø√ü≈∏√ë√øœÄ√ø¬±√ø¬Æ≈∏√§√ø¬©</t>
  </si>
  <si>
    <t>Tim Guinee, Mike Cochrane, Shaun Toub, Faran Tahir, Russell Richardson, Paul Bettany, Sarah Cahill, Gabrielle Tuite, Jim Cramer, Ahmed Ahmed, Eileen Weisinger, Kevin Foster, Donna Evans, Zorianna Kit, Marvin Jordan, Jeff Bridges, Sayed Badreya, James Bethea, Robert Downey Jr., Fahim Fazli, Frank Nyi, Flavia Manes Rossi, Jon Favreau, Peter Billingsley, Thomas Craig Plumer, Stan Lee, Bill Smitrovich, Meera Simhan, Justin Rex, Lana Kinnear, Garret No‚àö¬¥l, Jeannine Kaspar, Kristin J. Hooper, Robert Berkman, Javan Tahir, Daston Kalili, Ava Rose Williams, Ricki Lander, Gwyneth Paltrow, Ido Mor, Adam Harrington, Tom Morello, Terrence Howard, Callie Croughwell, Gerard Sanders, Tim Rigby, Stacy Stas Hurst, Joshua Harto, Reid Harper, Summer Kylie Remington, Nicole Lindeblad, Sahar Bibiyan, Vladimir Kubr, Ben Newmark, Nazanin Boniadi, Leslie Bibb, Tim Griffin, Patrick O'Connell, Samuel L. Jackson, Clark Gregg, Masha Lund, Marco Khan, Micah A. Hauptman, Lauren Scyphers, Will Lyman</t>
  </si>
  <si>
    <t>Jon Favreau</t>
  </si>
  <si>
    <t>Matthew Libatique</t>
  </si>
  <si>
    <t>Hawk Ostby, Matt Holloway, Jack Kirby, Mark Fergus, Don Heck, Stan Lee, Art Marcum, Larry Lieber</t>
  </si>
  <si>
    <t>Jon Favreau, Peter Billingsley, Stan Lee, Avi Arad, Kevin Feige, David Maisel, Ari Arad, Louis D'Esposito</t>
  </si>
  <si>
    <t>Ramin Djawadi</t>
  </si>
  <si>
    <t>/78lPtwv72eTNqFW9COBYI0dWDJa.jpg</t>
  </si>
  <si>
    <t>The Incredible Hulk</t>
  </si>
  <si>
    <t>tt0800080</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</si>
  <si>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</si>
  <si>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You'll like him when he's angry.</t>
  </si>
  <si>
    <t>Science Fiction, Action, Adventure</t>
  </si>
  <si>
    <t>Marvel Studios, Valhalla Motion Pictures, Marvel Entertainment</t>
  </si>
  <si>
    <t>Portugu‚àö‚Ñ¢s, Espa‚àö¬±ol, English</t>
  </si>
  <si>
    <t>Jonathan Lipow, Jee-Yun Lee, P.J. Kerr, Carlos A. Gonzalez, Tim Blake Nelson, John Atkin, Scott Magee, Scott Murphy, Todd Hofley, Raimundo Camargo Nascimento, Tamsen McDonough, Jon Cesar, David L. Marston, Chris Owens, Rick Cordeiro, Liv Tyler, Tim Roth, Robin Wilcock, Tony Nappo, Tre Smith, Jason Burke, D‚àö¬©bora Nascimento, Bill Bixby, Martin Starr, Adrian Hein, Julio Cesar Torres Dantas, J.D. Hall, Lenka Matuska, DI MacDonald, Aaron Berg, Javier Lambert, Deshaun Clarke, JB Blanc, Carla Nascimento, John Carvalho, Joris Jarsky, Genelle Williams, Nick Stankevich, Jay Hunter, Brandon Cruz, David Collins, Kieran Gallant, Jim Annan, Stephen Broussard, Wayne Robson, Joe La Loggia, Jeffrey W. Pike, Jason Hunter, Richard D. Leko, Billy Parrott, John Campea, Lou Ferrigno, Nick Alachiotis, Michael Kenneth Williams, Nicholas Rose, James Downing, Simon Wong, Arnold Pinnock, Paul Soles, Desmond Campbell, Imali Perera, Peter Mensah, Wes Berger, J.A. Worthington, Greg Bryk, Moses Nyarko, Maxwell McCabe-Lokos, Ty Burrell, Stephen Gartner, Dave Kiner, Kristina Pesic, Yan Regis, Matt Purdy, Fred Tatasciore, Russell Yuen, Miyoshi Umeki, Pedro Salv‚àö‚â†n, Scoot DeVille, William Hurt, Mila Stromboni, Robert Downey Jr., Edward Norton, Krista Vendy, Max Topplin, Al Vrkljan, Christina Cabot, Grant Nickalls, Kevin Lise, Ruru Sacha, Ish Morris, Avi Phillips, Dylan Taylor, Stan Lee, David Meunier, Chris Ratz, Shaun McComb, Fabio Dorea, David Bianchi, Roberto Bakker, Tig Fong, Fran‚àö√üois Mequer, Robert Morse, T.J. Smith, Rickson Gracie, Johnny Prince, John MacDonald</t>
  </si>
  <si>
    <t>Louis Leterrier</t>
  </si>
  <si>
    <t>Peter Menzies Jr.</t>
  </si>
  <si>
    <t>Zak Penn, Jack Kirby, Stan Lee</t>
  </si>
  <si>
    <t>Gale Anne Hurd, Kevin Feige, Avi Arad, Jim Van Wyck, Stan Lee, David Maisel</t>
  </si>
  <si>
    <t>Craig Armstrong</t>
  </si>
  <si>
    <t>/gKzYx79y0AQTL4UAk1cBQJ3nvrm.jpg</t>
  </si>
  <si>
    <t>Iron Man 2</t>
  </si>
  <si>
    <t>tt1228705</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</si>
  <si>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‚Äö√Ñ√¨ and confront powerful enemies.</t>
  </si>
  <si>
    <t>It's not the armor that makes the hero, but the man inside.</t>
  </si>
  <si>
    <t>Adventure, Action, Science Fiction</t>
  </si>
  <si>
    <t>Marvel Studios, Fairview Entertainment, Marvel Entertainment</t>
  </si>
  <si>
    <t>English, P‚Äî√â‚Äî√Ö‚Äî√Ö‚Äì‚à´‚Äì‚àè‚ÄìœÄ, Fran‚àö√üais</t>
  </si>
  <si>
    <t>Fran‚àö√üois Duhamel, Robert Downey Jr., Tim Guinee, Karim Saleh, Nadine Ellis, Christopher Maleki, Davin Ransom, John Ceallach, Evgeniy Lazarev, Eric L. Haney, John Slattery, Alejandro Pati‚àö¬±o, Mickey Rourke, Paul Grace, Cameron Lee, Sam Rockwell, Gwyneth Paltrow, Jon Favreau, Ali Khan, Melanie Brown, Matt McColm, Brian Schaeffer, Stan Lee, Olivia Munn, Peter Trenholm Smith, Timothy 'TJ' James Driscoll, Jasmine Dustin, Kylette Zamora, Kristin Quick, Tony Nevada, Michael Bruno, Ajarae Coleman, Ayelet Ben-Shahar, Clark Gregg, Tanoai Reed, Keith Middlebrook, Rachele Brooke Smith, Margy Moore, Nicolas Pajon, Philippe Bergeron, Helena Mattsson, Sam Felman, Sandy Colton, Allison Ochmanek, Nick W. Nicholson, Elon Musk, Mathew Lorenceau, Samuel L. Jackson, Scarlett Johansson, Katie Cleary, Brooke Long, Shakira Vanise Gamble, Jenny Robinson, Don Cheadle, Bill O'Reilly, Lindsay Rosenberg, Renee Herlocker, Jill Ann Pineda-Arnold, Luminita Docan, James Bethea, Doug Swander, Kate Clark, Krystal Ellsworth, Garry Shandling, Victoria Gracie, Gina Cantrell, Peter Sebastian Wrobel, Jack White, Adam Goldstein, Hannah Douglass, Larry Ellison, Annika Ihnat, Paul Bettany, Steven James Price, Kate Mara, Seth Green, Bryan McCoy, Christiane Amanpour, Max Favreau, Phillipe Simon, Leslie Bibb, Lindsay Dennis, Jennifer D. Johnson, Anya Monzikova, Mark Kubr, Isaiah Guyman Martin IV</t>
  </si>
  <si>
    <t>Stan Lee, Justin Theroux, Jack Kirby, Larry Lieber, Don Heck</t>
  </si>
  <si>
    <t>Stan Lee, Alan Fine, David Maisel, Denis L. Stewart, Kevin Feige, Jon Favreau, Susan Downey, Louis D'Esposito</t>
  </si>
  <si>
    <t>John Debney</t>
  </si>
  <si>
    <t>/6WBeq4fCfn7AN0o21W9qNcRF2l9.jpg</t>
  </si>
  <si>
    <t>Thor</t>
  </si>
  <si>
    <t>tt0800369</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</si>
  <si>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</si>
  <si>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Courage is immortal.</t>
  </si>
  <si>
    <t>Adventure, Fantasy, Action</t>
  </si>
  <si>
    <t>Marvel Studios, Marvel Entertainment</t>
  </si>
  <si>
    <t>English</t>
  </si>
  <si>
    <t>Jeremy Renner, Colm Feore, Walt Simonson, Josh Dallas, Alexander Wright, Natalie Portman, Kelly Hawthorne, Jim Palmer, Patrick O'Brien Demsey, Anthony Hopkins, Dakota Goyo, Chris Hemsworth, Tom Hiddleston, Luke Massy, Darren Kendrick, Michelle Csitos, Stan Lee, Samuel L. Jackson, Stellan Skarsg‚àö‚Ä¢rd, Juliet Lopez, Rachel de la Torre, Douglas Tait, Idris Elba, Richard Cetrone, Justice J. Smith Jr., Jaimie Alexander, Joseph Gatt, Rob Mars, Kat Dennings, Ryan Schaefer, Ray Stevenson, Jamie McShane, Matthew Ducey, Rene Russo, Jason Camp, Adriana Barraza, Kinsey McLean, Stephen Oyoung, Seth Coltan, J. Michael Straczynski, Carrie Lazar, Dale Godboldo, Tadanobu Asano, Joel McCrary, Ted Allpress, Blake Silver, Shawn-Caulin Young, Clark Gregg, Harley Graham, Matt Battaglia, Vanessa Bednar, Maximiliano Hern‚àö¬∞ndez, Isaac Kappy, Buddy Sosthand, Josh Coxx, Hilary Pingle</t>
  </si>
  <si>
    <t>Kenneth Branagh</t>
  </si>
  <si>
    <t>Haris Zambarloukos</t>
  </si>
  <si>
    <t>Stan Lee, Don Payne, Larry Lieber, Mark Protosevich, J. Michael Straczynski, Jack Kirby, Zack Stentz, Ashley Miller</t>
  </si>
  <si>
    <t>Stan Lee, Alan Fine, David Maisel, Kevin Feige, Patricia Whitcher, Louis D'Esposito</t>
  </si>
  <si>
    <t>Patrick Doyle</t>
  </si>
  <si>
    <t>/prSfAi1xGrhLQNxVSUFh61xQ4Qy.jpg</t>
  </si>
  <si>
    <t>Captain America: The First Avenger</t>
  </si>
  <si>
    <t>tt0458339</t>
  </si>
  <si>
    <t>During World War II, Steve Rogers is a sickly man from Brooklyn who's transformed into super-soldier Captain America to aid in the war effort. Rogers must stop the Red Skull ‚Äö√Ñ√¨ Adolf Hitler's ruthless head of weaponry, and the leader of an organization that intends to use a mysterious device of untold powers for world domination.</t>
  </si>
  <si>
    <t>When patriots become heroes.</t>
  </si>
  <si>
    <t>Action, Adventure, Science Fiction</t>
  </si>
  <si>
    <t>Fran‚àö√üais, Norsk, English</t>
  </si>
  <si>
    <t>Bruno Ricci, William Hope, Laura Haddock, Fernanda Toker, Chris Evans, David McKail, JJ Feild, Naomi Slights, Sam Hoare, Marcello Walton, David Bradley, Sarah Riches, Billy Lozowski, Patrick Monckeberg, Mollie Fitzgerald, Peter Stark, Ben Batt, Kenneth Choi, Anatole Taubman, Nicholas Pinnock, Stephanie Jayne Thompson, Rosanna Hoult, Michael Brandon, Spencer Garrett, Paul Blackwell, Richard Freeman, Toby Jones, Kevin Millington, Stan Lee, Amanda Walker, Nicole Evans, Sophie Colquhoun, Damon Driver, Stevie-Jean McGuire, David Soall, Hugo Weaving, Jennifer Abbotts, Emma Harris, Fabrizio Santino, Danielle Kelly, Jessica Powell, Jack Gordon, Simon Kunz, Amanda Righetti, Sebastian Stan, Benjamin Uttley, Marek Oravec, Martin Sherman, Michelle Antrobus, Gregory Paulett, Samuel L. Jackson, Rosie Pethullis, James Payton, Darren Simpson, Neal McDonough, Erich Redman, Ronan Raftery, Marc Wheeler, Hayley Atwell, Richard Armitage, Paul Simmons, Vincent Montuel, Doug Cockle, Kieran O'Connor, Chris Diggle, Holly Rostron, Stanley Tucci, Lex Shrapnel, Nathan Robinson, Lucie Waugh, Erin Dusek, Michael Humphrey, Lizzi Franklin, Nick Hendrix, Wiliam Morris, Kirsty Mather, Oscar Pearce, Caroline Royce, Leander Deeny, Maxwell Newman, Natalie Dormer, Dominic Cooper, Rai Quartley, Lucy Dean, Jan Pohl, Adam Birch, Tommy Lee Jones, Luke Allen-Gale, Adam Kent, Nicole May, Jenna Coleman, Rachael Isherwood, Sergio James, Anna McNicholas, Steve Leighton, Derek Luke, Katherine Press, Megan Sanderson</t>
  </si>
  <si>
    <t>Joe Johnston</t>
  </si>
  <si>
    <t>Shelly Johnson</t>
  </si>
  <si>
    <t>Jack Kirby, Joe Simon, Christopher Markus, Stephen McFeely</t>
  </si>
  <si>
    <t>Alan Fine, Nigel Gostelow, Kevin Feige, Stan Lee, Joe Johnston, Louis D'Esposito, David Maisel</t>
  </si>
  <si>
    <t>Alan Silvestri</t>
  </si>
  <si>
    <t>/vSNxAJTlD0r02V9sPYpOjqDZXUK.jpg</t>
  </si>
  <si>
    <t>The Avengers</t>
  </si>
  <si>
    <t>tt0848228</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</si>
  <si>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</si>
  <si>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Some assembly required.</t>
  </si>
  <si>
    <t>Marvel Studios</t>
  </si>
  <si>
    <t>English, ‚Ä°¬ßœÄ‚Ä°¬ß√∏‚Ä°¬ß¬Æ‚Ä°‚Ä¢√ß‚Ä°¬ß¬∂‚Ä°‚Ä¢√Ñ, P‚Äî√â‚Äî√Ö‚Äî√Ö‚Äì‚à´‚Äì‚àè‚ÄìœÄ</t>
  </si>
  <si>
    <t>Brent Reichert, Fernanda Toker, Joti Nagra, Jamie McShane, Chris Evans, Gina Sarno, Tom Hiddleston, Warren Kole, Momoko Komatsu, Ricardo Andres, Caleb Pieplow, Mark Ruffalo, Robert Downey Jr., Harry Dean Stanton, Seth Zielicke, Tai Urban, Robert P. Thitoff, M'laah Kaur Singh, Jenny Agutter, Jesse Garc‚àö‚â†a, Cobie Smulders, Scarlett Johansson, Paul Bettany, Robin Swoboda, Pat Kiernan, Christina Shaffer, Jerry Lee Tucker, Jerzy Skolimowski, Holly Neelie, Andrea-Nichole Olivas, Jason Botsford, Andrea Vecchio, Rick Dremann, Rod Fielder, Jaime Powers, Romy Rosemont, Enver Gjokaj, Damion Poitier, Dieter Riesle, Kelley Robins Hicks, Kimberly J. Mahoney, Stan Lee, Josh Cowdery, William-Christopher Stephens, Shane Thompson, Alicia Sixtos, Martin Palmer, Jeremy Orr, Tina Grimm, Logan Bennett, Yumiko Komatsu, Michael McMillan, Robert Dean, Ashley Johnson, Alex DeCourville, Alexis Denisof, Gwyneth Paltrow, Demoine Kinney, Alexander Christopher Jones, Carmen Dee Harris, Alexander Daniel Pimentel, Lou Ferrigno, Arthur Darbinyan, Samuel L. Jackson, Sean Meehan, James Eckhouse, Mike Karban, Jeremy Renner, Colin Strause, Kelly Ruble, Eric Frank, Maximiliano Hern‚àö¬∞ndez, Frank Powers, Evan Kole, Annette Lawless, Walter Perez, Douglas Slygh, Maria Perossa, Rashmi Rustagi, Thomas Roberts, Gene N. Chavez, Stellan Skarsg‚àö‚Ä¢rd, Layla Cushman, Caleb Daniel Noal, Michael Zhang, Jorge Mardel, Donald Li, Nate Paige, Israel Hall, Jillian Morgese, Sharita Bone, Robert B. Schneider IV, Jeff Wolfe, Andrew Knode, Chris Hemsworth, Kirill Nikiforov, Brent McGee, Tina Benko, Robert Clohessy, Mayank Bhatter, Sandra Weston, Mary Kate Campbell, George Thomas, Katsumi Komatsu, Catherine Anderson, Hank Amos, Kenneth Tigar, Clark Gregg, Powers Boothe, Todd Manes, Chris Vaina, Jeff Seich</t>
  </si>
  <si>
    <t>Joss Whedon</t>
  </si>
  <si>
    <t>Seamus McGarvey</t>
  </si>
  <si>
    <t>Stan Lee, Joss Whedon, Joe Simon, Jack Kirby, Zak Penn</t>
  </si>
  <si>
    <t>Alan Fine, Jeremy Latcham, Kevin Feige, Victoria Alonso, Jon Favreau, Stan Lee, Avi Arad, Chris Brigham, Louis D'Esposito</t>
  </si>
  <si>
    <t>/RYMX2wcKCBAr24UyPD7xwmjaTn.jpg</t>
  </si>
  <si>
    <t>Iron Man 3</t>
  </si>
  <si>
    <t>tt1300854</t>
  </si>
  <si>
    <t>When Tony Stark's world is torn apart by a formidable terrorist called the Mandarin, he starts an odyssey of rebuilding and retribution.</t>
  </si>
  <si>
    <t>Unleash the power behind the armor.</t>
  </si>
  <si>
    <t>Mark Aaron Wagner, James Rackley, Thomas Roberts, Dan Brown, Wang Xueqi, Ron Madoff, Paul O'Connor, Mark Kubr, John Eddins, Jenna Ortega, Ashley Hamilton, Cullen Moss, Nick Brandon, Steve Wilder, Bronte D'Esposito, Jake De Witt, Gwendalyn Barker, Mike Massa, Mark Ruffalo, Juan C. Bofill, David Anthony Buglione, Ty Simpkins, Nick W. Nicholson, Sarah Burkhardt, Johnny Otto, Kiante Elam, Aja Frary, Tom Virtue, Kary Musa, Gwyneth Paltrow, Aurelia Riley, Andrew Lander, Noah Visconti, Demetrois Hodges, Noa Lindberg, Tom Clark, Kevin Arnold, Bridger Zadina, Toochukwu T.C. Anyachonkeya, Kim Holderness, Miguel Ferrer, Josh Elliott, J. C. Robaina, Ben Kingsley, William Morts, Fernando Chien, Si-Fu Eric Oram, Corey Hawkins, Yvonne Zima, Anthony Reynolds, Adam Lytle, Dennis Keiffer, Guy Pearce, Jade Quon, Stephanie Szostak, Andrew Lauer, Spencer Garrett, Dale Dickey, Kendrick Cross, Rockey Dickey Jr., Pat Kiernan, Megan Henderson, Drew Michael Hershner, Paul Bettany, Kial Butler, Brycen Counts, Rebecca Hall, Serdar Kalsin, Markos Rounthwaite, Brian Simpson, Robert Downey Jr., Sarah Farooqui, Don Cheadle, Ilram Choi, Sala Baker, Nate Bynum, Bill Maher, Matthew Sterling Nye, Rebecca Mader, William Sadler, Chad Kurtz, Bobby Tisdale, Brooke Jaye Taylor, Glenn Foster, Adam Pally, Dane Farwell, Brian Schaeffer, Jan Broberg Felt, Phil Ortiz, Cal Johnson, Stan Lee, Colin Follenweider, Jon Favreau, Wesley Thompson, Joan Rivers, Adrian Gonzalez, George Kotsiopoulos, Linden Ashby, Samuel Le, Johanna Yunda, James Badge Dale, Mark Ginther, Roy McCrerey, Naomi Parshin, Luciana Faulhaber, Chris Gethard, Philip J. Silvera, Mark Fichera, Shaun Toub, Tara Macken</t>
  </si>
  <si>
    <t>Shane Black</t>
  </si>
  <si>
    <t>John Toll</t>
  </si>
  <si>
    <t>Shane Black, Don Heck, Stan Lee, Jack Kirby, Larry Lieber, Drew Pearce</t>
  </si>
  <si>
    <t>Alan Fine, Victoria Alonso, Bing Wu, Kevin Feige, Stan Lee, Dan Mintz, Jon Favreau, Stephen Broussard, Charles Newirth, Wenge Xiao, Louis D'Esposito</t>
  </si>
  <si>
    <t>Brian Tyler</t>
  </si>
  <si>
    <t>/qhPtAc1TKbMPqNvcdXSOn9Bn7hZ.jpg</t>
  </si>
  <si>
    <t>Thor: The Dark World</t>
  </si>
  <si>
    <t>tt1981115</t>
  </si>
  <si>
    <t>Thor fights to restore order across the cosmos‚Äö√Ñ¬∂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</si>
  <si>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Delve into the darkness.</t>
  </si>
  <si>
    <t>Action, Adventure, Fantasy</t>
  </si>
  <si>
    <t>Rene Russo, Tadanobu Asano, Jonathan Howard, Idris Elba, Chris Hemsworth, Connor Donaghey, Elsa Pataky, Ramone Morgan, Joe Cash, Stellan Skarsg‚àö‚Ä¢rd, Tom Hiddleston, Thomas Arnold, Alannah Olivia, Annabel Norbury, JD Roth-Round, Clive Russell, Kamay Lau, Abbie McCann, Natalie Portman, Alice Krige, Chris O'Dowd, Sophie Cosson, Benicio del Toro, Justin Edwards, Obada Alassadi, Ophelia Lovibond, Richard Wharton, Henry Calcutt, Kat Dennings, Ray Stevenson, Imaan Chentouf, Ava Caton, Jaimie Alexander, Gruffudd Glyn, Adewale Akinnuoye-Agbaje, Tony Curran, Royce Pierreson, Sam Swainsbury, Stan Lee, Christopher Eccleston, Zachary Levi, Richard Brake, Brett Tucker, Anthony Hopkins, Chris Evans, Talulah Riley, Claire Brown, Steve Scott</t>
  </si>
  <si>
    <t>Alan Taylor</t>
  </si>
  <si>
    <t>Kramer Morgenthau</t>
  </si>
  <si>
    <t>Larry Lieber, Stan Lee, Walt Simonson, Christopher L. Yost, Don Payne, Robert Rodat, Jack Kirby, Stephen McFeely, Christopher Markus</t>
  </si>
  <si>
    <t>Craig Kyle, Stan Lee, Kenneth Branagh, Louis D'Esposito, Alan Fine, Nigel Gostelow, Kevin Feige, Victoria Alonso</t>
  </si>
  <si>
    <t>/wp6OxE4poJ4G7c0U2ZIXasTSMR7.jpg</t>
  </si>
  <si>
    <t>Captain America: The Winter Soldier</t>
  </si>
  <si>
    <t>tt1843866</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</si>
  <si>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enemy‚Äö√Ñ√Æthe Winter Soldier.</t>
  </si>
  <si>
    <t>In heroes we trust.</t>
  </si>
  <si>
    <t>Sebastian Stan, Toby Jones, June Christopher, Maximiliano Hern‚àö¬∞ndez, Elizabeth Olsen, Christopher Markus, Alan Dale, Aaron Himelstein, Jeremy Maxwell, Brian Duffy, Chad Todhunter, Cobie Smulders, Callan Mulvey, Samuel L. Jackson, Wendy Hoopes, Michael Debeljak, Frank Grillo, Chin Han, Garry Shandling, Christopher George Sarris, Andy Martinez, Jr., Scarlett Johansson, Aaron Taylor-Johnson, Chris Evans, Jenny Agutter, Allan Chanes, Anne Grimenstein, Angela Russo-Otstot, Thomas Kretschmann, Danny Pudi, Henry Goodman, Ethan Rains, Joe Rosalina, Jody Hart, Dante Rosalina, Pat Healy, Jon Sklaroff, Charles Wittman, Zack Duhame, Georges St-Pierre, Eddie J. Fernandez, Robert Redford, Derek Hughes, Dean Barlage, James Lewis, Joel Thingvall, Stephen McFeely, Branka Kati∆í√°, Dominic Rains, Emerson Brooks, Anthony Mackie, Bernie Zilinskas, Evan Parke, Ann Russo, Gary Sinise, Abigail Marlowe, Stan Lee, Bernard White, Nestor Serrano, Adetokumboh M'Cormack, Emily VanCamp, Joe Russo, D.C. Pierson, Salvator Xuereb, Hayley Atwell, Ricardo Chacon, Steven Culp, Michael De Geus, Joss Whedon, Robert Clotworthy, Griffin M. Allen, Terence O'Rourke, Ed Brubaker</t>
  </si>
  <si>
    <t>Joe Russo, Anthony Russo</t>
  </si>
  <si>
    <t>Trent Opaloch</t>
  </si>
  <si>
    <t>Stephen McFeely, Joe Simon, Jack Kirby, Christopher Markus</t>
  </si>
  <si>
    <t>Stan Lee, Kevin Feige, Victoria Alonso, Michael Grillo, Louis D'Esposito, Alan Fine</t>
  </si>
  <si>
    <t>Henry Jackman</t>
  </si>
  <si>
    <t>/tVFRpFw3xTedgPGqxW0AOI8Qhh0.jpg</t>
  </si>
  <si>
    <t>Guardians of the Galaxy</t>
  </si>
  <si>
    <t>tt2015381</t>
  </si>
  <si>
    <t>Light years from Earth, 26 years after being abducted, Peter Quill finds himself the prime target of a manhunt after discovering an orb wanted by Ronan the Accuser.</t>
  </si>
  <si>
    <t>When things get bad, they'll do their worst.</t>
  </si>
  <si>
    <t>Christopher Fairbank, John C. Reilly, Sharif Atkins, Gregg Henry, Frank Gilhooley, Ronan Summers, Laura Haddock, Dave Bautista, Stan Lee, Alison Lintott, Solomon Mousley, Robert Firth, Brendan Fehr, Tomas Arana, Erica Melargo, Djimon Hounsou, Alexis Rodney, Isabella Poynton, Rachel Cullen, Mikaela Hoover, Tyler Bates, Krystian Godlewski, Ophelia Lovibond, Ene Frost, Melia Kreiling, Keeley Forsyth, Stephen Blackehart, Peter Serafinowicz, John Brotherton, Vin Diesel, Ralph Ineson, Rosie Jones, Wyatt Oleff, Nicole Alexandra Shipley, Marama Corlett, Bruce Mackinnon, Ekaterina Zalitko, Graham Shiels, James Gunn, Lloyd Kaufman, Douglas Robson, Imogen Poynton, Lee Pace, Spencer Wilding, Benicio del Toro, Emmett Scanlan, Nathan Fillion, Laura Ortiz, Max Wrottesley, Glenn Close, Jennifer Moylan-Taylor, Emily Redding, Sean Gunn, Abidemi Sobande, Bradley Cooper, David Yarovesky, Alexis Denisof, Rob Zombie, Miriam Lucia, Seth Green, Zoe Salda‚àö¬±a, Richard Katz, Tom Proctor, Dominic Grant, Nick Holmes, Naomi Ryan, Enzo Cilenti, Josh Brolin, Chris Pratt, Michael Rooker, Karen Gillan, Lindsay Morton, Jozef Aoki, Janis Ahern</t>
  </si>
  <si>
    <t>James Gunn</t>
  </si>
  <si>
    <t>Ben Davis</t>
  </si>
  <si>
    <t>Nicole Perlman, Andy Lanning, Dan Abnett, Steve Gan, Bill Mantlo, Jim Starlin, Steve Englehart, James Gunn, Keith Giffen, Val Mayerik, Steve Gerber</t>
  </si>
  <si>
    <t>Alan Fine, Jeremy Latcham, Kevin Feige, Nik Korda, Victoria Alonso, Stan Lee, Louis D'Esposito</t>
  </si>
  <si>
    <t>Tyler Bates</t>
  </si>
  <si>
    <t>/r7vmZjiyZw9rpJMQJdXpjgiCOk9.jpg</t>
  </si>
  <si>
    <t>Avengers: Age of Ultron</t>
  </si>
  <si>
    <t>tt2395427</t>
  </si>
  <si>
    <t>When Tony Stark tries to jumpstart a dormant peacekeeping program, things go awry and Earth‚Äö√Ñ√¥s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</si>
  <si>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A new age has come.</t>
  </si>
  <si>
    <t>Nondumiso Tembe, Idris Elba, Bentley Kalu, Andy Serkis, Linda Cardellini, Robert Downey Jr., Chris Hemsworth, James Spader, Aaron Taylor-Johnson, Isaac Andrews, Verity Hewlett, Chan Woo Lim, Riccardo Richetta, Gareth Kieran Jones, Namju Go, Earl T. Kim, Jaiden Stafford, Robert J. Fraser, Lou Ferrigno, Hayley Atwell, Brian Schaeffer, Dominique Provost-Chalkley, Samuel L. Jackson, Arthur Lee, Zakk Pierce, Julian Bleach, Don Cheadle, Stan Lee, Michael Matovski, Monty Mclaren-Clark, Tony Christian, Jeremy Renner, Harriet Lenabe, Mathapelo September, Minhee Yeo, Constanza Ruff, Lele Ledwaba, Elizabeth Olsen, Mina Kweon, Aaron Himelstein, Christopher Beasley, Beulah Hashe, Mandla Gaduka, Chioma Anyanwu, Paul Bettany, Kerry Condon, Cobie Smulders, Scarlett Johansson, Thomas Kretschmann, Kabelo Thai, Claudia Kim, Vuyo Dabula, Musca Kumalo, Antony Acheampong, Ben Sakamoto, Anthony Mackie, Imogen Poynton, Julie Delpy, Ian Kay, Isabella Poynton, Barry Aird, Chris Luca, Alma Noce, Chris Evans, Ingvild Deila, Henry Goodman, Josh Brolin, Stellan Skarsg‚àö‚Ä¢rd, Julia Krynke, Mark Ruffalo, Sunny Yeo</t>
  </si>
  <si>
    <t>Joss Whedon, Jim Starlin, Stan Lee, Jack Kirby, Joe Simon</t>
  </si>
  <si>
    <t>Kevin Feige, Louis D'Esposito, Jon Favreau, Jeremy Latcham, Alan Fine, Stan Lee, Patricia Whitcher, Victoria Alonso</t>
  </si>
  <si>
    <t>Danny Elfman, Brian Tyler</t>
  </si>
  <si>
    <t>/4ssDuvEDkSArWEdyBl2X5EHvYKU.jpg</t>
  </si>
  <si>
    <t>Ant-Man</t>
  </si>
  <si>
    <t>tt0478970</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</si>
  <si>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</si>
  <si>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Heroes don't get any bigger.</t>
  </si>
  <si>
    <t>Anthony Mackie, Chuck David Willis, David Dastmalchian, Reuben Langdon, Tom Kenny, Antal Kalik, Zamani Wilder, Judy Greer, Martin Donovan, Desmond Phillips, Sebastian Stan, Bobby Cannavale, Ajani Perkins, Hayley Lovitt, Abby Ryder Fortson, Adam Hart, Corey Stoll, Jean Louisa Kelly, Darcie Isabella Cottrell, Dax Griffin, Evangeline Lilly, Stan Lee, Robert Crayton, Erik Betts, T.I., Rus Blackwell, Carlos Aviles, Anna Akana, Hayley Gagner, Carol Anne Watts, Johnny Pemberton, Michael Jamorski, Teddy Williams, Diana Chiritescu, Nicholas Barrera, Michael Douglas, Michael Pe‚àö¬±a, Ricki Lander, Casey Pieretti, Kevin Buttimer, Neko Parham, Lyndsi LaRose, Joe Chrest, Wood Harris, Rick Avery, Jim R. Coleman, Garrett Morris, Aaron Saxton, Zack Duhame, Onira Tar‚àö¬©s, Hayley Atwell, Alex Chansky, Vanessa Ross, Michael Trisler, Kevin Lacz, Rod Hallett, Todd Schneider, Joe Bucaro III, Clay Donahue Fontenot, Raul Colon, Daniel Stevens, Gregg Turkington, Michael A. Cook, Danny Vasquez, Chris Evans, Kylen Davis, Paul Rudd, Jessejames Locorriere, John Slattery, Norma Alvarez</t>
  </si>
  <si>
    <t>Peyton Reed</t>
  </si>
  <si>
    <t>Russell Carpenter</t>
  </si>
  <si>
    <t>Adam McKay, Edgar Wright, Stan Lee, Jack Kirby, Larry Lieber, Joe Cornish, Paul Rudd</t>
  </si>
  <si>
    <t>Alan Fine, Victoria Alonso, Edgar Wright, Kevin Feige, Stan Lee, Michael Grillo, Louis D'Esposito</t>
  </si>
  <si>
    <t>Christophe Beck</t>
  </si>
  <si>
    <t>/rQRnQfUl3kfp78nCWq8Ks04vnq1.jpg</t>
  </si>
  <si>
    <t>Captain America: Civil War</t>
  </si>
  <si>
    <t>tt3498820</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</si>
  <si>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</si>
  <si>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United we stand. Divided we fall.</t>
  </si>
  <si>
    <t>Rom‚àö¬¢n∆í√â, English, Deutsch, P‚Äî√â‚Äî√Ö‚Äî√Ö‚Äì‚à´‚Äì‚àè‚ÄìœÄ</t>
  </si>
  <si>
    <t>Sebastian Stan, Elizabeth Olsen, Jeremy Renner, Frank Grillo, Aaron Toney, Ashwin Mudaliar, Julianna Guill, Chase Bradfield, Aaron Hayes, Amiri Jones, Florence Kasumba, Cornell John, Austin Hooper, Jessica Walther-Gabory, Stanley Sellers, Jacob Ludwick, Chadwick Boseman, Jacob Sung, Austin Sanders, Beniamino Brogi, Parker Pape, Umar Khan, Kevin LaRosa Jr., Darryl Sampson, Evan Ffrench, Kevin Christenson, Daniel Br‚àö¬∫hl, Rafael Banasik, Blair Jasin, Chris Jai Alex, Daniel Parada, Silvina Buchbauer, Jariah Ferguson, Robert Downey Jr., Ray Sahetapy, Oliver Bigalke, Ralphael Grand'Pierre, Surely Alvelo, Justin Freeman, Ethan Condon, Kerry Condon, Ernest Charles, Michael Anthony Rogers, Tom Holland, Martin Freeman, Emily VanCamp, Don Cheadle, Amelia Morck, Marisa Tomei, William Hurt, Miles Selles, Laughton Parchment, David de Vries, Sophia Russo, Katie Amess, Scarlett Johansson, Heidi Moneymaker, Scott Hunter, Chris Evans, Jim Rash, Kimberly Hester Huffstetler, John Curran, Jonah Ruffin, Matthew Anderson, Paul Rudd, David E. Brown, Eli Ollinger, Stephen Lewis, Hope Davis, Guy Fernandez, Caden Wilkinson, Shen Dynes, John Kani, Brian Schaeffer, Brett Gentile, Michael A. Cook, Ann Russo, Anthony Mackie, Yi Long, Cameron Sardone, Joshua Peck, Myles Joseph, D'Mahrei McRae, Hendricks Coates, Jackson Spidell, Be Satrazemis, Henry Amadi, John Slattery, Fr‚àö¬©d‚àö¬©ric North, Andrew Botchwey, Paul Bettany, Sven H‚àö‚àÇnig, Al Cerullo, Jin Shijia, Cale Schultz, Brent McGee, Alfre Woodard, Damion Poitier, Stan Lee, Gene Farber, Ugochukwu Ani, Nathaniel Ellis, Joe Russo, Julian Grimes</t>
  </si>
  <si>
    <t>Stan Lee, Patricia Whitcher, Kevin Feige, Victoria Alonso, Nate Moore, Louis D'Esposito, Alan Fine</t>
  </si>
  <si>
    <t>/rAGiXaUfPzY7CDEyNKUofk3Kw2e.jpg</t>
  </si>
  <si>
    <t>Doctor Strange</t>
  </si>
  <si>
    <t>tt1211837</t>
  </si>
  <si>
    <t>After his career is destroyed, a brilliant but arrogant surgeon gets a new lease on life when a sorcerer takes him under her wing and trains him to defend the world against evil.</t>
  </si>
  <si>
    <t>The impossibilities are endless.</t>
  </si>
  <si>
    <t>Fantasy, Adventure, Action</t>
  </si>
  <si>
    <t>Alaa Safi, Kobna Holdbrook-Smith, Umit Ulgen, Tilda Swinton, Eben Young, Benedict Cumberbatch, Chris Hemsworth, Benedict Wong, Mads Mikkelsen, Michael Stuhlbarg, Clem So, Ezra Faroque Khan, Juani Feliz, Zara Phythian, Amy Landecker, Sarah Malin, Daniel Dow, Linda Louise Duan, Stan Lee, Kimberly Van Luin, Tamika Katon-Donegal, Guillaume Faure, Elizabeth Healey, Raj Awasti, Daniel Eghan, Kei Miura, Chiwetel Ejiofor, Meera Syal, Pezh Maan, Rachel McAdams, Scott Adkins, Pat Kiernan, Samantha Russell, Topo Wresniwiro, Emeson Nwolie, Mo Idriss, Adam Pelta-Pauls, Cameron Moon, Jill Buchanan, Katrina Durden, Mark Anthony Brighton, Benjamin Bratt</t>
  </si>
  <si>
    <t>Scott Derrickson</t>
  </si>
  <si>
    <t>Steve Ditko, Jon Spaihts, Scott Derrickson, Stan Lee, C. Robert Cargill</t>
  </si>
  <si>
    <t>Kevin Feige, Stephen Broussard, Louis D'Esposito, Charles Newirth, Alan Fine, Stan Lee, Victoria Alonso</t>
  </si>
  <si>
    <t>Michael Giacchino</t>
  </si>
  <si>
    <t>/xf8PbyQcR5ucXErmZNzdKR0s8ya.jpg</t>
  </si>
  <si>
    <t>Guardians of the Galaxy Vol. 2</t>
  </si>
  <si>
    <t>tt3896198</t>
  </si>
  <si>
    <t>The Guardians must fight to keep their newfound family together as they unravel the mysteries of Peter Quill's true parentage.</t>
  </si>
  <si>
    <t>Anyone can save the galaxy once.</t>
  </si>
  <si>
    <t>Science Fiction, Adventure, Action</t>
  </si>
  <si>
    <t>Elizabeth Debicki, Terence Rosemore, Mac Wells, Elizabeth Faith Ludlow, Sean Gunn, Guillermo Rodriguez, Alex Klein, Jeff Goldblum, Sylvester Stallone, Luke Cook, Hilty Bowen, Michael Rosenbaum, Gregg Henry, Blondy Baruti, Dave Bautista, Ving Rhames, Chris Pratt, Stan Lee, Pom Klementieff, Bradley Cooper, Mike Escamilla, Alphonso A'Qen-Aten Jackson, Chris Sullivan, Sierra Love, Zoe Salda‚àö¬±a, Laura Haddock, Stephen Blackehart, Rhoda Griffis, Wyatt Oleff, Kendra Carelli, Steve Agee, Hannah Gottesman, Miley Cyrus, Aaron Schwartz, Michelle Yeoh, Nea Dune, Jimmy Urine, Joe Fria, Molly C. Quinn, Josh Tipis, Fred Galle, Milynn Sarley, Karen Gillan, Ben Browder, Evan Jones, David Hasselhoff, Kelly Richardson, Jim Gunn Sr., Richard Christy, Tommy Flanagan, Leota Gunn, Damita Jane Howard, Seth Green, Rob Zombie, Michael Rooker, Jason Williams, Donny Carrington, Kurt Russell, Vin Diesel</t>
  </si>
  <si>
    <t>Henry Braham</t>
  </si>
  <si>
    <t>James Gunn, Dan Abnett, Larry Lieber, Andy Lanning, Val Mayerik, Steve Gerber, Bill Mantlo, Steve Englehart, Jim Starlin, Stan Lee, Jack Kirby, Keith Giffen, Steve Gan</t>
  </si>
  <si>
    <t>Kevin Feige, Louis D'Esposito, Nik Korda, Stan Lee, Jonathan Schwartz, Victoria Alonso</t>
  </si>
  <si>
    <t>/y4MBh0EjBlMuOzv9axM4qJlmhzz.jpg</t>
  </si>
  <si>
    <t>Spider-Man: Homecoming</t>
  </si>
  <si>
    <t>tt2250912</t>
  </si>
  <si>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</si>
  <si>
    <t>Homework can wait. The city can't.</t>
  </si>
  <si>
    <t>Marvel Studios, Pascal Pictures, LStar Capital, Columbia Pictures</t>
  </si>
  <si>
    <t>Jennifer Connelly, Michael Keaton, Nitin Nohria, John Penick, Kirk R. Thatcher, Doug Scroggins III, Robert Downey Jr., Hannibal Buress, Gina Cordan, Tyne Daly, Manuel LAMBERT, Tiffany Espensen, Bob Adrian, Kevin LaRosa Jr., Logan Marshall-Green, Tom Holland, Miles Mussenden, Kerry Condon, Joe Hang, Christopher Berry, Ren Colley, Zendaya, Chris Adams, Chris Evans, Ari Groover, Marisa Tomei, Donald Glover, Melissa Kay Glaze, Josh Turner, Tunde Adebimpe, Wayne P‚àö¬©re, Rebeca Donovan, Hemky Madera, Jennifer Kim, Marmee Regine Cosico, Martin Starr, Gary Weeks, Ethan Dizon, Michael Mando, Elli, Laura Harrier, Louis Gonzalez, Garcelle Beauvais, Maiya Boyd, Cassidy Alexandra Kahler, Selenis Leyva, Andy Powers, Harrison Osterfield, Jaine Ye, Omar Capra, Chris Silcox, Angourie Rice, Wesley Kuykendoll, Stan Lee, Jacob Batalon, Hallie Ricardo, Nickolas Wolf, Michael Barbieri, Josie Totah, Tony Revolori, Friday Chamberlain, Clam Sepulveda, Donald K. Overstreet, Gwyneth Paltrow, Zach Cherry, Liza Fagin, Martha Kelly, Sondra James, Vince Foster, Brian Schaeffer, Gary Richardson, Yu Lew, Alexa Laraki, Amy Hill, Stewart Steinberg, Isabella Amara, Abraham Attah, Jon Favreau, Jorge Lendeborg Jr., Kenneth Choi, Dante Brattelli, Bokeem Woodbine, Michael Chernus</t>
  </si>
  <si>
    <t>Jon Watts</t>
  </si>
  <si>
    <t>Salvatore Totino</t>
  </si>
  <si>
    <t>Jon Watts, Joe Simon, Steve Ditko, Jonathan Goldstein, Chris McKenna, Erik Sommers, Andrea Datzman, Christopher Ford, Stan Lee, John Francis Daley, Jack Kirby</t>
  </si>
  <si>
    <t>Matt Tolmach, Louis D'Esposito, Amy Pascal, Victoria Alonso, Avi Arad, Patricia Whitcher, Jeremy Latcham, Kevin Feige, Stan Lee</t>
  </si>
  <si>
    <t>/c24sv2weTHPsmDa7jEMN0m2P3RT.jpg</t>
  </si>
  <si>
    <t>Thor: Ragnarok</t>
  </si>
  <si>
    <t>tt3501632</t>
  </si>
  <si>
    <t>Thor is imprisoned on the other side of the universe and finds himself in a race against time to get back to Asgard to stop Ragnarok, the destruction of his home-world and the end of Asgardian civilization, at the hands of a powerful new threat, the ruthless Hela.</t>
  </si>
  <si>
    <t>No hammer. No problem.</t>
  </si>
  <si>
    <t>Amali Golden, Sol Castanho, Taika Waititi, Katie Anderson, Clancy Brown, Charlotte Nicdao, Zachary Levi, Rachel House, Connor Zegenhagen, Tessa Thompson, Sky Castanho, Shari Sebbens, Greta Carew-Johns, Winnie Mzembe, Sam Neill, Chris Hemsworth, Ray Stevenson, Benedict Cumberbatch, Alia Seror-O'Neill, Idris Elba, Jet Tranter, Anthony Hopkins, Cohen Holloway, Mark Ruffalo, Sam Hargrave, Tom Hiddleston, Donnie Baxter, Garreth Hadfield, Shalom Brune-Franklin, Jeff Goldblum, Samantha Hopper, Matt Damon, Sean Edward Frazer, Taylor Hemsworth, Beatrice Ward, Jasper Bagg, Richard Green, Tracey Lee Maxwell, Eloise Winestock, Tahlia Jade, Tracie Filmer, Sophia Laryea, Hamish Parkinson, Cate Blanchett, Luke Hemsworth, Georgia Blizzard, Sophia McGregor, Mollie McGregor, Ash Ricardo, Stan Lee, Braden Lewis, Tadanobu Asano, Rob Mayes, Steven Oliver, Karl Urban</t>
  </si>
  <si>
    <t>Taika Waititi</t>
  </si>
  <si>
    <t>Javier Aguirresarobe</t>
  </si>
  <si>
    <t>Christopher L. Yost, Stan Lee, Jack Kirby, Eric Pearson, Craig Kyle, Larry Lieber</t>
  </si>
  <si>
    <t>Stan Lee, Kevin Feige, Thomas M. Hammel, Victoria Alonso, Brad Winderbaum, Louis D'Esposito</t>
  </si>
  <si>
    <t>Mark Mothersbaugh</t>
  </si>
  <si>
    <t>/rzRwTcFvttcN1ZpX2xv4j3tSdJu.jpg</t>
  </si>
  <si>
    <t>Black Panther</t>
  </si>
  <si>
    <t>tt1825683</t>
  </si>
  <si>
    <t>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t>
  </si>
  <si>
    <t>Long live the king.</t>
  </si>
  <si>
    <t xml:space="preserve">English, √å√Ø√∫√ç¬µ‚â†√è√±¬•/√è¬∞‚àû√è√ë‚Ä†√é√ü√™, Kiswahili, </t>
  </si>
  <si>
    <t>Daniel Kaluuya, Florence Kasumba, Nabiyah Be, Tony Sears, Zola Williams, David S. Lee, Liz Elkins Newcomer, Janeshia Adams-Ginyard, T. Love, Connie Chiume, Alexis Rhee, Roland Kilumbu, Vaughndio Forbes, Chad Crumley, Forest Whitaker, Dorothy Steel, Maria Hippolyte, Isaach de Bankol‚àö¬©, Lupita Nyong'o, Jeremy Sample, Denzel Whitaker, J‚àö¬©nel Stevens, Sydelle Noel, Clifford Gay, Angela Bassett, John Kani, Tyler Timmons, Andy Serkis, Stan Lee, Atandwa Kani, Shamel Heath, Jermaine Holt, Lucy Hockings, Mark Ashworth, Sope Aluko, Winston Duke, Marija Abney, Christine Hollingsworth, Ashton Tyler, Alex R. Hibbert, Tristan Timmons, Zenzi Williams, Danny Chung, Marie Mouroum, Abraham Clinkscales, Bambadjan Bamba, Thabo Moropane, Francesca Faridany, Martin Freeman, De'Jon Watts, Chadwick Boseman, Dominique Elijah Smith, Shaunette Ren‚àö¬©e Wilson, Alexis Louder, Sterling K. Brown, Michael B. Jordan, Sasha Morfaw, Zani Mogodi, Danai Gurira, Sebastian Stan, Jalil Jay Lynch, Letitia Wright, Trevor Noah, Alex C. Riley Hughes, Danny Sapani, Seth Carr</t>
  </si>
  <si>
    <t>Ryan Coogler</t>
  </si>
  <si>
    <t>Rachel Morrison</t>
  </si>
  <si>
    <t>Simeon Wilkins, Joe Robert Cole, Jack Kirby, Ryan Coogler, Stan Lee</t>
  </si>
  <si>
    <t>Nate Moore, Victoria Alonso, Jeffrey Chernov, Kevin Feige, Stan Lee, Louis D'Esposito</t>
  </si>
  <si>
    <t>Ludwig G‚àö‚àÇransson</t>
  </si>
  <si>
    <t>/uxzzxijgPIY7slzFvMotPv8wjKA.jpg</t>
  </si>
  <si>
    <t>Avengers: Infinity War</t>
  </si>
  <si>
    <t>tt4154756</t>
  </si>
  <si>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</si>
  <si>
    <t>Destiny arrives all the same.</t>
  </si>
  <si>
    <t xml:space="preserve">English, </t>
  </si>
  <si>
    <t>Michael Anthony Rogers, Blair Jasin, Matthew Zuk, Bobby James, Dave Bautista, Stan Lee, Carrie Coon, Tiffany Espensen, Chris Evans, Chris Hemsworth, Don Cheadle, Marija Abney, Florence Kasumba, Robert Tinsley, Olaniyan Thurmon, Tom Hiddleston, Stephen McFeely, James Siderits, Jacob Batalon, Precious Jenkins, Winston Duke, Tom Holland, Aaron Lazar, Mark Ruffalo, Elizabeth Olsen, Zola Williams, Vin Diesel, Robert Downey Jr., William Hurt, Laura Miller, Danai Gurira, Monique Ganderton, Idris Elba, Pom Klementieff, Paul Bettany, Scarlett Johansson, Tom Vaughan-Lawlor, Cobie Smulders, Ethan Dizon, Letitia Wright, Marie Mouroum, Isabella Amara, Robert Pralgo, Peter Dinklage, Benicio del Toro, Gary Peebles, Lady Cardinal, Sean Gunn, Tanya Wheelock, Bradley Cooper, Sebastian Stan, Gwyneth Paltrow, Chadwick Boseman, Zoe Salda‚àö¬±a, Michael James Shaw, Josh Brolin, Kerry Condon, Ariana Greenblatt, Ross Marquand, Anthony Mackie, Terry Notary, Ameenah Kaplan, Benedict Cumberbatch, Chris Pratt, Kenneth Branagh, Karen Gillan, Harrison Osterfield, Samuel L. Jackson, Benedict Wong</t>
  </si>
  <si>
    <t>Anthony Russo, Joe Russo</t>
  </si>
  <si>
    <t>Christopher Markus, Steve Gan, Larry Lieber, Bill Mantlo, Stan Lee, Jim Starlin, Steve Englehart, Joe Simon, Keith Giffen, Jack Kirby, Don Heck, Stephen McFeely</t>
  </si>
  <si>
    <t>Alan Fine, Kevin Feige, Victoria Alonso, Jon Favreau, Stan Lee, Trinh Tran, Louis D'Esposito, James Gunn</t>
  </si>
  <si>
    <t>/7WsyChQLEftFiDOVTGkv3hFpyyt.jpg</t>
  </si>
  <si>
    <t>Ant-Man and the Wasp</t>
  </si>
  <si>
    <t>tt5095030</t>
  </si>
  <si>
    <t>Just when his time under house arrest is about to end, Scott Lang once again puts his freedom at risk to help Hope van Dyne and Dr. Hank Pym dive into the quantum realm and try to accomplish, against time and any chance of success, a very dangerous rescue mission.</t>
  </si>
  <si>
    <t>Real heroes. Not actual size.</t>
  </si>
  <si>
    <t>Michelle Pfeiffer, Seth McCracken, James Siderits, T.I., Sergio Briones, Walton Goggins, Mika Kubo, John Ozuna, Reggie Aqui, Brian Huskey, Simon Potter, Michael Douglas, Riann Steele, Jessica Winther, Torrey Vogel, Tom Scharpling, Steven Wiig, Dale Liner, Corey Seaver, Benjamin Weaver, Rob Archer, Judy Greer, Randall Park, Hayley Lovitt, Evangeline Lilly, Charles Justo, Norwood Cheek, Julia Vera, Natasha Zouves, Sophia Marcs, Tim Heidecker, Jamel Chambers, Dax Griffin, Sandra Dee Richardson, Bryan Lugo, Suehyla El-Attar Young, Kevin Carscallen, William W. Barbour, David Dastmalchian, Jake Hanson, Jessica Castro, Alexis Smith, Timothy Carr, Benjamin Byron Davis, Goran Kosti∆í√°, Ana Maria Quintana, Paul Rudd, Vanessa Ross, Michael Cerveris, Langston Fishburne, Blake Vogt, Sean Kleier, Denney Pierce, Bobby Cannavale, Jennifer Black, Marcella Bragio, Laurence Fishburne, Tahseen Ghauri, Abby Ryder Fortson, RaeLynn Bratten, Stan Lee, Mike Nicco, Hannah John-Kamen, Chris Gann, Divian Ladwa, Virginia Hamilton, Rick Richardson, Darcy Shean, Sawyer D. Jones, Madeleine McGraw, Andy Arness, Joshua Mikel, Michael Pe‚àö¬±a, Zachary Culbertson, Tanya Wheelock, Jon Wurster</t>
  </si>
  <si>
    <t>Dante Spinotti</t>
  </si>
  <si>
    <t>Andrew Barrer, Stan Lee, Jack Kirby, Chris McKenna, Larry Lieber, Paul Rudd, Erik Sommers, Gabriel Ferrari</t>
  </si>
  <si>
    <t>Victoria Alonso, Stan Lee, Louis D'Esposito, Kevin Feige, Stephen Broussard, Charles Newirth</t>
  </si>
  <si>
    <t>/cFQEO687n1K6umXbInzocxcnAQz.jpg</t>
  </si>
  <si>
    <t>Captain Marvel</t>
  </si>
  <si>
    <t>tt4154664</t>
  </si>
  <si>
    <t>The story follows Carol Danvers as she becomes one of the universe‚Äö√Ñ√¥s most powerful heroes when Earth is caught in the middle of a galactic war between two alien races. Set in the 1990s, Captain Marvel is an all-new adventure from a previously unseen period in the history of the Marvel Cinematic Universe.</t>
  </si>
  <si>
    <t>Higher. Further. Faster.</t>
  </si>
  <si>
    <t>Vinny O'Brien, Nelson Franklin, Duane Henry, Ana Ayora, Lashana Lynch, Marilyn Brett, Azari Akbar, Kenneth Mitchell, Matthew Bellows, Harriet L. Ophuls, Stephen A. Chang, Pete Ploszek, Mark Daugherty, Brie Larson, Djimon Hounsou, Gemma Chan, Jude Law, Abigaille Ozrey, Sharon Blynn, Scarlett Johansson, Diana Toshiko, Kelly Sue DeConnick, Chuku Modu, Richard Zeringue, Mckenna Grace, Mark Ruffalo, Emily Ozrey, Stan Lee, Stephen 'Cajun' Del Bagno, Ben Mendelsohn, Patrick Gallagher, Barry Curtis, Matthew 'Spider' Kimmel, Akira Akbar, London Fuller, Lyonetta Flowers, Vik Sahay, Patrick Brennan, Anthony Molinari, Rune Temte, Matthew Maher, Auden L. Ophuls, Robert Kazinsky, Colin Ford, Don Cheadle, Lee Pace, Samuel L. Jackson, Joey Courteau, Clark Gregg, Chris Evans, Algenis Perez Soto, Annette Bening, Rufus Flowers</t>
  </si>
  <si>
    <t>Anna Boden, Ryan Fleck</t>
  </si>
  <si>
    <t>Meg LeFauve, Nicole Perlman, Anna Boden, Geneva Robertson-Dworet, Jack Kirby, Joe Simon, Ryan Fleck</t>
  </si>
  <si>
    <t>Victoria Alonso, Kevin Feige, Jonathan Schwartz, Stan Lee, Patricia Whitcher, Louis D'Esposito</t>
  </si>
  <si>
    <t>Pinar Toprak</t>
  </si>
  <si>
    <t>/AtsgWhDnHTq68L0lLsUrCnM7TjG.jpg</t>
  </si>
  <si>
    <t>Avengers: Endgame</t>
  </si>
  <si>
    <t>tt4154796</t>
  </si>
  <si>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</si>
  <si>
    <t>Avenge the fallen.</t>
  </si>
  <si>
    <t>Adventure, Science Fiction, Action</t>
  </si>
  <si>
    <t xml:space="preserve">English, √ä√≥‚Ä¢√ä√∫¬®√ã‚Ñ¢√ª, </t>
  </si>
  <si>
    <t>Dave Bautista, Chris Evans, Marisa Tomei, Tom Hiddleston, Mark Ruffalo, Elizabeth Olsen, Taika Waititi, Michael A. Cook, John Posey, Robert Downey Jr., John Slattery, Tessa Thompson, Cobie Smulders, Scarlett Johansson, Robert Pralgo, James D'Arcy, Bradley Cooper, Erica Ribley, Agostino Rosalina, Lee Moore, James Lin, Josh Brolin, Emma Fuhrmann, Terry Notary, Ken Jeong, Chris Pratt, Angela Bassett, Yvette Nicole Brown, Jimmy Ray Pickens, Stan Lee, Jamie Wedel, Olaniyan Thurmon, Donald Mustard, Michael Douglas, Lia Mariella Russo, Tilda Swinton, Natalie Portman, Matthew Berry, Taylor Patterson, Paul Rudd, Letitia Wright, Robert Redford, Ty Simpkins, Rene Russo, Sebastian Stan, Gwyneth Paltrow, Chadwick Boseman, Michael James Shaw, Jennifer Elmore, Karen Gillan, Samuel L. Jackson, Benedict Wong, Brian Schaeffer, Joe Russo, Jeremy Renner, Hayley Atwell, Robert Tinsley, Callan Mulvey, Ben Sakamoto, Loen LeClair, Maximiliano Hern‚àö¬∞ndez, Hye Jin Jang, Tom Holland, Aaron Lazar, Vin Diesel, William Hurt, Danai Gurira, Monique Ganderton, Mike Lutz, Linda Cardellini, John Michael Morris, Patrick Gorman, Lexi Rabe, Sean Gunn, Julian Russo, Ross Marquand, Joy McAvoy, Anthony Mackie, Jack Champion, Benedict Cumberbatch, Cade Woodward, Jackson A. Dunn, Chris Hemsworth, Don Cheadle, Frank Grillo, Bazlo LeClair, Anthony G Breed, Sam Hargrave, Jacob Batalon, Brent McGee, Winston Duke, Hiroyuki Sanada, Michelle Pfeiffer, Jim Starlin, Tom Wisdom, Pom Klementieff, Tom Vaughan-Lawlor, Jon Favreau, Evangeline Lilly, Brie Larson, Ava Russo, Zoe Salda‚àö¬±a, Kerry Condon, Ameenah Kaplan, Russell Bobbitt</t>
  </si>
  <si>
    <t>Christopher Markus, Steve Gan, Larry Lieber, Stan Lee, Bill Mantlo, Jim Starlin, Steve Englehart, Keith Giffen, Joe Simon, Jack Kirby, Don Heck, Stephen McFeely</t>
  </si>
  <si>
    <t>Kevin Feige, Victoria Alonso, Jon Favreau, Stan Lee, Michael Grillo, Trinh Tran, Louis D'Esposito, James Gunn</t>
  </si>
  <si>
    <t>/bR8ISy1O9XQxqiy0fQFw2BX72RQ.jpg</t>
  </si>
  <si>
    <t>Spider-Man: Far From Home</t>
  </si>
  <si>
    <t>tt6320628</t>
  </si>
  <si>
    <t>Peter Parker and his friends go on a summer trip to Europe. However, they will hardly be able to rest - Peter will have to agree to help Nick Fury uncover the mystery of creatures that cause natural disasters and destruction throughout the continent.</t>
  </si>
  <si>
    <t>It‚Äö√Ñ√¥s time to step up.</t>
  </si>
  <si>
    <t>Marvel Studios, Pascal Pictures, Columbia Pictures</t>
  </si>
  <si>
    <t>∆í√•esk‚àöŒ©, Nederlands, English, Deutsch, Italiano</t>
  </si>
  <si>
    <t>Hiten Patel, Clare Dunne, Kristen Alminta, H‚àö¬©l‚àö¬Æne Cardona, Jaylen Davis, Dawn Michelle King, Davina Sitaram, Zach Barack, Roman Ibragimov, Charlie Esqu‚àö¬©r, Michael de Roos, Joakim Skarli, Anjana Vasan, Giuseppe Andriolo, Remy Hii, Mari Alexandrova, Joshua Sinclair-Evans, Chris Hyacinthe, Samuel L. Jackson, Camille Kinloch, Karen-J Sear, Tom Holland, Kimberly Collison, Tyler Luke Cunningham, Luigi Boccanfuso, Vincent Angel, Jessica VanOss, Brian Law, Maurice Sardison, Sokol Cahani, Zendaya, Meagan Holder, Gavin Lee Lewis, Peter Arpesella, Michael Hennessy, Peter Billingsley, Lucas Antoine Starrets, Nicholas Gleaves, Emily Ng, Marisa Tomei, Peter Bankol‚àö¬©, Toni Garrn, Vincent Frattini, Numan Acar, Graham Burton, Sergio Pierattini, Annie Pisapia, G‚àö¬©raldine Lamarre, Amanda Musso, Anton‚àö‚â†n Ma‚âà¬∞ek, Jivan Xander Ramesh, Nicholle Hembra, Faith Tarby, Sean Coleman, Andrew Dunkelberger, Jo Wheatley, Sofia Renee, Martin Starr, Luigi Petrazzuolo, Kristianne-Kaith Domingo, Keon Kendrick, Kat Leroy, Michael Iacono, J.K. Simmons, Lasco Atkins, Cailan Robinson, Joe David Walters, Timothy Christian Jansen, Evelyn Mok, Daniel Olson, Paolo Braghetto, Sitara Attaie, Rich Lawton, Bruno Bilotta, Ruth Clarson, Dian Cathal, Patrick Loh, Brendan Murphy, Yasmin Mwanza, Hannah Kurczeski, Jake Cerny, Aristou Meehan, Ken Byrd, Tiziana Coste, Victoria Coburn, Samantha Mishinski, Ketan Majmudar, Patrick Doran, Cobie Smulders, Thomas Goodridge, Tony Mardon, Sebasti‚àö¬∞n Viveros, Daniel Ryves, Ben Mendelsohn, Anthony Molinari, Blair Barnette, Giada Benedetti, Rocco Wu, Angourie Rice, Jake Gyllenhaal, Massi Furlan, Melissa Beth Miller, Michal Kubal, Alessandro Giuggioli, Cynthia Garbutt, Pat Kiernan, Ria Fend, Ilya Tank Shilov, Lesdy Vanessa, Tony Revolori, Jan-Paul Buijs, JB Smoove, Luk‚àö¬∞‚âà¬∞ Bech, Zoha Rahman, Anna Benamati, Joseph Long, Ray Rosario, Jimena Larraguivel, Emily Tebbutt, Tatiana Lunardon, Ferroz Fernandez, Sam Chuck, Claire Rushbrook, Sonia Goswami, Mike Ray, Petr Opava, Bradley Wj Miller, Adrian Mozzi, Sharon Blynn, Shari Abdul, Jon Favreau, Tuwaine Barrett, Daphne Cheung, Jorge Lendeborg Jr., Aleksandrs Petukhovs, Theo Ip, Dante Brattelli, Jacob Batalon, Jeroen van Koningsbrugge, Darren Lee Campbell</t>
  </si>
  <si>
    <t>Matthew J. Lloyd</t>
  </si>
  <si>
    <t>Joe Simon, Steve Ditko, Chris McKenna, Erik Sommers, Stan Lee, Jack Kirby</t>
  </si>
  <si>
    <t>Matt Tolmach, Louis D'Esposito, Rachel O'Connor, Amy Pascal, Eric Hauserman Carroll, Victoria Alonso, Avi Arad, Stan Lee, Kevin Feige, Thomas M. Hammel</t>
  </si>
  <si>
    <t>/4q2NNj4S5dG2RLF9CpXsej7yXl.jpg</t>
  </si>
  <si>
    <t>Black Widow</t>
  </si>
  <si>
    <t>tt3480822</t>
  </si>
  <si>
    <t>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</si>
  <si>
    <t>Her world. Her secrets. Her legacy.</t>
  </si>
  <si>
    <t>English, P‚Äî√â‚Äî√Ö‚Äî√Ö‚Äì‚à´‚Äì‚àè‚ÄìœÄ</t>
  </si>
  <si>
    <t>Cali Nelle, Valentina Herrera, Fiona Griffiths, C.C. Smiff, Judit Varga-Szathmary, Scarlett Johansson, Liani Samuel, Nanna Blondell, Dawid Szatarski, Robert Pralgo, Shawarah Battles, Shaina West, Dale Liner, Martin Razpopov, Andrew Byron, Nina Novich, Lewis Young, Jordyn Curet, Olga Kurylenko, Jade Ma, Claudia Heinz, Lucy Cork, Marcel Dorian, O-T Fagbenle, Danielle Jalade, Lucy-Jayne Murray, Violet McGraw, Ed Ashe, Jade Xu, Tabby Bond, Geoffrey D. Williams, Julia Louis-Dreyfus, Rob Horrocks, Rachel Weisz, Joakim Skarli, Lauren Okadigbo, Caister Myung Choi, Simona Zivkovska, Luigi Boccanfuso, Yuuki Luna, Paul O'Kelly, Ione Butler, Obie Matthew, Erin Jameson, Fatou Bah, Jeremy Renner, David Harbour, Ty Hurley, Liran Nathan, Madeleine Nicholls, Zolt‚àö¬∞n Nagy, William Hurt, Florence Pugh, Sophie Colgrove, Kurt Yue, Josh Henry, Aubrey Cleland, Ray Winstone, Aria Brooks, Ever Anderson, Clem So, Eniko Fulop, Yasmin Riley, Jose Miguel Vasquez, Aur‚àö¬©lia Agel, Zhan‚àö¬Æ Samuels, Noel Krisztian Kozak, Ryan Kiera Armstrong, Oliver Simms, Kalina Vanska, Jacinte Blankenship, Yolanda Lynes, Georgia Curtis, Douglas Robson, Olivier Richters, Stephen Samson, Graham Kitchen, Gavin Lee Lewis, Michelle Lee, Ian Wilson</t>
  </si>
  <si>
    <t>Cate Shortland</t>
  </si>
  <si>
    <t>Gabriel Beristain</t>
  </si>
  <si>
    <t>Jac Schaeffer, Ned Benson, Eric Pearson</t>
  </si>
  <si>
    <t>Scarlett Johansson, Kevin Feige, Victoria Alonso, Brad Winderbaum, Louis D'Esposito</t>
  </si>
  <si>
    <t>Lorne Balfe</t>
  </si>
  <si>
    <t>/7JPpIjhD2V0sKyFvhB9khUMa30d.jpg</t>
  </si>
  <si>
    <t>Shang-Chi and the Legend of the Ten Rings</t>
  </si>
  <si>
    <t>tt9376612</t>
  </si>
  <si>
    <t>Shang-Chi must confront the past he thought he left behind when he is drawn into the web of the mysterious Ten Rings organization.</t>
  </si>
  <si>
    <t>You can't outrun your destiny.</t>
  </si>
  <si>
    <t>English, √ä√¥√Ü√à√Ñ√∂√ã√ò√π</t>
  </si>
  <si>
    <t>Awkwafina, Simu Liu, Dee Bradley Baker, Tsai Chin, Stella Ye, Lydia Sarks, Jodi Long, Jayden Tianyi Zhang, Stephanie Hsu, Fala Chen, Johnny Carr, Elodie Fong, Michelle Yeoh, Benjamin Wang, Tim Roth, Bingchen Ye, Raymond Ma, Michael-Anthony Taylor, Jade Xu, Louis Abdilla, Arnold Sun, Shelley Xu, Zhang Chongwei, David Chea, Dallas Liu, Tony Leung Chiu-wai, John Harding, Florian Munteanu, Thau Shen Lim, Zhou Yeye, Mark Ruffalo, Lynette Curran, Ben Kingsley, Alistair Bates, Brie Larson, Lau Ga-Yung, Ronny Chieng, Daniel Liu, Andy Le, Kunal Dudheker, Harmonie He, Fernando Chien, Yuen Wah, Paul He, Zach Cherry, Benedict Wong, Meng'er Zhang</t>
  </si>
  <si>
    <t>Destin Daniel Cretton</t>
  </si>
  <si>
    <t>Bill Pope</t>
  </si>
  <si>
    <t>Steve Englehart, Jim Starlin, Andrew Lanham, David Callaham, Destin Daniel Cretton</t>
  </si>
  <si>
    <t>Jonathan Schwartz, Victoria Alonso, Kevin Feige, Charles Newirth, Louis D'Esposito</t>
  </si>
  <si>
    <t>Joel P. West</t>
  </si>
  <si>
    <t>/d08HqqeBQSwN8i8MEvpsZ8Cb438.jpg</t>
  </si>
  <si>
    <t>Eternals</t>
  </si>
  <si>
    <t>tt9032400</t>
  </si>
  <si>
    <t>The Eternals are a team of ancient aliens who have been living on Earth in secret for thousands of years. When an unexpected tragedy forces them out of the shadows, they are forced to reunite against mankind‚Äö√Ñ√¥s most ancient enemy, the Deviants.</t>
  </si>
  <si>
    <t>In the beginning...</t>
  </si>
  <si>
    <t>√ø√ü≈∏√ë√øœÄ√ø¬±√ø¬Æ≈∏√§√ø¬©, English, ‚Ä°¬ßœÄ‚Ä°¬ß√∏‚Ä°¬ß¬Æ‚Ä°‚Ä¢√ß‚Ä°¬ß¬∂‚Ä°‚Ä¢√Ñ, Latin, Espa‚àö¬±ol</t>
  </si>
  <si>
    <t>Umair Mufti, Sebastian Senior, Anthony Pius, Jenny Sepiere, Barry Keoghan, Sneya Rajani, Abhishek Mukherjee, Alan Scott, Vladimirs Kozevnikovs, Harry Styles, Sarshi Soni, Don Lee, Alberto Rodr‚àö‚â†guez, Shiva Raichandani, Amran Hussain, Ascension Martinez Rubio, Manuel Pazhedath, Bill Skarsg‚àö‚Ä¢rd, Anushka Conway, Salma Hayek Pinault, Tarique Pacheco, Nidhi Joshi, Amar Bains, Kumail Nanjiani, Mahershala Ali, Kit Harington, Priyanka Chauhan, Vibhuti-Sheena Patel, Monsur Ali, Harkiran Virdee, Lauren Ridloff, Giursaran Kohli, Chrisoulla Spyrindonos, Derek Horsham, Priyani Elleni Shah, Gurpreet Sian, Reuben George, Saaj Raja, Ismail Mughal, Grahame Fox, Sanjay Dattani, Digvijay Rathod, Ozer Ercan, Medhavi Patel, Shreya Vadnerkar, Hari Patel, Ramzan Miah, Richard Madden, Hannah Dodd, Orson Rosenberg, Aaron Mistry, Nisha Aaliya, Aakash Shukal, Brian Tyree Henry, Zain Al Rafeea, Rickesh Chauhan, Yanich Gharity, Sherisse Bisram, Anekha Pillai, Bhavini Sheth, Ankush Saigal, Charithra Chandran, Ariadna Vadillo Soto, Krupali Khimasia, Adri‚àö‚Ä† Escudero, Marissa Hussain, Chloe Stannage, Esha Jass, Harish Patel, Lia McHugh, Brenda Lorena Garcia, David Kaye, Nikkita Chadha, Shamina Patel, Angelina Jolie, Amun Bhacu, Jeff Mirza, Kaajel Patel, Esai Daniel Cross, Shahazan Miah, Gemma Chan, Lucia Efstathiou, Haaz Sleiman, Patton Oswalt, Sonal Chakrauaratl, Eddie Saleem, Sebasti‚àö¬∞n Viveros</t>
  </si>
  <si>
    <t>Chlo‚àö¬© Zhao</t>
  </si>
  <si>
    <t>Jim Starlin, Chlo‚àö¬© Zhao, Ryan Firpo, Jack Kirby, Kaz Firpo, Patrick Burleigh</t>
  </si>
  <si>
    <t>Louis D'Esposito, Victoria Alonso, Kevin De La Noy, Nate Moore, Kevin Feige</t>
  </si>
  <si>
    <t>/lFByFSLV5WDJEv3KabbdAF959F2.jpg</t>
  </si>
  <si>
    <t>Spider-Man: No Way Home</t>
  </si>
  <si>
    <t>tt10872600</t>
  </si>
  <si>
    <t>Peter Parker is unmasked and no longer able to separate his normal life from the high-stakes of being a super-hero. When he asks for help from Doctor Strange the stakes become even more dangerous, forcing him to discover what it truly means to be Spider-Man.</t>
  </si>
  <si>
    <t>Enter the Multiverse.</t>
  </si>
  <si>
    <t>Alfred Molina, Jonathan Sam, Frederick A. Brown, Tom Hardy, Benedict Cumberbatch, Cristo Fern‚àö¬∞ndez, Benedict Wong, Charlie Cox, Gabriella Cila, Gary Weeks, JB Smoove, B. Clutch Dunlap, Willie D. Burton, Glenn Keogh, Rolando Fernandez, Marisa Tomei, Andrew Garfield, Emily Fong, Anisa Nyell Johnson, Paris Benjamin, Robert Tinsley, Andrew Dunlap, Thomas Haden Church, Michael Le, Arian Moayed, Jacob Batalon, Taylor St. Clair, Willem Dafoe, Robert Mitchel Owenby, Tobey Maguire, Edward Force, Carol Anne Dines, Jay Karales, Ben VanderMey, Hannibal Buress, Regina Ting Chen, Jon Favreau, Darnell Appling, Mary Rivera, Clay Savage, Harry Holland, Minnah Dunlap, Angourie Rice, Rhys Ifans, Rudy Eisenzopf, Kathleen Cardoso, Tom Holland, Haroon Khan, Zany Dunlap, Cole Failing, Dean Meminger, Mallory Hoff, Zendaya, Jwaundace Candece, Greg Clarkson, Jamie Foxx, Paula Newsome, Martin Starr, J.K. Simmons, Gregory Konow, Justin East, John M. Maiers, Tony Revolori</t>
  </si>
  <si>
    <t>Mauro Fiore</t>
  </si>
  <si>
    <t>Stan Lee, Chris McKenna, Erik Sommers, Steve Ditko</t>
  </si>
  <si>
    <t>Kevin Feige, Louis D'Esposito, JoAnn Perritano, Matt Tolmach, Avi Arad, Amy Pascal, Victoria Alonso, Rachel O'Connor</t>
  </si>
  <si>
    <t>/1g0dhYtq4irTY1GPXvft6k4YLjm.jpg</t>
  </si>
  <si>
    <t>Doctor Strange in the Multiverse of Madness</t>
  </si>
  <si>
    <t>tt9419884</t>
  </si>
  <si>
    <t>Doctor Strange, with the help of mystical allies both old and new, traverses the mind-bending and dangerous alternate realities of the Multiverse to confront a mysterious new adversary.</t>
  </si>
  <si>
    <t>Enter a new dimension of Strange.</t>
  </si>
  <si>
    <t>Fantasy, Action, Adventure</t>
  </si>
  <si>
    <t>Marvel Studios, Kevin Feige Productions</t>
  </si>
  <si>
    <t>√ÇœÄ√∏√Ç‚àë√ª√ã√ò√π / √Ç¬™¬£√Ç‚àë√ª√ã¬©¬±, English, Espa‚àö¬±ol</t>
  </si>
  <si>
    <t>Alan Leong, Yasmin Chadwick, Andr‚àö¬© Layne, Benedict Cumberbatch, Jordan Alexandra, Gregory Fung, Benedict Wong, Audrey Wasilewski, Joshua Peace, Michael Stuhlbarg, Aliyah Camacho, Cecilia Appiah, Bruce Campbell, Jett Klyne, Victoria Sterling, Hayley Atwell, Richie Palmer, Christian Rummel, David K.S. Tse, Anson Mount, Nuakai Aru, Julian Hilliard, Charlie Norton, Yenifer Molina, Chess Lopez, Joshmaine Joseph, Vinny Moli, Sheila Atim, Lashana Lynch, Orphee Sidibe, Ross Marquand, Ella Bardot, Daniel Swain, Elizabeth Olsen, Chiwetel Ejiofor, Ruth Livier, Anthony Knight, Gabriella Cooper-Parsons, Rachel McAdams, Adam Hugill, Xochitl Gomez, Bridget Hoffman, Stephen Samson, Michael Waldron, Victoria Grove, John King, Momo Yeung, Topo Wresniwiro, John Krasinski, Eden Nathenson, Kevin Dalton, Scott Spiegel, Nina Jalava, Andrew Morgado, Andy Bale, Charlize Theron, Jessica Pennington, Patrick Stewart, Ako Mitchell, Bobbie Little</t>
  </si>
  <si>
    <t>Sam Raimi</t>
  </si>
  <si>
    <t>John Mathieson</t>
  </si>
  <si>
    <t>Stan Lee, Michael Waldron, Steve Ditko</t>
  </si>
  <si>
    <t>Kevin Feige, Louis D'Esposito, Scott Derrickson, Eric Hauserman Carroll, Victoria Alonso, Jamie Christopher</t>
  </si>
  <si>
    <t>Danny Elfman</t>
  </si>
  <si>
    <t>/ddJcSKbcp4rKZTmuyWaMhuwcfMz.jpg</t>
  </si>
  <si>
    <t>Thor: Love and Thunder</t>
  </si>
  <si>
    <t>tt10648342</t>
  </si>
  <si>
    <t>After his retirement is interrupted by Gorr the God Butcher, a galactic killer who seeks the extinction of the gods, Thor Odinson enlists the help of King Valkyrie, Korg, and ex-girlfriend Jane Foster, who now wields Mjolnir as the Mighty Thor. Together they embark upon a harrowing cosmic adventure to uncover the mystery of the God Butcher‚Äö√Ñ√¥s vengeance and stop him before it‚Äö√Ñ√¥s too late.</t>
  </si>
  <si>
    <t>The one is not the only.</t>
  </si>
  <si>
    <t>Fantasy, Action, Comedy</t>
  </si>
  <si>
    <t>Jaimie Alexander, Ava Caryofyllis, Kim Thien Doan, Dave Bautista, Zali Mae Harrison, Jessica May Lynne, Nicole Milinkovic, Priscilla Doueihy, Evan Stanhope, Rafael Siemer, Janessa Dufty, Bo Chambers, Simona Paparelli, Indiana Ierano, Chanique Greyling, Samson Alston, Ben Falcone, Sean Gunn, Kuni Hashimoto, David Hambly, Zhang Chongwei, Andrew Crawford, Suren Jayemanne, Gabriel Siemer, Simone Landers, Te Kainga O'Te Hinekahu Waititi, Victoria Ferrara, Yure Covich, Olivia Vasquez, Chris Pratt, Mayzie Winderbaum, Chlo‚àö¬© Gouneau, Alanis Long Borrello, Alan Dukes, Carly Rees, Rex Bale, Eliza Matengu, Corban Ierano, Chris Hemsworth, Briegh Winderbaum, Indiana Evans, Matewa Kiritapu Waititi, Kat Dennings, Elsa Pataky, India Rose Hemsworth, Luc Barrett, Johnny Nasser, Stephen Curry, Jenna Owen, Aleph Millepied, Leeton Alan Ingrey, Hannah Gray, Nico Cortez, Kaan Guldur, Arias Vang, Imaan Hadchiti, Sienna Ngeru, Jane Yubin Kim, Dianne Close, Dave Cory, Gemma Dart, Ben Sinclair, Bobby Holland Hanton, Melissa McCarthy, Garth Wood, Alan Tsibulya, Natalie Portman, Vin Diesel, Simon Russell Beale, Stephen Hunter, Jacob Yee, Luca Darda, Kieron L. Dyer, Indeia Booc, Xander Mouradian, Chayla Korewha, Tessa Thompson, Cayla Sutherland, Clariza Vicente, Bradley Cooper, Matt Damon, Nazih Kheir, Carmen Foon, Natasha Cheng, Shari Sebbens, Brooke Satchwell, Brett Goldstein, Zia Kelly, Daley Pearson, Russell Crowe, Tatyana Gillam, Molly Moriarty, Idris Elba, Tui Vincent, Cameron Chapek, Victoria Zerbst, Amalia Millepied, Taika Waititi, Alan Spies, Tristan Hemsworth, Manny Spero, Arka Das, Stellan Skarsg‚àö‚Ä¢rd, Elsa Rodrigo-Porter, Justin Paul Hitchcock, Jaimee Rose Lynn, Matatia Foa'i, Emmeline Luka Bale, Jonny Brugh, Sam Neill, Ava Rodrigo-Porter, Izaac Winderbaum, Samantha Allsop, Adam Todd, Josh Heuston, Christian Bale, Rosangela Fasano, Pom Klementieff, Karen Gillan, Luke Hemsworth, Ronin Fabi, Sasha Hemsworth, Greg Mitchell</t>
  </si>
  <si>
    <t>Barry Idoine</t>
  </si>
  <si>
    <t>Steve Gan, Larry Lieber, Jack Kirby, Keith Giffen, Bill Mantlo, Jennifer Kaytin Robinson, Don Heck, Stan Lee, Steve Englehart, Taika Waititi, Jim Starlin</t>
  </si>
  <si>
    <t>Victoria Alonso, Brian Chapek, Kevin Feige, Brad Winderbaum, Todd Hallowell, Louis D'Esposito, Chris Hemsworth</t>
  </si>
  <si>
    <t>Nami Melumad, Michael Giacchino</t>
  </si>
  <si>
    <t>/pIkRyD18kl4FhoCNQuWxWu5cBLM.jpg</t>
  </si>
  <si>
    <t>Black Panther: Wakanda Forever</t>
  </si>
  <si>
    <t>tt9114286</t>
  </si>
  <si>
    <t>Queen Ramonda, Shuri, M‚Äö√Ñ√¥Baku, Okoye and the Dora Milaje fight to protect their nation from intervening world powers in the wake of King T‚Äö√Ñ√¥Challa‚Äö√Ñ√¥s death.  As the Wakandans strive to embrace their next chapter, the heroes must band together with the help of War Dog Nakia and Everett Ross and forge a new path for the kingdom of Wakanda.</t>
  </si>
  <si>
    <t>Forever.</t>
  </si>
  <si>
    <t xml:space="preserve">English, Fran‚àö√üais, , Espa‚àö¬±ol, </t>
  </si>
  <si>
    <t>Zainab Jah, Mabel Cadena, Alex Livinalli, Lupita Nyong'o, Florence Kasumba, Robert John Burke, Dorothy Steel, Anderson Cooper, Lieiry J. Perez Escalera, Taylor Holmes, Alan Wells, Danny Sapani, Michaela Coel, Richard Schiff, Connie Chiume, Angela Bassett, Sevyn Hill, Sal Lopez, Divine Love Konadu-Sun, Tenoch Huerta Mej‚àö‚â†a, Mackenro Alexander, Valerio Dorvillen, Martin Freeman, Manuel Chavez, Leonardo Castro Sitiriche, Letitia Wright, Gavin Macon, Julia Louis-Dreyfus, Trevor Noah, Amber Harrington, D‚àö¬©l‚àö¬© Ogundiran, Chadwick Boseman, Michael Blake Kruse, Ivy Haralson, Judd Wild, Rudolph Massanga, Kamaru Usman, Angela Cipra, Gigi Bermingham, Floyd Anthony Johns Jr., Marija Abney, Zola Williams, Shawntae Hughes, Danai Gurira, Corey Hibbert, Janeshia Adams-Ginyard, Justin James Boykin, Jemini Powell, Magatte Saw, Juan Carlos Cantu, Lake Bell, Bill Barrett, Jonathan Gonz‚àö¬∞lez Collins, Jermaine Brantley, Dominique Thorne, Jabari Exum, Sope Aluko, Mar‚àö‚â†a Mercedes Coroy, Skylar Ebron, Granger Summerset II, Keisha Tucker, Gerardo Aldana, Baaba Maal, Irma Estella La Guerre, Zaiden James, Mar‚àö‚â†a Tel‚àö‚â•n, Aba Arthur, Winston Duke, Shawn Roberts, Isaach de Bankol‚àö¬©, Massamba Diop, Kevin Changaris, Michael B. Jordan, T. Love, Maya Macatumpag, Don Castor, Faya Madrid, Luke Lenza, Josu‚àö¬© Maychi</t>
  </si>
  <si>
    <t>Autumn Durald Arkapaw</t>
  </si>
  <si>
    <t>Joe Robert Cole, Stan Lee, Jack Kirby, Ryan Coogler</t>
  </si>
  <si>
    <t>Kevin Feige, Victoria Alonso, Nate Moore, Barry H. Waldman, Louis D'Esposito</t>
  </si>
  <si>
    <t>/sv1xJUazXeYqALzczSZ3O6nkH75.jpg</t>
  </si>
  <si>
    <t>Ant-Man and the Wasp: Quantumania</t>
  </si>
  <si>
    <t>tt10954600</t>
  </si>
  <si>
    <t>Super-Hero partners Scott Lang and Hope van Dyne, along with with Hope's parents Janet van Dyne and Hank Pym, and Scott's daughter Cassie Lang, find themselves exploring the Quantum Realm, interacting with strange new creatures and embarking on an adventure that will push them beyond the limits of what they thought possible.</t>
  </si>
  <si>
    <t>Witness the beginning of a new dynasty.</t>
  </si>
  <si>
    <t>Michelle Pfeiffer, Judy Jeffrey, Katy O'Brian, Osian Roberts, Tess Aubert, Nicola Peluso, Bill Murray, Jamie Andrew Cutler, Michael Douglas, Mark Weinman, Grahame Fox, Matthew Wood, Tom Scharpling, Tom Clark, Mia Gerstel, Ruben Rabasa, Randall Park, Evangeline Lilly, Jonathan Majors, David J. Castillo, Roger Craig Smith, Leonardo Taiwo, Tracy Jeffrey, Alan Heitz, William Jackson Harper, John Nayagam, Russell Balogh, Liran Nathan, Adam Sai, Ryan Bergara, Ross Mullan, David Dastmalchian, Cathy Chan, Briza Covarrubias, Loveday Smith, Harrison Daniels, Aisling Mara Andreica, Leon Cooke, Paul Rudd, Durassie Kiangangu, John Townsend, Milton Lopes, Jakari Fraser, Esther McAuley, Kathryn Newton, Tom Hiddleston, Corey Stoll, Nathan Blees, Owen Wilson, Greta Nayagam, Jamie Sai, Gregg Turkington, Mark Oliver Everett, Melanie Garcia, Dey Young, Jake Millgard, Sam Symons, Lucas Gerstel, Dinah Jeffrey, Brahmdeo Shannon Ramana, Patricia Belcher, Sierra Katow, Marielle Scott, Sir Cornwell</t>
  </si>
  <si>
    <t>Stan Lee, Jeff Loveness, Jack Kirby, Larry Lieber, Ernie Hart, Andrew Reiber</t>
  </si>
  <si>
    <t>Victoria Alonso, Louis D'Esposito, Kevin Feige, Stephen Broussard, Kevin De La Noy</t>
  </si>
  <si>
    <t>Michael Paraskevas, Christophe Beck</t>
  </si>
  <si>
    <t>/qnqGbB22YJ7dSs4o6M7exTpNxPz.jpg</t>
  </si>
  <si>
    <t>Guardians of the Galaxy Vol. 3</t>
  </si>
  <si>
    <t>tt6791350</t>
  </si>
  <si>
    <t>Peter Quill, still reeling from the loss of Gamora, must rally his team around him to defend the universe along with protecting one of their own. A mission that, if not completed successfully, could quite possibly lead to the end of the Guardians as we know them.</t>
  </si>
  <si>
    <t>Once more with feeling.</t>
  </si>
  <si>
    <t>Science Fiction, Adventure, Action, Comedy</t>
  </si>
  <si>
    <t>Grecia Balboa, Scarlett Blum, Sarah Anne, Reinaldo Faberlle, Dane DiLiegro, Gregg Henry, Dave Bautista, Sarah Alami, Michael Rosenbaum, Brooklyn Skye Oliver, Murphy Weed, Asim Chaudhry, Alexis Hadesty, Kyle Mclean, James Gunn, Terence Rosemore, John William Wright, Bradley Cooper, Max Bickelhaup, Tara Strong, Yael Ocasio, Nico Santos, Austin Freeman, Elizabeth Debicki, Chris Pratt, Elan Gale, Benjamin Byron Davis, Sylvester Stallone, Christopher Fairbank, Joe Daru, Miriam Shor, Emery Grilliot, Pete Davidson, Michelle Civile, Randy Havens, Kai Zen, Adelynn Spoon, Diego Ward, Skylar Huntley, Nathan Fillion, Tara Warren, Jonathan Mercedes, Renae Moneymaker, Chukwudi Iwuji, Hanna Pak, Adriana Leonard, Karen Abercrombie, Dee Bradley Baker, Michael Rooker, Karen Gillan, Rhett Miller, Will Poulter, Jessica Fontaine, Amelia Waters, Jared Leland Gore, Elodie Clarke, Stephen Blackehart, Vin Diesel, Lloyd Kaufman, Natalia Safran, Linda Cardellini, Jasmine Munoz, Noa Raskin, Giovannie Cruz, Sean Gunn, Jennifer Holland, Seth Green, Judy Greer, Molly C. Quinn, Jonathan Fritschi, Darla Delgado, Bonnie Discepolo, Tiffany Smith, Mikaela Hoover, Henry Heffernan, Daniela Melchior, Pom Klementieff, Will Gunn, Ken Lyle, Clare Grant, Zoe Salda‚àö¬±a, Baby Dro, Caleb Spillyards, Grace Gunn, Gerardo Davila, Maria Bakalova, Brandon Morales, Candi VandiZandi, Autumn Griffin</t>
  </si>
  <si>
    <t>Steve Gan, John Buscema, Larry Lieber, Stan Lee, Bill Mantlo, Sal Buscema, Jim Starlin, Steve Englehart, Roger Stern, Keith Giffen, Jack Kirby, Don Heck, James Gunn</t>
  </si>
  <si>
    <t>Nik Korda, Kevin Feige, Victoria Alonso, Simon Hatt, Sara Smith, Louis D'Esposito</t>
  </si>
  <si>
    <t>John Murphy</t>
  </si>
  <si>
    <t>/r2J02Z2OpNTctfOSN1Ydgii51I3.jpg</t>
  </si>
  <si>
    <t>The Marvels</t>
  </si>
  <si>
    <t>tt10676048</t>
  </si>
  <si>
    <t>When her duties send her to an anomalous wormhole linked to a Kree revolutionary, Carol's powers become entangled with that of Jersey City super-fan Kamala Khan, aka Ms. Marvel, and Carol's estranged niece, now S.A.B.E.R. astronaut Captain Monica Rambeau. Together, this unlikely trio must team up and learn to work in concert to save the universe.</t>
  </si>
  <si>
    <t>Higher. Further. Faster. Together.</t>
  </si>
  <si>
    <t>English, √ø√ü√ø¬±√ø√ò≈∏√†</t>
  </si>
  <si>
    <t>Hansen Burton, Zenobia Shroff, Daniel Monteiro, Iman Vellani, Rachel John, Alex Hughes, Remi Dabiri-McQuaid, Hailee Steinfeld, Shardiah Ssagala, Gary Lewis, Ffion Jolly, Tessa Thompson, Abraham Popoola, Cecily Cleeve, Samuel L. Jackson, Lashana Lynch, Fikayo Ifarajimi, Daniel Ings, Kennedy McCallum-Martin, Saagar Shaikh, Savannah Skinner-Henry, Teyonah Parris, Leila Farzad, Shereen Walker, Kya Garwood, Jett Klyne, Zawe Ashton, Park Seo-jun, Mohan Kapur, Kelsey Grammer, Brie Larson</t>
  </si>
  <si>
    <t>Nia DaCosta</t>
  </si>
  <si>
    <t>Sean Bobbitt</t>
  </si>
  <si>
    <t>Megan McDonnell, Nia DaCosta, Elissa Karasik</t>
  </si>
  <si>
    <t>Victoria Alonso, Louis D'Esposito, Kevin Feige, Matthew Jenkins, Mary Livanos, Jonathan Schwartz</t>
  </si>
  <si>
    <t>Laura Karpman</t>
  </si>
  <si>
    <t>/9GBhzXMFjgcZ3FdR9w3bUMMTps5.jpg</t>
  </si>
  <si>
    <t>Deadpool &amp; Wolverine</t>
  </si>
  <si>
    <t>tt6263850</t>
  </si>
  <si>
    <t>A listless Wade Wilson toils away in civilian life with his days as the morally flexible mercenary, Deadpool, behind him. But when his homeworld faces an existential threat, Wade must reluctantly suit-up again with an even more reluctant Wolverine.</t>
  </si>
  <si>
    <t>Come together.</t>
  </si>
  <si>
    <t>Action, Comedy, Science Fiction</t>
  </si>
  <si>
    <t>Marvel Studios, Maximum Effort, 21 Laps Entertainment, 20th Century Studios, Kevin Feige Productions, TSG Entertainment</t>
  </si>
  <si>
    <t>Nick Pauley, Chloe Kibble, Ryan Reynolds, Aaron W Reed, Rob Mac, Daniel Medina Ramos, Sonita Henry, Wunmi Mosaku, Dafne Keen, James Dryden, Leslie Uggams, Matthew McConaughey, Ryan McKen, Billy Clements, Brianna Hildebrand, Mike Waters, Eduardo Gago Mu‚àö¬±oz, Stefan Kapi∆í√ßi∆í√°, Jon Favreau, Aydin Ahmed, Leemore Marrett Jr., Ayesha Hussain, Harry Holland, Kevin Fortin, Jade Lye, OIin Reynolds, Nilly Cetin, Rob Delaney, Karan Soni, Emma Corrin, Alex Kyshkovych, Ollie Palmer, Greg Hemphill, Randal Reeder, Curtis Rowland Small, Jessica Walker, James Reynolds, Matthew Macfadyen, Wesley Snipes, Lewis Tan, Ed Kear, Nathan Fillion, Aaron Stanford, Henry Cavill, Paul Mullin, Paul G. Raymond, Hugh Jackman, Morena Baccarin, Nanak Phlora, Luke Bennett, Tyler Mane, Blake Lively, Chris Evans, Jennifer Garner, Inez Reynolds, Channing Tatum, Shioli Kutsuna</t>
  </si>
  <si>
    <t>Shawn Levy</t>
  </si>
  <si>
    <t>George Richmond</t>
  </si>
  <si>
    <t>Len Wein, Ryan Reynolds, Herb Trimpe, Fabian Nicieza, Rhett Reese, Zeb Wells, John Romita Sr., Rob Liefeld, Paul Wernick, Roy Thomas, Shawn Levy, Andrew Reiber</t>
  </si>
  <si>
    <t>Ryan Reynolds, Wendy Jacobson, Kevin Feige, Rhett Reese, Shawn Levy, George Dewey, Simon Kinberg, Paul Wernick, Jonathon Komack Martin, Lauren Shuler Donner, Josh McLaglen, Mary McLaglen, Louis D'Esposito</t>
  </si>
  <si>
    <t>Rob Simonsen</t>
  </si>
  <si>
    <t>/8cdWjvZQUExUUTzyp4t6EDMubfO.jpg</t>
  </si>
  <si>
    <t>Captain America: Brave New World</t>
  </si>
  <si>
    <t>tt14513804</t>
  </si>
  <si>
    <t>After meeting with newly elected U.S. President Thaddeus Ross, Sam finds himself in the middle of an international incident. He must discover the reason behind a nefarious global plot before the true mastermind has the entire world seeing red.</t>
  </si>
  <si>
    <t>The future favors the brave.</t>
  </si>
  <si>
    <t>Action, Thriller, Science Fiction</t>
  </si>
  <si>
    <t>English, √ä√≥‚Ä¢√ä√∫¬®√ã‚Ñ¢√ª, Espa‚àö¬±ol</t>
  </si>
  <si>
    <t>Marissa Chanel Hampton, Sandra Aparicio, Mark Pettit, Todd Allen Durkin, Matthew Cornwell, Ben Vazquez, Yaz Takahashi, Chealon Miller, Will A. Holland, Bill Stinchcomb, Eric Mbanda, David Atkinson, Carl Lumbly, Pete Burris, Katina Rankin, Alan Boell, Liv Tyler, Josh Robin, Ricky Robles Cruz, Danny Ramirez, Tim Blake Nelson, John Mark Bowman, John Cihangir, John N. Dixon, Diesel Madkins, Xosha Roquemore, J‚àö‚â•hannes Haukur J‚àö‚â•hannesson, Travis Powers, Josh Robert Thompson, Koji Nishiyama, Robert Tretsch, Ariana Lugo, Rick Espaillat, Rachael Markarian, Gabriela Amarchand, Harrison Ford, Sharon Tazewell, Ava Hill, Tomoko Karina, Erika Keck, Sebastian Stan, Cris Ruiz, Jacqueline Loucks, Dustin Lewis, Jarrett Michael Collins, Katerina Eichenberger, Anthony Mackie, William Mark McCullough, Harsh Nayyar, Trevor Feinstein, Shira Haas, Takehiro Hira, Hector Banos, Giancarlo Esposito, Phuong Kubacki</t>
  </si>
  <si>
    <t>Julius Onah</t>
  </si>
  <si>
    <t>Julius Onah, Rob Edwards, Malcolm Spellman, Dalan Musson, Joe Simon, Jack Kirby, Peter Glanz</t>
  </si>
  <si>
    <t>Charles Newirth, Kevin Feige, Nate Moore, Anthony Mackie, Louis D'Esposito</t>
  </si>
  <si>
    <t>/pzIddUEMWhWzfvLI3TwxUG2wGoi.jpg</t>
  </si>
  <si>
    <t>Thunderbolts*</t>
  </si>
  <si>
    <t>tt20969586</t>
  </si>
  <si>
    <t>After finding themselves ensnared in a death trap, seven disillusioned castoffs must embark on a dangerous mission that will force them to confront the darkest corners of their pasts.</t>
  </si>
  <si>
    <t>Everyone deserves a second shot.</t>
  </si>
  <si>
    <t>English, Italiano, P‚Äî√â‚Äî√Ö‚Äî√Ö‚Äì‚à´‚Äì‚àè‚ÄìœÄ</t>
  </si>
  <si>
    <t>Hannah John-Kamen, Lewis Pullman, Chris Bauer, Harrison Russell, Chris Heeder, Danielle DeBrock, David Harbour, Molly Carden, Violet McGraw, Jennifer Chung, Alexa Swinton, Chiara Stella, Anny Jules, Charlotte Ann Tucker, Georgui Kasaev, Gabrielle Byndloss, Phong Giang, Julia Aku, Florence Pugh, Chad Gall, Stefano Carannante, Gianfranco Terrin, Mackensi Emory, Geraldine Viswanathan, Julia Louis-Dreyfus, Matt Einhorn, Wendell Pierce, Clayton Cooper, Regina Ting Chen, Sebastian Stan, Mallory Hoff, Eric Lange, Olga Kurylenko, Kelvin Witherspoon, Alexander Roberts, Wyatt Russell, Joshua Mikel, Robert Germar</t>
  </si>
  <si>
    <t>Jake Schreier</t>
  </si>
  <si>
    <t>Andrew Droz Palermo</t>
  </si>
  <si>
    <t>Mark Bagley, Kurt Busiek, Stan Lee, Eric Pearson, Joanna Calo, Paul Jenkins, Joe Simon, Jack Kirby, Jae Lee</t>
  </si>
  <si>
    <t>Brian Chapek, Louis D'Esposito, Kevin Feige, Jason Tamez</t>
  </si>
  <si>
    <t>Rafiq Bhatia, Ryan Lott, Ian Chang</t>
  </si>
  <si>
    <t>/hqcexYHbiTBfDIdDWxrxPtVndBX.jpg</t>
  </si>
  <si>
    <t>The Fantastic Four: First Steps</t>
  </si>
  <si>
    <t>tt10676052</t>
  </si>
  <si>
    <t>The Fantastic 4: First Steps</t>
  </si>
  <si>
    <t>Against the vibrant backdrop of a 1960s-inspired, retro-futuristic world, Marvel's First Family is forced to balance their roles as heroes with the strength of their family bond, while defending Earth from a ravenous space god called Galactus and his enigmatic Herald, Silver Surfer.</t>
  </si>
  <si>
    <t>Welcome to the family.</t>
  </si>
  <si>
    <t>English, ozbek</t>
  </si>
  <si>
    <t>Savannah Ffrench, Julia Garner, Rebecca Staab, Mather Zickel, Krysten Peck, Alex J Sturman, Nahum McLean, Edward Bennett, Dana Myzer, Russ Whismore, Kasra Farahani, Ortis Deley, Isaiah Oyedele, Joseph Davidson, Nathaniel Brimmer-Beller, Iverson Yabut, Isla McRae, Dale Mathurin, Vienna Norris, Ebon Moss-Bachrach, Greg Haiste, Louis Sparks, Mark Weinman, Lizzie Clarke, Martin Wilkinson, Ankur Bahl, Eric Stroud, John Schwab, Dede Ma, Michael Bailey Smith, Vanessa Kirby, Ralph Ineson, Richard Summers-Calvert, Arina Ii, Kiff VandenHeuvel, Robert Downey Jr., Sarah Niles, Fintan Shevlin, Cecilia Blair, Iliana Norris, Corey Burton, Grace Durkin, Redmand Rance, Mark Gatiss, Ecow Smith-Asante, Jay Underwood, Maisie Shakman, Macaulay Cooper, Paul Walter Hauser, Riotafari Gardner, Bertie Caplan, Aamaya Oyedele, Pedro Pascal, Hunter del Valle Marfo, Joseph Quinn, Matthew Wood, Max Lester, Firdous Bamji, Ihla Omohegbe, Sarah Mardel, Alex Hyde-White, Simon Thorp, Ada Scott, Florence Odumosu, Angela Jones, Jack Parker, Natasha Lyonne, Cheyenne Dasri, Patrick Miller, Patricia Garc‚àö‚â†a Rodr‚àö‚â†guez</t>
  </si>
  <si>
    <t>Matt Shakman</t>
  </si>
  <si>
    <t>Jess Hall</t>
  </si>
  <si>
    <t>Jeff Kaplan, Stan Lee, Eric Pearson, Josh Friedman, Jack Kirby, Ian Springer, Kat Wood</t>
  </si>
  <si>
    <t>Kevin Feige, Robert Kulzer, Grant Curtis, Louis D'Esposito, Tim Lewis</t>
  </si>
  <si>
    <t>/cm8TNGBGG0aBfWj0LgrESHv8tir.jpg</t>
  </si>
  <si>
    <t>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</si>
</sst>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0" borderId="0" xfId="0" quotePrefix="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9" Type="http://schemas.openxmlformats.org/officeDocument/2006/relationships/styles" Target="styles.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40" Type="http://schemas.openxmlformats.org/officeDocument/2006/relationships/sharedStrings" Target="sharedString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8" Type="http://schemas.openxmlformats.org/officeDocument/2006/relationships/externalLink" Target="externalLinks/externalLink7.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processing/filter%203/xlsx/attributed/Ant-Man_and_the_Wasp_attributes.xlsx" TargetMode="External"/><Relationship Id="rId2" Type="http://schemas.openxmlformats.org/officeDocument/2006/relationships/externalLinkPath" Target="/Users/kitkat/github%20projects/Marvel-Analytics-by-KS/movie-release-optimization/data/processing/filter%203/xlsx/attributed/Ant-Man_and_the_Wasp_attributes.xlsx" TargetMode="External"/><Relationship Id="rId1" Type="http://schemas.openxmlformats.org/officeDocument/2006/relationships/externalLinkPath" Target="/Users/kitkat/github%20projects/Marvel-Analytics-by-KS/movie-release-optimization/data/processing/filter%203/xlsx/attributed/Ant-Man_and_the_Wasp_attribute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processing/filter%203/xlsx/attributed/Black_Panther_attributes.xlsx" TargetMode="External"/><Relationship Id="rId2" Type="http://schemas.openxmlformats.org/officeDocument/2006/relationships/externalLinkPath" Target="/Users/kitkat/github%20projects/Marvel-Analytics-by-KS/movie-release-optimization/data/processing/filter%203/xlsx/attributed/Black_Panther_attributes.xlsx" TargetMode="External"/><Relationship Id="rId1" Type="http://schemas.openxmlformats.org/officeDocument/2006/relationships/externalLinkPath" Target="/Users/kitkat/github%20projects/Marvel-Analytics-by-KS/movie-release-optimization/data/processing/filter%203/xlsx/attributed/Black_Panther_attributes.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processing/filter%203/xlsx/attributed/Black_Widow_attributes.xlsx" TargetMode="External"/><Relationship Id="rId2" Type="http://schemas.openxmlformats.org/officeDocument/2006/relationships/externalLinkPath" Target="/Users/kitkat/github%20projects/Marvel-Analytics-by-KS/movie-release-optimization/data/processing/filter%203/xlsx/attributed/Black_Widow_attributes.xlsx" TargetMode="External"/><Relationship Id="rId1" Type="http://schemas.openxmlformats.org/officeDocument/2006/relationships/externalLinkPath" Target="/Users/kitkat/github%20projects/Marvel-Analytics-by-KS/movie-release-optimization/data/processing/filter%203/xlsx/attributed/Black_Widow_attributes.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processing/filter%203/xlsx/attributed/Captain_Marvel_attributes.xlsx" TargetMode="External"/><Relationship Id="rId2" Type="http://schemas.openxmlformats.org/officeDocument/2006/relationships/externalLinkPath" Target="/Users/kitkat/github%20projects/Marvel-Analytics-by-KS/movie-release-optimization/data/processing/filter%203/xlsx/attributed/Captain_Marvel_attributes.xlsx" TargetMode="External"/><Relationship Id="rId1" Type="http://schemas.openxmlformats.org/officeDocument/2006/relationships/externalLinkPath" Target="/Users/kitkat/github%20projects/Marvel-Analytics-by-KS/movie-release-optimization/data/processing/filter%203/xlsx/attributed/Captain_Marvel_attributes.xlsx" TargetMode="External"/></Relationships>
</file>

<file path=xl/externalLinks/_rels/externalLink5.xml.rels><?xml version="1.0" encoding="UTF-8" standalone="yes"?>
<Relationships xmlns="http://schemas.openxmlformats.org/package/2006/relationships"><Relationship Id="rId3" Type="http://schemas.openxmlformats.org/officeDocument/2006/relationships/externalLinkPath" Target="../processing/filter%203/xlsx/attributed/Deadpool_&amp;_Wolverine_attributes.xlsx" TargetMode="External"/><Relationship Id="rId2" Type="http://schemas.openxmlformats.org/officeDocument/2006/relationships/externalLinkPath" Target="/Users/kitkat/github%20projects/Marvel-Analytics-by-KS/movie-release-optimization/data/processing/filter%203/xlsx/attributed/Deadpool_&amp;_Wolverine_attributes.xlsx" TargetMode="External"/><Relationship Id="rId1" Type="http://schemas.openxmlformats.org/officeDocument/2006/relationships/externalLinkPath" Target="/Users/kitkat/github%20projects/Marvel-Analytics-by-KS/movie-release-optimization/data/processing/filter%203/xlsx/attributed/Deadpool_&amp;_Wolverine_attributes.xlsx" TargetMode="External"/></Relationships>
</file>

<file path=xl/externalLinks/_rels/externalLink6.xml.rels><?xml version="1.0" encoding="UTF-8" standalone="yes"?>
<Relationships xmlns="http://schemas.openxmlformats.org/package/2006/relationships"><Relationship Id="rId3" Type="http://schemas.openxmlformats.org/officeDocument/2006/relationships/externalLinkPath" Target="../processing/filter%203/xlsx/attributed/Doctor_Strange_attributes.xlsx" TargetMode="External"/><Relationship Id="rId2" Type="http://schemas.openxmlformats.org/officeDocument/2006/relationships/externalLinkPath" Target="/Users/kitkat/github%20projects/Marvel-Analytics-by-KS/movie-release-optimization/data/processing/filter%203/xlsx/attributed/Doctor_Strange_attributes.xlsx" TargetMode="External"/><Relationship Id="rId1" Type="http://schemas.openxmlformats.org/officeDocument/2006/relationships/externalLinkPath" Target="/Users/kitkat/github%20projects/Marvel-Analytics-by-KS/movie-release-optimization/data/processing/filter%203/xlsx/attributed/Doctor_Strange_attributes.xlsx" TargetMode="External"/></Relationships>
</file>

<file path=xl/externalLinks/_rels/externalLink7.xml.rels><?xml version="1.0" encoding="UTF-8" standalone="yes"?>
<Relationships xmlns="http://schemas.openxmlformats.org/package/2006/relationships"><Relationship Id="rId3" Type="http://schemas.openxmlformats.org/officeDocument/2006/relationships/externalLinkPath" Target="../processing/filter%203/xlsx/attributed/Doctor_Strange_in_the_Multiverse_of_Madness_attributes.xlsx" TargetMode="External"/><Relationship Id="rId2" Type="http://schemas.openxmlformats.org/officeDocument/2006/relationships/externalLinkPath" Target="/Users/kitkat/github%20projects/Marvel-Analytics-by-KS/movie-release-optimization/data/processing/filter%203/xlsx/attributed/Doctor_Strange_in_the_Multiverse_of_Madness_attributes.xlsx" TargetMode="External"/><Relationship Id="rId1" Type="http://schemas.openxmlformats.org/officeDocument/2006/relationships/externalLinkPath" Target="/Users/kitkat/github%20projects/Marvel-Analytics-by-KS/movie-release-optimization/data/processing/filter%203/xlsx/attributed/Doctor_Strange_in_the_Multiverse_of_Madness_attributes.xlsx" TargetMode="External"/></Relationships>
</file>

<file path=xl/externalLinks/_rels/externalLink8.xml.rels><?xml version="1.0" encoding="UTF-8" standalone="yes"?>
<Relationships xmlns="http://schemas.openxmlformats.org/package/2006/relationships"><Relationship Id="rId3" Type="http://schemas.openxmlformats.org/officeDocument/2006/relationships/externalLinkPath" Target="../processing/filter%203/xlsx/attributed/Eternals_attributes.xlsx" TargetMode="External"/><Relationship Id="rId2" Type="http://schemas.openxmlformats.org/officeDocument/2006/relationships/externalLinkPath" Target="/Users/kitkat/github%20projects/Marvel-Analytics-by-KS/movie-release-optimization/data/processing/filter%203/xlsx/attributed/Eternals_attributes.xlsx" TargetMode="External"/><Relationship Id="rId1" Type="http://schemas.openxmlformats.org/officeDocument/2006/relationships/externalLinkPath" Target="/Users/kitkat/github%20projects/Marvel-Analytics-by-KS/movie-release-optimization/data/processing/filter%203/xlsx/attributed/Eternals_attributes.xlsx" TargetMode="External"/></Relationships>
</file>

<file path=xl/externalLinks/_rels/externalLink9.xml.rels><?xml version="1.0" encoding="UTF-8" standalone="yes"?>
<Relationships xmlns="http://schemas.openxmlformats.org/package/2006/relationships"><Relationship Id="rId3" Type="http://schemas.openxmlformats.org/officeDocument/2006/relationships/externalLinkPath" Target="../processing/filter%203/xlsx/attributed/Guardians_of_the_Galaxy_attributes.xlsx" TargetMode="External"/><Relationship Id="rId2" Type="http://schemas.openxmlformats.org/officeDocument/2006/relationships/externalLinkPath" Target="/Users/kitkat/github%20projects/Marvel-Analytics-by-KS/movie-release-optimization/data/processing/filter%203/xlsx/attributed/Guardians_of_the_Galaxy_attributes.xlsx" TargetMode="External"/><Relationship Id="rId1" Type="http://schemas.openxmlformats.org/officeDocument/2006/relationships/externalLinkPath" Target="/Users/kitkat/github%20projects/Marvel-Analytics-by-KS/movie-release-optimization/data/processing/filter%203/xlsx/attributed/Guardians_of_the_Galaxy_attributes.xlsx" TargetMode="External"/></Relationships>
</file>

<file path=xl/externalLinks/_rels/externalLink10.xml.rels><?xml version="1.0" encoding="UTF-8" standalone="yes"?>
<Relationships xmlns="http://schemas.openxmlformats.org/package/2006/relationships"><Relationship Id="rId3" Type="http://schemas.openxmlformats.org/officeDocument/2006/relationships/externalLinkPath" Target="../processing/filter%203/xlsx/attributed/Guardians_of_the_Galaxy_Vol._2_attributes.xlsx" TargetMode="External"/><Relationship Id="rId2" Type="http://schemas.openxmlformats.org/officeDocument/2006/relationships/externalLinkPath" Target="/Users/kitkat/github%20projects/Marvel-Analytics-by-KS/movie-release-optimization/data/processing/filter%203/xlsx/attributed/Guardians_of_the_Galaxy_Vol._2_attributes.xlsx" TargetMode="External"/><Relationship Id="rId1" Type="http://schemas.openxmlformats.org/officeDocument/2006/relationships/externalLinkPath" Target="/Users/kitkat/github%20projects/Marvel-Analytics-by-KS/movie-release-optimization/data/processing/filter%203/xlsx/attributed/Guardians_of_the_Galaxy_Vol._2_attributes.xlsx" TargetMode="External"/></Relationships>
</file>

<file path=xl/externalLinks/_rels/externalLink11.xml.rels><?xml version="1.0" encoding="UTF-8" standalone="yes"?>
<Relationships xmlns="http://schemas.openxmlformats.org/package/2006/relationships"><Relationship Id="rId3" Type="http://schemas.openxmlformats.org/officeDocument/2006/relationships/externalLinkPath" Target="../processing/filter%203/xlsx/attributed/Guardians_of_the_Galaxy_Vol._3_attributes.xlsx" TargetMode="External"/><Relationship Id="rId2" Type="http://schemas.openxmlformats.org/officeDocument/2006/relationships/externalLinkPath" Target="/Users/kitkat/github%20projects/Marvel-Analytics-by-KS/movie-release-optimization/data/processing/filter%203/xlsx/attributed/Guardians_of_the_Galaxy_Vol._3_attributes.xlsx" TargetMode="External"/><Relationship Id="rId1" Type="http://schemas.openxmlformats.org/officeDocument/2006/relationships/externalLinkPath" Target="/Users/kitkat/github%20projects/Marvel-Analytics-by-KS/movie-release-optimization/data/processing/filter%203/xlsx/attributed/Guardians_of_the_Galaxy_Vol._3_attributes.xlsx" TargetMode="External"/></Relationships>
</file>

<file path=xl/externalLinks/_rels/externalLink12.xml.rels><?xml version="1.0" encoding="UTF-8" standalone="yes"?>
<Relationships xmlns="http://schemas.openxmlformats.org/package/2006/relationships"><Relationship Id="rId3" Type="http://schemas.openxmlformats.org/officeDocument/2006/relationships/externalLinkPath" Target="../processing/filter%203/xlsx/attributed/Iron_Man_2_attributes.xlsx" TargetMode="External"/><Relationship Id="rId2" Type="http://schemas.openxmlformats.org/officeDocument/2006/relationships/externalLinkPath" Target="/Users/kitkat/github%20projects/Marvel-Analytics-by-KS/movie-release-optimization/data/processing/filter%203/xlsx/attributed/Iron_Man_2_attributes.xlsx" TargetMode="External"/><Relationship Id="rId1" Type="http://schemas.openxmlformats.org/officeDocument/2006/relationships/externalLinkPath" Target="/Users/kitkat/github%20projects/Marvel-Analytics-by-KS/movie-release-optimization/data/processing/filter%203/xlsx/attributed/Iron_Man_2_attributes.xlsx" TargetMode="External"/></Relationships>
</file>

<file path=xl/externalLinks/_rels/externalLink13.xml.rels><?xml version="1.0" encoding="UTF-8" standalone="yes"?>
<Relationships xmlns="http://schemas.openxmlformats.org/package/2006/relationships"><Relationship Id="rId3" Type="http://schemas.openxmlformats.org/officeDocument/2006/relationships/externalLinkPath" Target="../processing/filter%203/xlsx/attributed/Iron_Man_3_attributes.xlsx" TargetMode="External"/><Relationship Id="rId2" Type="http://schemas.openxmlformats.org/officeDocument/2006/relationships/externalLinkPath" Target="/Users/kitkat/github%20projects/Marvel-Analytics-by-KS/movie-release-optimization/data/processing/filter%203/xlsx/attributed/Iron_Man_3_attributes.xlsx" TargetMode="External"/><Relationship Id="rId1" Type="http://schemas.openxmlformats.org/officeDocument/2006/relationships/externalLinkPath" Target="/Users/kitkat/github%20projects/Marvel-Analytics-by-KS/movie-release-optimization/data/processing/filter%203/xlsx/attributed/Iron_Man_3_attributes.xlsx" TargetMode="External"/></Relationships>
</file>

<file path=xl/externalLinks/_rels/externalLink14.xml.rels><?xml version="1.0" encoding="UTF-8" standalone="yes"?>
<Relationships xmlns="http://schemas.openxmlformats.org/package/2006/relationships"><Relationship Id="rId3" Type="http://schemas.openxmlformats.org/officeDocument/2006/relationships/externalLinkPath" Target="../processing/filter%203/xlsx/attributed/Iron_Man_attributes.xlsx" TargetMode="External"/><Relationship Id="rId2" Type="http://schemas.openxmlformats.org/officeDocument/2006/relationships/externalLinkPath" Target="/Users/kitkat/github%20projects/Marvel-Analytics-by-KS/movie-release-optimization/data/processing/filter%203/xlsx/attributed/Iron_Man_attributes.xlsx" TargetMode="External"/><Relationship Id="rId1" Type="http://schemas.openxmlformats.org/officeDocument/2006/relationships/externalLinkPath" Target="/Users/kitkat/github%20projects/Marvel-Analytics-by-KS/movie-release-optimization/data/processing/filter%203/xlsx/attributed/Iron_Man_attributes.xlsx" TargetMode="External"/></Relationships>
</file>

<file path=xl/externalLinks/_rels/externalLink15.xml.rels><?xml version="1.0" encoding="UTF-8" standalone="yes"?>
<Relationships xmlns="http://schemas.openxmlformats.org/package/2006/relationships"><Relationship Id="rId3" Type="http://schemas.openxmlformats.org/officeDocument/2006/relationships/externalLinkPath" Target="../processing/filter%203/xlsx/attributed/Shang-Chi_and_the_Legend_of_the_Ten_Rings_attributes.xlsx" TargetMode="External"/><Relationship Id="rId2" Type="http://schemas.openxmlformats.org/officeDocument/2006/relationships/externalLinkPath" Target="/Users/kitkat/github%20projects/Marvel-Analytics-by-KS/movie-release-optimization/data/processing/filter%203/xlsx/attributed/Shang-Chi_and_the_Legend_of_the_Ten_Rings_attributes.xlsx" TargetMode="External"/><Relationship Id="rId1" Type="http://schemas.openxmlformats.org/officeDocument/2006/relationships/externalLinkPath" Target="/Users/kitkat/github%20projects/Marvel-Analytics-by-KS/movie-release-optimization/data/processing/filter%203/xlsx/attributed/Shang-Chi_and_the_Legend_of_the_Ten_Rings_attributes.xlsx" TargetMode="External"/></Relationships>
</file>

<file path=xl/externalLinks/_rels/externalLink16.xml.rels><?xml version="1.0" encoding="UTF-8" standalone="yes"?>
<Relationships xmlns="http://schemas.openxmlformats.org/package/2006/relationships"><Relationship Id="rId3" Type="http://schemas.openxmlformats.org/officeDocument/2006/relationships/externalLinkPath" Target="../processing/filter%203/xlsx/attributed/The_Avengers_attributes.xlsx" TargetMode="External"/><Relationship Id="rId2" Type="http://schemas.openxmlformats.org/officeDocument/2006/relationships/externalLinkPath" Target="/Users/kitkat/github%20projects/Marvel-Analytics-by-KS/movie-release-optimization/data/processing/filter%203/xlsx/attributed/The_Avengers_attributes.xlsx" TargetMode="External"/><Relationship Id="rId1" Type="http://schemas.openxmlformats.org/officeDocument/2006/relationships/externalLinkPath" Target="/Users/kitkat/github%20projects/Marvel-Analytics-by-KS/movie-release-optimization/data/processing/filter%203/xlsx/attributed/The_Avengers_attributes.xlsx" TargetMode="External"/></Relationships>
</file>

<file path=xl/externalLinks/_rels/externalLink17.xml.rels><?xml version="1.0" encoding="UTF-8" standalone="yes"?>
<Relationships xmlns="http://schemas.openxmlformats.org/package/2006/relationships"><Relationship Id="rId3" Type="http://schemas.openxmlformats.org/officeDocument/2006/relationships/externalLinkPath" Target="../processing/filter%203/xlsx/attributed/The_Incredible_Hulk_attributes.xlsx" TargetMode="External"/><Relationship Id="rId2" Type="http://schemas.openxmlformats.org/officeDocument/2006/relationships/externalLinkPath" Target="/Users/kitkat/github%20projects/Marvel-Analytics-by-KS/movie-release-optimization/data/processing/filter%203/xlsx/attributed/The_Incredible_Hulk_attributes.xlsx" TargetMode="External"/><Relationship Id="rId1" Type="http://schemas.openxmlformats.org/officeDocument/2006/relationships/externalLinkPath" Target="/Users/kitkat/github%20projects/Marvel-Analytics-by-KS/movie-release-optimization/data/processing/filter%203/xlsx/attributed/The_Incredible_Hulk_attributes.xlsx" TargetMode="External"/></Relationships>
</file>

<file path=xl/externalLinks/_rels/externalLink18.xml.rels><?xml version="1.0" encoding="UTF-8" standalone="yes"?>
<Relationships xmlns="http://schemas.openxmlformats.org/package/2006/relationships"><Relationship Id="rId3" Type="http://schemas.openxmlformats.org/officeDocument/2006/relationships/externalLinkPath" Target="../processing/filter%203/xlsx/attributed/The_Marvels_attributes.xlsx" TargetMode="External"/><Relationship Id="rId2" Type="http://schemas.openxmlformats.org/officeDocument/2006/relationships/externalLinkPath" Target="/Users/kitkat/github%20projects/Marvel-Analytics-by-KS/movie-release-optimization/data/processing/filter%203/xlsx/attributed/The_Marvels_attributes.xlsx" TargetMode="External"/><Relationship Id="rId1" Type="http://schemas.openxmlformats.org/officeDocument/2006/relationships/externalLinkPath" Target="/Users/kitkat/github%20projects/Marvel-Analytics-by-KS/movie-release-optimization/data/processing/filter%203/xlsx/attributed/The_Marvels_attributes.xlsx" TargetMode="External"/></Relationships>
</file>

<file path=xl/externalLinks/_rels/externalLink19.xml.rels><?xml version="1.0" encoding="UTF-8" standalone="yes"?>
<Relationships xmlns="http://schemas.openxmlformats.org/package/2006/relationships"><Relationship Id="rId3" Type="http://schemas.openxmlformats.org/officeDocument/2006/relationships/externalLinkPath" Target="../processing/filter%203/xlsx/attributed/Thor_attributes.xlsx" TargetMode="External"/><Relationship Id="rId2" Type="http://schemas.openxmlformats.org/officeDocument/2006/relationships/externalLinkPath" Target="/Users/kitkat/github%20projects/Marvel-Analytics-by-KS/movie-release-optimization/data/processing/filter%203/xlsx/attributed/Thor_attributes.xlsx" TargetMode="External"/><Relationship Id="rId1" Type="http://schemas.openxmlformats.org/officeDocument/2006/relationships/externalLinkPath" Target="/Users/kitkat/github%20projects/Marvel-Analytics-by-KS/movie-release-optimization/data/processing/filter%203/xlsx/attributed/Thor_attributes.xlsx" TargetMode="External"/></Relationships>
</file>

<file path=xl/externalLinks/_rels/externalLink20.xml.rels><?xml version="1.0" encoding="UTF-8" standalone="yes"?>
<Relationships xmlns="http://schemas.openxmlformats.org/package/2006/relationships"><Relationship Id="rId3" Type="http://schemas.openxmlformats.org/officeDocument/2006/relationships/externalLinkPath" Target="../../../../../Downloads/Ant-Man_and_the_Wasp_Quantumania_attributes.xlsx" TargetMode="External"/><Relationship Id="rId2" Type="http://schemas.openxmlformats.org/officeDocument/2006/relationships/externalLinkPath" Target="/Users/kitkat/Downloads/Ant-Man_and_the_Wasp_Quantumania_attributes.xlsx" TargetMode="External"/><Relationship Id="rId1" Type="http://schemas.openxmlformats.org/officeDocument/2006/relationships/externalLinkPath" Target="/Users/kitkat/Downloads/Ant-Man_and_the_Wasp_Quantumania_attributes.xlsx" TargetMode="External"/></Relationships>
</file>

<file path=xl/externalLinks/_rels/externalLink21.xml.rels><?xml version="1.0" encoding="UTF-8" standalone="yes"?>
<Relationships xmlns="http://schemas.openxmlformats.org/package/2006/relationships"><Relationship Id="rId3" Type="http://schemas.openxmlformats.org/officeDocument/2006/relationships/externalLinkPath" Target="../../../../../Downloads/Avengers_Age_of_Ultron_attributes.xlsx" TargetMode="External"/><Relationship Id="rId2" Type="http://schemas.openxmlformats.org/officeDocument/2006/relationships/externalLinkPath" Target="/Users/kitkat/Downloads/Avengers_Age_of_Ultron_attributes.xlsx" TargetMode="External"/><Relationship Id="rId1" Type="http://schemas.openxmlformats.org/officeDocument/2006/relationships/externalLinkPath" Target="/Users/kitkat/Downloads/Avengers_Age_of_Ultron_attributes.xlsx" TargetMode="External"/></Relationships>
</file>

<file path=xl/externalLinks/_rels/externalLink22.xml.rels><?xml version="1.0" encoding="UTF-8" standalone="yes"?>
<Relationships xmlns="http://schemas.openxmlformats.org/package/2006/relationships"><Relationship Id="rId3" Type="http://schemas.openxmlformats.org/officeDocument/2006/relationships/externalLinkPath" Target="../../../../../Downloads/Avengers_Endgame_attributes.xlsx" TargetMode="External"/><Relationship Id="rId2" Type="http://schemas.openxmlformats.org/officeDocument/2006/relationships/externalLinkPath" Target="/Users/kitkat/Downloads/Avengers_Endgame_attributes.xlsx" TargetMode="External"/><Relationship Id="rId1" Type="http://schemas.openxmlformats.org/officeDocument/2006/relationships/externalLinkPath" Target="/Users/kitkat/Downloads/Avengers_Endgame_attributes.xlsx" TargetMode="External"/></Relationships>
</file>

<file path=xl/externalLinks/_rels/externalLink23.xml.rels><?xml version="1.0" encoding="UTF-8" standalone="yes"?>
<Relationships xmlns="http://schemas.openxmlformats.org/package/2006/relationships"><Relationship Id="rId3" Type="http://schemas.openxmlformats.org/officeDocument/2006/relationships/externalLinkPath" Target="../../../../../Downloads/Avengers_Infinity_War_attributes.xlsx" TargetMode="External"/><Relationship Id="rId2" Type="http://schemas.openxmlformats.org/officeDocument/2006/relationships/externalLinkPath" Target="/Users/kitkat/Downloads/Avengers_Infinity_War_attributes.xlsx" TargetMode="External"/><Relationship Id="rId1" Type="http://schemas.openxmlformats.org/officeDocument/2006/relationships/externalLinkPath" Target="/Users/kitkat/Downloads/Avengers_Infinity_War_attributes.xlsx" TargetMode="External"/></Relationships>
</file>

<file path=xl/externalLinks/_rels/externalLink24.xml.rels><?xml version="1.0" encoding="UTF-8" standalone="yes"?>
<Relationships xmlns="http://schemas.openxmlformats.org/package/2006/relationships"><Relationship Id="rId3" Type="http://schemas.openxmlformats.org/officeDocument/2006/relationships/externalLinkPath" Target="../../../../../Downloads/Black_Panther_Wakanda_Forever_attributes.xlsx" TargetMode="External"/><Relationship Id="rId2" Type="http://schemas.openxmlformats.org/officeDocument/2006/relationships/externalLinkPath" Target="/Users/kitkat/Downloads/Black_Panther_Wakanda_Forever_attributes.xlsx" TargetMode="External"/><Relationship Id="rId1" Type="http://schemas.openxmlformats.org/officeDocument/2006/relationships/externalLinkPath" Target="/Users/kitkat/Downloads/Black_Panther_Wakanda_Forever_attributes.xlsx" TargetMode="External"/></Relationships>
</file>

<file path=xl/externalLinks/_rels/externalLink25.xml.rels><?xml version="1.0" encoding="UTF-8" standalone="yes"?>
<Relationships xmlns="http://schemas.openxmlformats.org/package/2006/relationships"><Relationship Id="rId3" Type="http://schemas.openxmlformats.org/officeDocument/2006/relationships/externalLinkPath" Target="../../../../../Downloads/Captain_America_Brave_New_World_attributes.xlsx" TargetMode="External"/><Relationship Id="rId2" Type="http://schemas.openxmlformats.org/officeDocument/2006/relationships/externalLinkPath" Target="/Users/kitkat/Downloads/Captain_America_Brave_New_World_attributes.xlsx" TargetMode="External"/><Relationship Id="rId1" Type="http://schemas.openxmlformats.org/officeDocument/2006/relationships/externalLinkPath" Target="/Users/kitkat/Downloads/Captain_America_Brave_New_World_attributes.xlsx" TargetMode="External"/></Relationships>
</file>

<file path=xl/externalLinks/_rels/externalLink26.xml.rels><?xml version="1.0" encoding="UTF-8" standalone="yes"?>
<Relationships xmlns="http://schemas.openxmlformats.org/package/2006/relationships"><Relationship Id="rId3" Type="http://schemas.openxmlformats.org/officeDocument/2006/relationships/externalLinkPath" Target="../../../../../Downloads/Captain_America_Civil_War_attributes.xlsx" TargetMode="External"/><Relationship Id="rId2" Type="http://schemas.openxmlformats.org/officeDocument/2006/relationships/externalLinkPath" Target="/Users/kitkat/Downloads/Captain_America_Civil_War_attributes.xlsx" TargetMode="External"/><Relationship Id="rId1" Type="http://schemas.openxmlformats.org/officeDocument/2006/relationships/externalLinkPath" Target="/Users/kitkat/Downloads/Captain_America_Civil_War_attributes.xlsx" TargetMode="External"/></Relationships>
</file>

<file path=xl/externalLinks/_rels/externalLink27.xml.rels><?xml version="1.0" encoding="UTF-8" standalone="yes"?>
<Relationships xmlns="http://schemas.openxmlformats.org/package/2006/relationships"><Relationship Id="rId3" Type="http://schemas.openxmlformats.org/officeDocument/2006/relationships/externalLinkPath" Target="../../../../../Downloads/Captain_America_The_First_Avenger_attributes.xlsx" TargetMode="External"/><Relationship Id="rId2" Type="http://schemas.openxmlformats.org/officeDocument/2006/relationships/externalLinkPath" Target="/Users/kitkat/Downloads/Captain_America_The_First_Avenger_attributes.xlsx" TargetMode="External"/><Relationship Id="rId1" Type="http://schemas.openxmlformats.org/officeDocument/2006/relationships/externalLinkPath" Target="/Users/kitkat/Downloads/Captain_America_The_First_Avenger_attributes.xlsx" TargetMode="External"/></Relationships>
</file>

<file path=xl/externalLinks/_rels/externalLink28.xml.rels><?xml version="1.0" encoding="UTF-8" standalone="yes"?>
<Relationships xmlns="http://schemas.openxmlformats.org/package/2006/relationships"><Relationship Id="rId3" Type="http://schemas.openxmlformats.org/officeDocument/2006/relationships/externalLinkPath" Target="../../../../../Downloads/Captain_America_The_Winter_Soldier_attributes.xlsx" TargetMode="External"/><Relationship Id="rId2" Type="http://schemas.openxmlformats.org/officeDocument/2006/relationships/externalLinkPath" Target="/Users/kitkat/Downloads/Captain_America_The_Winter_Soldier_attributes.xlsx" TargetMode="External"/><Relationship Id="rId1" Type="http://schemas.openxmlformats.org/officeDocument/2006/relationships/externalLinkPath" Target="/Users/kitkat/Downloads/Captain_America_The_Winter_Soldier_attributes.xlsx" TargetMode="External"/></Relationships>
</file>

<file path=xl/externalLinks/_rels/externalLink29.xml.rels><?xml version="1.0" encoding="UTF-8" standalone="yes"?>
<Relationships xmlns="http://schemas.openxmlformats.org/package/2006/relationships"><Relationship Id="rId3" Type="http://schemas.openxmlformats.org/officeDocument/2006/relationships/externalLinkPath" Target="../../../../../Downloads/Spider-Man_Far_From_Home_attributes.xlsx" TargetMode="External"/><Relationship Id="rId2" Type="http://schemas.openxmlformats.org/officeDocument/2006/relationships/externalLinkPath" Target="/Users/kitkat/Downloads/Spider-Man_Far_From_Home_attributes.xlsx" TargetMode="External"/><Relationship Id="rId1" Type="http://schemas.openxmlformats.org/officeDocument/2006/relationships/externalLinkPath" Target="/Users/kitkat/Downloads/Spider-Man_Far_From_Home_attributes.xlsx" TargetMode="External"/></Relationships>
</file>

<file path=xl/externalLinks/_rels/externalLink30.xml.rels><?xml version="1.0" encoding="UTF-8" standalone="yes"?>
<Relationships xmlns="http://schemas.openxmlformats.org/package/2006/relationships"><Relationship Id="rId3" Type="http://schemas.openxmlformats.org/officeDocument/2006/relationships/externalLinkPath" Target="../../../../../Downloads/Spider-Man_Homecoming_attributes.xlsx" TargetMode="External"/><Relationship Id="rId2" Type="http://schemas.openxmlformats.org/officeDocument/2006/relationships/externalLinkPath" Target="/Users/kitkat/Downloads/Spider-Man_Homecoming_attributes.xlsx" TargetMode="External"/><Relationship Id="rId1" Type="http://schemas.openxmlformats.org/officeDocument/2006/relationships/externalLinkPath" Target="/Users/kitkat/Downloads/Spider-Man_Homecoming_attributes.xlsx" TargetMode="External"/></Relationships>
</file>

<file path=xl/externalLinks/_rels/externalLink31.xml.rels><?xml version="1.0" encoding="UTF-8" standalone="yes"?>
<Relationships xmlns="http://schemas.openxmlformats.org/package/2006/relationships"><Relationship Id="rId3" Type="http://schemas.openxmlformats.org/officeDocument/2006/relationships/externalLinkPath" Target="../../../../../Downloads/Spider-Man_No_Way_Home_attributes.xlsx" TargetMode="External"/><Relationship Id="rId2" Type="http://schemas.openxmlformats.org/officeDocument/2006/relationships/externalLinkPath" Target="/Users/kitkat/Downloads/Spider-Man_No_Way_Home_attributes.xlsx" TargetMode="External"/><Relationship Id="rId1" Type="http://schemas.openxmlformats.org/officeDocument/2006/relationships/externalLinkPath" Target="/Users/kitkat/Downloads/Spider-Man_No_Way_Home_attributes.xlsx" TargetMode="External"/></Relationships>
</file>

<file path=xl/externalLinks/_rels/externalLink32.xml.rels><?xml version="1.0" encoding="UTF-8" standalone="yes"?>
<Relationships xmlns="http://schemas.openxmlformats.org/package/2006/relationships"><Relationship Id="rId3" Type="http://schemas.openxmlformats.org/officeDocument/2006/relationships/externalLinkPath" Target="../../../../../Downloads/The_Fantastic_Four_First_Steps_attributes.xlsx" TargetMode="External"/><Relationship Id="rId2" Type="http://schemas.openxmlformats.org/officeDocument/2006/relationships/externalLinkPath" Target="/Users/kitkat/Downloads/The_Fantastic_Four_First_Steps_attributes.xlsx" TargetMode="External"/><Relationship Id="rId1" Type="http://schemas.openxmlformats.org/officeDocument/2006/relationships/externalLinkPath" Target="/Users/kitkat/Downloads/The_Fantastic_Four_First_Steps_attributes.xlsx" TargetMode="External"/></Relationships>
</file>

<file path=xl/externalLinks/_rels/externalLink33.xml.rels><?xml version="1.0" encoding="UTF-8" standalone="yes"?>
<Relationships xmlns="http://schemas.openxmlformats.org/package/2006/relationships"><Relationship Id="rId3" Type="http://schemas.openxmlformats.org/officeDocument/2006/relationships/externalLinkPath" Target="../../../../../Downloads/Thor_Love_and_Thunder_attributes.xlsx" TargetMode="External"/><Relationship Id="rId2" Type="http://schemas.openxmlformats.org/officeDocument/2006/relationships/externalLinkPath" Target="/Users/kitkat/Downloads/Thor_Love_and_Thunder_attributes.xlsx" TargetMode="External"/><Relationship Id="rId1" Type="http://schemas.openxmlformats.org/officeDocument/2006/relationships/externalLinkPath" Target="/Users/kitkat/Downloads/Thor_Love_and_Thunder_attributes.xlsx" TargetMode="External"/></Relationships>
</file>

<file path=xl/externalLinks/_rels/externalLink34.xml.rels><?xml version="1.0" encoding="UTF-8" standalone="yes"?>
<Relationships xmlns="http://schemas.openxmlformats.org/package/2006/relationships"><Relationship Id="rId3" Type="http://schemas.openxmlformats.org/officeDocument/2006/relationships/externalLinkPath" Target="../../../../../Downloads/Thor_Ragnarok_attributes.xlsx" TargetMode="External"/><Relationship Id="rId2" Type="http://schemas.openxmlformats.org/officeDocument/2006/relationships/externalLinkPath" Target="/Users/kitkat/Downloads/Thor_Ragnarok_attributes.xlsx" TargetMode="External"/><Relationship Id="rId1" Type="http://schemas.openxmlformats.org/officeDocument/2006/relationships/externalLinkPath" Target="/Users/kitkat/Downloads/Thor_Ragnarok_attributes.xlsx" TargetMode="External"/></Relationships>
</file>

<file path=xl/externalLinks/_rels/externalLink35.xml.rels><?xml version="1.0" encoding="UTF-8" standalone="yes"?>
<Relationships xmlns="http://schemas.openxmlformats.org/package/2006/relationships"><Relationship Id="rId3" Type="http://schemas.openxmlformats.org/officeDocument/2006/relationships/externalLinkPath" Target="../../../../../Downloads/Thor_The_Dark_World_attributes.xlsx" TargetMode="External"/><Relationship Id="rId2" Type="http://schemas.openxmlformats.org/officeDocument/2006/relationships/externalLinkPath" Target="/Users/kitkat/Downloads/Thor_The_Dark_World_attributes.xlsx" TargetMode="External"/><Relationship Id="rId1" Type="http://schemas.openxmlformats.org/officeDocument/2006/relationships/externalLinkPath" Target="/Users/kitkat/Downloads/Thor_The_Dark_World_attributes.xlsx" TargetMode="External"/></Relationships>
</file>

<file path=xl/externalLinks/_rels/externalLink36.xml.rels><?xml version="1.0" encoding="UTF-8" standalone="yes"?>
<Relationships xmlns="http://schemas.openxmlformats.org/package/2006/relationships"><Relationship Id="rId3" Type="http://schemas.openxmlformats.org/officeDocument/2006/relationships/externalLinkPath" Target="../processing/filter%203/xlsx/attributed/Thunderbolts*_attributes.xlsx" TargetMode="External"/><Relationship Id="rId2" Type="http://schemas.openxmlformats.org/officeDocument/2006/relationships/externalLinkPath" Target="/Users/kitkat/github%20projects/Marvel-Analytics-by-KS/movie-release-optimization/data/processing/filter%203/xlsx/attributed/Thunderbolts*_attributes.xlsx" TargetMode="External"/><Relationship Id="rId1" Type="http://schemas.openxmlformats.org/officeDocument/2006/relationships/externalLinkPath" Target="/Users/kitkat/github%20projects/Marvel-Analytics-by-KS/movie-release-optimization/data/processing/filter%203/xlsx/attributed/Thunderbolts*_attribu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nt-Man_and_the_Wasp_attributes"/>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Black_Panther_attributes"/>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Black_Widow_attributes"/>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aptain_Marvel_attributes"/>
    </sheetNames>
    <sheetDataSet>
      <sheetData sheetId="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eadpool_&amp;_Wolverine_attributes"/>
    </sheetNames>
    <sheetDataSet>
      <sheetData sheetId="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octor_Strange_attributes"/>
    </sheetNames>
    <sheetDataSet>
      <sheetData sheetId="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octor_Strange_in_the_Multivers"/>
    </sheetNames>
    <sheetDataSet>
      <sheetData sheetId="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ternals_attributes"/>
    </sheetNames>
    <sheetDataSet>
      <sheetData sheetId="0"/>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Guardians_of_the_Galaxy_attribu"/>
    </sheetNames>
    <sheetDataSet>
      <sheetData sheetId="0"/>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Guardians_of_the_Galaxy_Vol._2_"/>
    </sheetNames>
    <sheetDataSet>
      <sheetData sheetId="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Guardians_of_the_Galaxy_Vol._3_"/>
    </sheetNames>
    <sheetDataSet>
      <sheetData sheetId="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ron_Man_2_attributes"/>
    </sheetNames>
    <sheetDataSet>
      <sheetData sheetId="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ron_Man_3_attributes"/>
    </sheetNames>
    <sheetDataSet>
      <sheetData sheetId="0"/>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ron_Man_attributes"/>
    </sheetNames>
    <sheetDataSet>
      <sheetData sheetId="0"/>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ang-Chi_and_the_Legend_of_the"/>
    </sheetNames>
    <sheetDataSet>
      <sheetData sheetId="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he_Avengers_attributes"/>
    </sheetNames>
    <sheetDataSet>
      <sheetData sheetId="0"/>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he_Incredible_Hulk_attributes"/>
    </sheetNames>
    <sheetDataSet>
      <sheetData sheetId="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he_Marvels_attributes"/>
    </sheetNames>
    <sheetDataSet>
      <sheetData sheetId="0"/>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hor_attributes"/>
    </sheetNames>
    <sheetDataSet>
      <sheetData sheetId="0"/>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covered_Sheet1"/>
    </sheetNames>
    <sheetDataSet>
      <sheetData sheetId="0"/>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covered_Sheet1"/>
    </sheetNames>
    <sheetDataSet>
      <sheetData sheetId="0"/>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covered_Sheet1"/>
    </sheetNames>
    <sheetDataSet>
      <sheetData sheetId="0"/>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covered_Sheet1"/>
    </sheetNames>
    <sheetDataSet>
      <sheetData sheetId="0"/>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covered_Sheet1"/>
    </sheetNames>
    <sheetDataSet>
      <sheetData sheetId="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covered_Sheet1"/>
    </sheetNames>
    <sheetDataSet>
      <sheetData sheetId="0"/>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covered_Sheet1"/>
    </sheetNames>
    <sheetDataSet>
      <sheetData sheetId="0"/>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covered_Sheet1"/>
    </sheetNames>
    <sheetDataSet>
      <sheetData sheetId="0"/>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covered_Sheet1"/>
    </sheetNames>
    <sheetDataSet>
      <sheetData sheetId="0"/>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covered_Sheet1"/>
    </sheetNames>
    <sheetDataSet>
      <sheetData sheetId="0"/>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covered_Sheet1"/>
    </sheetNames>
    <sheetDataSet>
      <sheetData sheetId="0"/>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covered_Sheet1"/>
    </sheetNames>
    <sheetDataSet>
      <sheetData sheetId="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covered_Sheet1"/>
    </sheetNames>
    <sheetDataSet>
      <sheetData sheetId="0"/>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covered_Sheet1"/>
    </sheetNames>
    <sheetDataSet>
      <sheetData sheetId="0"/>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covered_Sheet1"/>
    </sheetNames>
    <sheetDataSet>
      <sheetData sheetId="0"/>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covered_Sheet1"/>
    </sheetNames>
    <sheetDataSet>
      <sheetData sheetId="0"/>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covered_Sheet1"/>
    </sheetNames>
    <sheetDataSet>
      <sheetData sheetId="0"/>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64A9BD-9A48-9C43-9C98-8B09DFDFD77E}" name="Table1" displayName="Table1" ref="A1:AF38" totalsRowShown="0">
  <autoFilter ref="A1:AF38" xr:uid="{D664A9BD-9A48-9C43-9C98-8B09DFDFD77E}"/>
  <sortState xmlns:xlrd2="http://schemas.microsoft.com/office/spreadsheetml/2017/richdata2" ref="A2:AF38">
    <sortCondition ref="B1:B38"/>
  </sortState>
  <tableColumns count="32">
    <tableColumn id="1" xr3:uid="{6211BE0C-7FF9-CD4A-A23B-31DDAB9DF2D2}" name="id"/>
    <tableColumn id="2" xr3:uid="{CB03FBD4-91E9-3440-AE07-076591BA2CDA}" name="title"/>
    <tableColumn id="3" xr3:uid="{81F18835-4450-014F-986E-B7014E0074A8}" name="vote_average"/>
    <tableColumn id="4" xr3:uid="{560D3A9F-8C88-E14B-8D39-A23D39AC959B}" name="vote_count"/>
    <tableColumn id="5" xr3:uid="{77AF8C64-F08F-DD49-9C8B-2FE8E092E557}" name="status"/>
    <tableColumn id="6" xr3:uid="{63539D0E-D6E4-EB4C-BC56-DF3B98E2FBA7}" name="release_date" dataDxfId="0"/>
    <tableColumn id="7" xr3:uid="{34E3382A-DA7A-9B49-92D7-937784FCA62A}" name="revenue"/>
    <tableColumn id="8" xr3:uid="{A8E17E44-8001-434C-917C-03E319C0167C}" name="runtime"/>
    <tableColumn id="9" xr3:uid="{288A5DB9-9408-4146-A267-8E0B6A88AEE5}" name="budget"/>
    <tableColumn id="10" xr3:uid="{372E4280-1745-2341-A61D-D9DE9428A821}" name="imdb_id"/>
    <tableColumn id="11" xr3:uid="{C7FCC46F-EC86-344E-B4F6-7B7A3EB1E123}" name="original_language"/>
    <tableColumn id="12" xr3:uid="{492E4DE0-19FF-6E49-A307-2F8A049532AA}" name="original_title"/>
    <tableColumn id="13" xr3:uid="{B3F00021-94B3-374A-9EB4-F0ECB93EDAB4}" name="overview"/>
    <tableColumn id="14" xr3:uid="{FFB1023E-BD73-6E4D-8B5D-A5E107CEAE6E}" name="popularity"/>
    <tableColumn id="15" xr3:uid="{7CC64AE3-F314-3143-9DFE-A0A8C4EDBAAB}" name="tagline"/>
    <tableColumn id="16" xr3:uid="{44149CAA-CEDA-2544-8E59-3AE975A0B5E5}" name="genres"/>
    <tableColumn id="17" xr3:uid="{80F66E65-634D-F849-8D53-1AA6170CF971}" name="production_companies"/>
    <tableColumn id="18" xr3:uid="{A78FE2E3-13CF-C44D-A941-53AF08BEDD78}" name="production_countries"/>
    <tableColumn id="19" xr3:uid="{20504BEC-1A77-8A42-B19B-18497AF4DE55}" name="spoken_languages"/>
    <tableColumn id="20" xr3:uid="{FC608D64-51FC-C342-9F47-CD2451495611}" name="cast"/>
    <tableColumn id="21" xr3:uid="{643F61C8-E203-AA49-BA1D-C46DE0A55D64}" name="director"/>
    <tableColumn id="22" xr3:uid="{7E207DD0-8117-E444-BFA9-440495572B55}" name="director_of_photography"/>
    <tableColumn id="23" xr3:uid="{5A9EAEA7-7481-044B-B6DE-EBC7EB193745}" name="writers"/>
    <tableColumn id="24" xr3:uid="{17AC0FED-C6E8-DE4A-BA65-B4ED8BC34450}" name="producers"/>
    <tableColumn id="25" xr3:uid="{7E80225F-FFAA-6C40-BA15-D21C0F812422}" name="music_composer"/>
    <tableColumn id="26" xr3:uid="{53B16D80-72C2-B14B-ADBD-1436C1CFF284}" name="imdb_rating"/>
    <tableColumn id="27" xr3:uid="{BA0E37E8-4832-9248-B18D-0ABB21A0A056}" name="imdb_votes"/>
    <tableColumn id="28" xr3:uid="{6CF1D056-EE49-6241-8378-FB35A4A6E2E9}" name="poster_path"/>
    <tableColumn id="29" xr3:uid="{A8D974A0-2D09-374B-813B-F1BF9E992A5C}" name="release_month"/>
    <tableColumn id="30" xr3:uid="{7D800596-0CA6-4F48-A217-52B0C561242E}" name="release_year"/>
    <tableColumn id="31" xr3:uid="{0DE66A22-423A-9447-9282-71B47B8AEE31}" name="ISO_week"/>
    <tableColumn id="32" xr3:uid="{B2422398-5302-C642-A723-A1BAD5F77F9F}" name="sco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252CD-D75A-3545-8142-60D14F5394DC}">
  <dimension ref="A1:AF38"/>
  <sheetViews>
    <sheetView tabSelected="1" workbookViewId="0">
      <selection activeCell="AF38" sqref="AF38"/>
    </sheetView>
  </sheetViews>
  <sheetFormatPr baseColWidth="10" defaultRowHeight="16" x14ac:dyDescent="0.2"/>
  <cols>
    <col min="2" max="2" width="37.1640625" bestFit="1" customWidth="1"/>
    <col min="3" max="3" width="14.33203125" hidden="1" customWidth="1"/>
    <col min="4" max="4" width="12.5" hidden="1" customWidth="1"/>
    <col min="5" max="5" width="0" hidden="1" customWidth="1"/>
    <col min="6" max="6" width="14.1640625" hidden="1" customWidth="1"/>
    <col min="7" max="10" width="0" hidden="1" customWidth="1"/>
    <col min="11" max="11" width="18" hidden="1" customWidth="1"/>
    <col min="12" max="12" width="13.83203125" hidden="1" customWidth="1"/>
    <col min="13" max="13" width="0" hidden="1" customWidth="1"/>
    <col min="14" max="14" width="11.6640625" hidden="1" customWidth="1"/>
    <col min="15" max="16" width="0" hidden="1" customWidth="1"/>
    <col min="17" max="17" width="22.33203125" hidden="1" customWidth="1"/>
    <col min="18" max="18" width="21" hidden="1" customWidth="1"/>
    <col min="19" max="19" width="18.83203125" hidden="1" customWidth="1"/>
    <col min="20" max="21" width="0" hidden="1" customWidth="1"/>
    <col min="22" max="22" width="23.5" hidden="1" customWidth="1"/>
    <col min="23" max="23" width="0" hidden="1" customWidth="1"/>
    <col min="24" max="24" width="11.83203125" hidden="1" customWidth="1"/>
    <col min="25" max="25" width="17.83203125" hidden="1" customWidth="1"/>
    <col min="26" max="26" width="13.33203125" hidden="1" customWidth="1"/>
    <col min="27" max="27" width="13" hidden="1" customWidth="1"/>
    <col min="28" max="28" width="13.33203125" hidden="1" customWidth="1"/>
    <col min="29" max="29" width="15.83203125" hidden="1" customWidth="1"/>
    <col min="30" max="30" width="14" hidden="1" customWidth="1"/>
    <col min="31" max="31" width="11.5" hidden="1" customWidth="1"/>
  </cols>
  <sheetData>
    <row r="1" spans="1:3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447</v>
      </c>
    </row>
    <row r="2" spans="1:32" x14ac:dyDescent="0.2">
      <c r="A2">
        <v>102899</v>
      </c>
      <c r="B2" t="s">
        <v>166</v>
      </c>
      <c r="C2">
        <v>7.0670000000000002</v>
      </c>
      <c r="D2">
        <v>20407</v>
      </c>
      <c r="E2" t="s">
        <v>32</v>
      </c>
      <c r="F2" s="1">
        <v>42199</v>
      </c>
      <c r="G2">
        <v>519311965</v>
      </c>
      <c r="H2">
        <v>117</v>
      </c>
      <c r="I2">
        <v>130000000</v>
      </c>
      <c r="J2" t="s">
        <v>167</v>
      </c>
      <c r="K2" t="s">
        <v>34</v>
      </c>
      <c r="L2" t="s">
        <v>166</v>
      </c>
      <c r="M2" t="s">
        <v>168</v>
      </c>
      <c r="N2">
        <v>7.3813000000000004</v>
      </c>
      <c r="O2" t="s">
        <v>169</v>
      </c>
      <c r="P2" t="s">
        <v>52</v>
      </c>
      <c r="Q2" t="s">
        <v>105</v>
      </c>
      <c r="R2" t="s">
        <v>39</v>
      </c>
      <c r="S2" t="s">
        <v>80</v>
      </c>
      <c r="T2" t="s">
        <v>170</v>
      </c>
      <c r="U2" t="s">
        <v>171</v>
      </c>
      <c r="V2" t="s">
        <v>172</v>
      </c>
      <c r="W2" t="s">
        <v>173</v>
      </c>
      <c r="X2" t="s">
        <v>174</v>
      </c>
      <c r="Y2" t="s">
        <v>175</v>
      </c>
      <c r="Z2">
        <v>7.2</v>
      </c>
      <c r="AA2">
        <v>766655</v>
      </c>
      <c r="AB2" t="s">
        <v>176</v>
      </c>
      <c r="AC2">
        <v>7</v>
      </c>
      <c r="AD2">
        <v>2015</v>
      </c>
      <c r="AE2">
        <v>29</v>
      </c>
      <c r="AF2">
        <v>52.20350783</v>
      </c>
    </row>
    <row r="3" spans="1:32" x14ac:dyDescent="0.2">
      <c r="A3">
        <v>363088</v>
      </c>
      <c r="B3" t="s">
        <v>250</v>
      </c>
      <c r="C3">
        <v>6.9</v>
      </c>
      <c r="D3">
        <v>13810</v>
      </c>
      <c r="E3" t="s">
        <v>32</v>
      </c>
      <c r="F3" s="1">
        <v>43285</v>
      </c>
      <c r="G3">
        <v>622674139</v>
      </c>
      <c r="H3">
        <v>119</v>
      </c>
      <c r="I3">
        <v>140000000</v>
      </c>
      <c r="J3" t="s">
        <v>251</v>
      </c>
      <c r="K3" t="s">
        <v>34</v>
      </c>
      <c r="L3" t="s">
        <v>250</v>
      </c>
      <c r="M3" t="s">
        <v>252</v>
      </c>
      <c r="N3">
        <v>4.8506</v>
      </c>
      <c r="O3" t="s">
        <v>253</v>
      </c>
      <c r="P3" t="s">
        <v>92</v>
      </c>
      <c r="Q3" t="s">
        <v>105</v>
      </c>
      <c r="R3" t="s">
        <v>39</v>
      </c>
      <c r="S3" t="s">
        <v>80</v>
      </c>
      <c r="T3" t="s">
        <v>254</v>
      </c>
      <c r="U3" t="s">
        <v>171</v>
      </c>
      <c r="V3" t="s">
        <v>255</v>
      </c>
      <c r="W3" t="s">
        <v>256</v>
      </c>
      <c r="X3" t="s">
        <v>257</v>
      </c>
      <c r="Y3" t="s">
        <v>175</v>
      </c>
      <c r="Z3">
        <v>7</v>
      </c>
      <c r="AA3">
        <v>484337</v>
      </c>
      <c r="AB3" t="s">
        <v>258</v>
      </c>
      <c r="AC3">
        <v>7</v>
      </c>
      <c r="AD3">
        <v>2018</v>
      </c>
      <c r="AE3">
        <v>27</v>
      </c>
      <c r="AF3" s="2">
        <f>SUBTOTAL(104,[1]!Table1[score])</f>
        <v>5.5723107356640202</v>
      </c>
    </row>
    <row r="4" spans="1:32" x14ac:dyDescent="0.2">
      <c r="A4">
        <v>640146</v>
      </c>
      <c r="B4" t="s">
        <v>368</v>
      </c>
      <c r="C4">
        <v>6.3</v>
      </c>
      <c r="D4">
        <v>5489</v>
      </c>
      <c r="E4" t="s">
        <v>32</v>
      </c>
      <c r="F4" s="1">
        <v>44972</v>
      </c>
      <c r="G4">
        <v>476071180</v>
      </c>
      <c r="H4">
        <v>125</v>
      </c>
      <c r="I4">
        <v>200000000</v>
      </c>
      <c r="J4" t="s">
        <v>369</v>
      </c>
      <c r="K4" t="s">
        <v>34</v>
      </c>
      <c r="L4" t="s">
        <v>368</v>
      </c>
      <c r="M4" t="s">
        <v>370</v>
      </c>
      <c r="N4">
        <v>7.1325000000000003</v>
      </c>
      <c r="O4" t="s">
        <v>371</v>
      </c>
      <c r="P4" t="s">
        <v>92</v>
      </c>
      <c r="Q4" t="s">
        <v>338</v>
      </c>
      <c r="R4" t="s">
        <v>39</v>
      </c>
      <c r="S4" t="s">
        <v>80</v>
      </c>
      <c r="T4" t="s">
        <v>372</v>
      </c>
      <c r="U4" t="s">
        <v>171</v>
      </c>
      <c r="V4" t="s">
        <v>309</v>
      </c>
      <c r="W4" t="s">
        <v>373</v>
      </c>
      <c r="X4" t="s">
        <v>374</v>
      </c>
      <c r="Y4" t="s">
        <v>375</v>
      </c>
      <c r="Z4">
        <v>6</v>
      </c>
      <c r="AA4">
        <v>261071</v>
      </c>
      <c r="AB4" t="s">
        <v>376</v>
      </c>
      <c r="AC4">
        <v>2</v>
      </c>
      <c r="AD4">
        <v>2023</v>
      </c>
      <c r="AE4">
        <v>7</v>
      </c>
      <c r="AF4">
        <f>SUBTOTAL(109,[20]!Table1[score])</f>
        <v>39.129608013940228</v>
      </c>
    </row>
    <row r="5" spans="1:32" x14ac:dyDescent="0.2">
      <c r="A5">
        <v>99861</v>
      </c>
      <c r="B5" t="s">
        <v>157</v>
      </c>
      <c r="C5">
        <v>7.2709999999999999</v>
      </c>
      <c r="D5">
        <v>23836</v>
      </c>
      <c r="E5" t="s">
        <v>32</v>
      </c>
      <c r="F5" s="1">
        <v>42116</v>
      </c>
      <c r="G5">
        <v>1405403694</v>
      </c>
      <c r="H5">
        <v>141</v>
      </c>
      <c r="I5">
        <v>365000000</v>
      </c>
      <c r="J5" t="s">
        <v>158</v>
      </c>
      <c r="K5" t="s">
        <v>34</v>
      </c>
      <c r="L5" t="s">
        <v>157</v>
      </c>
      <c r="M5" t="s">
        <v>159</v>
      </c>
      <c r="N5">
        <v>14.991099999999999</v>
      </c>
      <c r="O5" t="s">
        <v>160</v>
      </c>
      <c r="P5" t="s">
        <v>92</v>
      </c>
      <c r="Q5" t="s">
        <v>105</v>
      </c>
      <c r="R5" t="s">
        <v>39</v>
      </c>
      <c r="S5" t="s">
        <v>80</v>
      </c>
      <c r="T5" t="s">
        <v>161</v>
      </c>
      <c r="U5" t="s">
        <v>108</v>
      </c>
      <c r="V5" t="s">
        <v>152</v>
      </c>
      <c r="W5" t="s">
        <v>162</v>
      </c>
      <c r="X5" t="s">
        <v>163</v>
      </c>
      <c r="Y5" t="s">
        <v>164</v>
      </c>
      <c r="Z5">
        <v>7.3</v>
      </c>
      <c r="AA5">
        <v>980228</v>
      </c>
      <c r="AB5" t="s">
        <v>165</v>
      </c>
      <c r="AC5">
        <v>4</v>
      </c>
      <c r="AD5">
        <v>2015</v>
      </c>
      <c r="AE5">
        <v>17</v>
      </c>
      <c r="AF5">
        <f>SUBTOTAL(109,[21]!Table1[score])</f>
        <v>50.564235675636553</v>
      </c>
    </row>
    <row r="6" spans="1:32" x14ac:dyDescent="0.2">
      <c r="A6">
        <v>299534</v>
      </c>
      <c r="B6" t="s">
        <v>269</v>
      </c>
      <c r="C6">
        <v>8.2370000000000001</v>
      </c>
      <c r="D6">
        <v>26907</v>
      </c>
      <c r="E6" t="s">
        <v>32</v>
      </c>
      <c r="F6" s="1">
        <v>43579</v>
      </c>
      <c r="G6">
        <v>2799439100</v>
      </c>
      <c r="H6">
        <v>181</v>
      </c>
      <c r="I6">
        <v>356000000</v>
      </c>
      <c r="J6" t="s">
        <v>270</v>
      </c>
      <c r="K6" t="s">
        <v>34</v>
      </c>
      <c r="L6" t="s">
        <v>269</v>
      </c>
      <c r="M6" t="s">
        <v>271</v>
      </c>
      <c r="N6">
        <v>13.8774</v>
      </c>
      <c r="O6" t="s">
        <v>272</v>
      </c>
      <c r="P6" t="s">
        <v>273</v>
      </c>
      <c r="Q6" t="s">
        <v>105</v>
      </c>
      <c r="R6" t="s">
        <v>39</v>
      </c>
      <c r="S6" t="s">
        <v>274</v>
      </c>
      <c r="T6" t="s">
        <v>275</v>
      </c>
      <c r="U6" t="s">
        <v>246</v>
      </c>
      <c r="V6" t="s">
        <v>141</v>
      </c>
      <c r="W6" t="s">
        <v>276</v>
      </c>
      <c r="X6" t="s">
        <v>277</v>
      </c>
      <c r="Y6" t="s">
        <v>99</v>
      </c>
      <c r="Z6">
        <v>8.4</v>
      </c>
      <c r="AA6">
        <v>1399585</v>
      </c>
      <c r="AB6" t="s">
        <v>278</v>
      </c>
      <c r="AC6">
        <v>4</v>
      </c>
      <c r="AD6">
        <v>2019</v>
      </c>
      <c r="AE6">
        <v>17</v>
      </c>
      <c r="AF6">
        <f>SUBTOTAL(109,[22]!Table1[score])</f>
        <v>35.284947078938067</v>
      </c>
    </row>
    <row r="7" spans="1:32" x14ac:dyDescent="0.2">
      <c r="A7">
        <v>299536</v>
      </c>
      <c r="B7" t="s">
        <v>240</v>
      </c>
      <c r="C7">
        <v>8.2349999999999994</v>
      </c>
      <c r="D7">
        <v>31117</v>
      </c>
      <c r="E7" t="s">
        <v>32</v>
      </c>
      <c r="F7" s="1">
        <v>43215</v>
      </c>
      <c r="G7">
        <v>2052415039</v>
      </c>
      <c r="H7">
        <v>149</v>
      </c>
      <c r="I7">
        <v>300000000</v>
      </c>
      <c r="J7" t="s">
        <v>241</v>
      </c>
      <c r="K7" t="s">
        <v>34</v>
      </c>
      <c r="L7" t="s">
        <v>240</v>
      </c>
      <c r="M7" t="s">
        <v>242</v>
      </c>
      <c r="N7">
        <v>23.532699999999998</v>
      </c>
      <c r="O7" t="s">
        <v>243</v>
      </c>
      <c r="P7" t="s">
        <v>66</v>
      </c>
      <c r="Q7" t="s">
        <v>105</v>
      </c>
      <c r="R7" t="s">
        <v>39</v>
      </c>
      <c r="S7" t="s">
        <v>244</v>
      </c>
      <c r="T7" t="s">
        <v>245</v>
      </c>
      <c r="U7" t="s">
        <v>246</v>
      </c>
      <c r="V7" t="s">
        <v>141</v>
      </c>
      <c r="W7" t="s">
        <v>247</v>
      </c>
      <c r="X7" t="s">
        <v>248</v>
      </c>
      <c r="Y7" t="s">
        <v>99</v>
      </c>
      <c r="Z7">
        <v>8.4</v>
      </c>
      <c r="AA7">
        <v>1329467</v>
      </c>
      <c r="AB7" t="s">
        <v>249</v>
      </c>
      <c r="AC7">
        <v>4</v>
      </c>
      <c r="AD7">
        <v>2018</v>
      </c>
      <c r="AE7">
        <v>17</v>
      </c>
      <c r="AF7">
        <f>SUBTOTAL(109,[23]!Table1[score])</f>
        <v>38.321259594828852</v>
      </c>
    </row>
    <row r="8" spans="1:32" x14ac:dyDescent="0.2">
      <c r="A8">
        <v>284054</v>
      </c>
      <c r="B8" t="s">
        <v>228</v>
      </c>
      <c r="C8">
        <v>7.367</v>
      </c>
      <c r="D8">
        <v>22899</v>
      </c>
      <c r="E8" t="s">
        <v>32</v>
      </c>
      <c r="F8" s="1">
        <v>43144</v>
      </c>
      <c r="G8">
        <v>1349926083</v>
      </c>
      <c r="H8">
        <v>135</v>
      </c>
      <c r="I8">
        <v>200000000</v>
      </c>
      <c r="J8" t="s">
        <v>229</v>
      </c>
      <c r="K8" t="s">
        <v>34</v>
      </c>
      <c r="L8" t="s">
        <v>228</v>
      </c>
      <c r="M8" t="s">
        <v>230</v>
      </c>
      <c r="N8">
        <v>13.1973</v>
      </c>
      <c r="O8" t="s">
        <v>231</v>
      </c>
      <c r="P8" t="s">
        <v>92</v>
      </c>
      <c r="Q8" t="s">
        <v>105</v>
      </c>
      <c r="R8" t="s">
        <v>39</v>
      </c>
      <c r="S8" t="s">
        <v>232</v>
      </c>
      <c r="T8" t="s">
        <v>233</v>
      </c>
      <c r="U8" t="s">
        <v>234</v>
      </c>
      <c r="V8" t="s">
        <v>235</v>
      </c>
      <c r="W8" t="s">
        <v>236</v>
      </c>
      <c r="X8" t="s">
        <v>237</v>
      </c>
      <c r="Y8" t="s">
        <v>238</v>
      </c>
      <c r="Z8">
        <v>7.3</v>
      </c>
      <c r="AA8">
        <v>893449</v>
      </c>
      <c r="AB8" t="s">
        <v>239</v>
      </c>
      <c r="AC8">
        <v>2</v>
      </c>
      <c r="AD8">
        <v>2018</v>
      </c>
      <c r="AE8">
        <v>7</v>
      </c>
      <c r="AF8">
        <f>SUBTOTAL(109,[2]!Table1[score])</f>
        <v>55.368062517857503</v>
      </c>
    </row>
    <row r="9" spans="1:32" x14ac:dyDescent="0.2">
      <c r="A9">
        <v>505642</v>
      </c>
      <c r="B9" t="s">
        <v>358</v>
      </c>
      <c r="C9">
        <v>7.0270000000000001</v>
      </c>
      <c r="D9">
        <v>7097</v>
      </c>
      <c r="E9" t="s">
        <v>32</v>
      </c>
      <c r="F9" s="1">
        <v>44874</v>
      </c>
      <c r="G9">
        <v>859102154</v>
      </c>
      <c r="H9">
        <v>162</v>
      </c>
      <c r="I9">
        <v>250000000</v>
      </c>
      <c r="J9" t="s">
        <v>359</v>
      </c>
      <c r="K9" t="s">
        <v>34</v>
      </c>
      <c r="L9" t="s">
        <v>358</v>
      </c>
      <c r="M9" t="s">
        <v>360</v>
      </c>
      <c r="N9">
        <v>9.2241</v>
      </c>
      <c r="O9" t="s">
        <v>361</v>
      </c>
      <c r="P9" t="s">
        <v>92</v>
      </c>
      <c r="Q9" t="s">
        <v>105</v>
      </c>
      <c r="R9" t="s">
        <v>39</v>
      </c>
      <c r="S9" t="s">
        <v>362</v>
      </c>
      <c r="T9" t="s">
        <v>363</v>
      </c>
      <c r="U9" t="s">
        <v>234</v>
      </c>
      <c r="V9" t="s">
        <v>364</v>
      </c>
      <c r="W9" t="s">
        <v>365</v>
      </c>
      <c r="X9" t="s">
        <v>366</v>
      </c>
      <c r="Y9" t="s">
        <v>238</v>
      </c>
      <c r="Z9">
        <v>6.6</v>
      </c>
      <c r="AA9">
        <v>343864</v>
      </c>
      <c r="AB9" t="s">
        <v>367</v>
      </c>
      <c r="AC9">
        <v>11</v>
      </c>
      <c r="AD9">
        <v>2022</v>
      </c>
      <c r="AE9">
        <v>45</v>
      </c>
      <c r="AF9">
        <f>SUBTOTAL(109,[24]!Table1[score])</f>
        <v>31.356244187787638</v>
      </c>
    </row>
    <row r="10" spans="1:32" x14ac:dyDescent="0.2">
      <c r="A10">
        <v>497698</v>
      </c>
      <c r="B10" t="s">
        <v>290</v>
      </c>
      <c r="C10">
        <v>7.2</v>
      </c>
      <c r="D10">
        <v>10843</v>
      </c>
      <c r="E10" t="s">
        <v>32</v>
      </c>
      <c r="F10" s="1">
        <v>44384</v>
      </c>
      <c r="G10">
        <v>379751131</v>
      </c>
      <c r="H10">
        <v>134</v>
      </c>
      <c r="I10">
        <v>200000000</v>
      </c>
      <c r="J10" t="s">
        <v>291</v>
      </c>
      <c r="K10" t="s">
        <v>34</v>
      </c>
      <c r="L10" t="s">
        <v>290</v>
      </c>
      <c r="M10" t="s">
        <v>292</v>
      </c>
      <c r="N10">
        <v>8.5603999999999996</v>
      </c>
      <c r="O10" t="s">
        <v>293</v>
      </c>
      <c r="P10" t="s">
        <v>92</v>
      </c>
      <c r="Q10" t="s">
        <v>105</v>
      </c>
      <c r="R10" t="s">
        <v>39</v>
      </c>
      <c r="S10" t="s">
        <v>294</v>
      </c>
      <c r="T10" t="s">
        <v>295</v>
      </c>
      <c r="U10" t="s">
        <v>296</v>
      </c>
      <c r="V10" t="s">
        <v>297</v>
      </c>
      <c r="W10" t="s">
        <v>298</v>
      </c>
      <c r="X10" t="s">
        <v>299</v>
      </c>
      <c r="Y10" t="s">
        <v>300</v>
      </c>
      <c r="Z10">
        <v>6.6</v>
      </c>
      <c r="AA10">
        <v>466388</v>
      </c>
      <c r="AB10" t="s">
        <v>301</v>
      </c>
      <c r="AC10">
        <v>7</v>
      </c>
      <c r="AD10">
        <v>2021</v>
      </c>
      <c r="AE10">
        <v>27</v>
      </c>
      <c r="AF10">
        <f>SUBTOTAL(109,[3]!Table1[score])</f>
        <v>53.723377007636941</v>
      </c>
    </row>
    <row r="11" spans="1:32" x14ac:dyDescent="0.2">
      <c r="A11">
        <v>822119</v>
      </c>
      <c r="B11" t="s">
        <v>412</v>
      </c>
      <c r="C11">
        <v>6</v>
      </c>
      <c r="D11">
        <v>2737</v>
      </c>
      <c r="E11" t="s">
        <v>32</v>
      </c>
      <c r="F11" s="1">
        <v>45700</v>
      </c>
      <c r="G11">
        <v>415101577</v>
      </c>
      <c r="H11">
        <v>119</v>
      </c>
      <c r="I11">
        <v>180000000</v>
      </c>
      <c r="J11" t="s">
        <v>413</v>
      </c>
      <c r="K11" t="s">
        <v>34</v>
      </c>
      <c r="L11" t="s">
        <v>412</v>
      </c>
      <c r="M11" t="s">
        <v>414</v>
      </c>
      <c r="N11">
        <v>19.459099999999999</v>
      </c>
      <c r="O11" t="s">
        <v>415</v>
      </c>
      <c r="P11" t="s">
        <v>416</v>
      </c>
      <c r="Q11" t="s">
        <v>338</v>
      </c>
      <c r="R11" t="s">
        <v>39</v>
      </c>
      <c r="S11" t="s">
        <v>417</v>
      </c>
      <c r="T11" t="s">
        <v>418</v>
      </c>
      <c r="U11" t="s">
        <v>419</v>
      </c>
      <c r="V11" t="s">
        <v>131</v>
      </c>
      <c r="W11" t="s">
        <v>420</v>
      </c>
      <c r="X11" t="s">
        <v>421</v>
      </c>
      <c r="Y11" t="s">
        <v>397</v>
      </c>
      <c r="Z11">
        <v>5.6</v>
      </c>
      <c r="AA11">
        <v>169353</v>
      </c>
      <c r="AB11" t="s">
        <v>422</v>
      </c>
      <c r="AC11">
        <v>2</v>
      </c>
      <c r="AD11">
        <v>2025</v>
      </c>
      <c r="AE11">
        <v>7</v>
      </c>
      <c r="AF11">
        <f>SUBTOTAL(109,[25]!Table1[score])</f>
        <v>60.910435477086409</v>
      </c>
    </row>
    <row r="12" spans="1:32" x14ac:dyDescent="0.2">
      <c r="A12">
        <v>271110</v>
      </c>
      <c r="B12" t="s">
        <v>177</v>
      </c>
      <c r="C12">
        <v>7.4480000000000004</v>
      </c>
      <c r="D12">
        <v>23491</v>
      </c>
      <c r="E12" t="s">
        <v>32</v>
      </c>
      <c r="F12" s="1">
        <v>42487</v>
      </c>
      <c r="G12">
        <v>1155046416</v>
      </c>
      <c r="H12">
        <v>147</v>
      </c>
      <c r="I12">
        <v>250000000</v>
      </c>
      <c r="J12" t="s">
        <v>178</v>
      </c>
      <c r="K12" t="s">
        <v>34</v>
      </c>
      <c r="L12" t="s">
        <v>177</v>
      </c>
      <c r="M12" t="s">
        <v>179</v>
      </c>
      <c r="N12">
        <v>9.3527000000000005</v>
      </c>
      <c r="O12" t="s">
        <v>180</v>
      </c>
      <c r="P12" t="s">
        <v>66</v>
      </c>
      <c r="Q12" t="s">
        <v>105</v>
      </c>
      <c r="R12" t="s">
        <v>39</v>
      </c>
      <c r="S12" t="s">
        <v>181</v>
      </c>
      <c r="T12" t="s">
        <v>182</v>
      </c>
      <c r="U12" t="s">
        <v>140</v>
      </c>
      <c r="V12" t="s">
        <v>141</v>
      </c>
      <c r="W12" t="s">
        <v>142</v>
      </c>
      <c r="X12" t="s">
        <v>183</v>
      </c>
      <c r="Y12" t="s">
        <v>144</v>
      </c>
      <c r="Z12">
        <v>7.8</v>
      </c>
      <c r="AA12">
        <v>908395</v>
      </c>
      <c r="AB12" t="s">
        <v>184</v>
      </c>
      <c r="AC12">
        <v>4</v>
      </c>
      <c r="AD12">
        <v>2016</v>
      </c>
      <c r="AE12">
        <v>17</v>
      </c>
      <c r="AF12">
        <f>SUBTOTAL(109,[26]!Table1[score])</f>
        <v>78.155144521464848</v>
      </c>
    </row>
    <row r="13" spans="1:32" x14ac:dyDescent="0.2">
      <c r="A13">
        <v>1771</v>
      </c>
      <c r="B13" t="s">
        <v>88</v>
      </c>
      <c r="C13">
        <v>7.0049999999999999</v>
      </c>
      <c r="D13">
        <v>22241</v>
      </c>
      <c r="E13" t="s">
        <v>32</v>
      </c>
      <c r="F13" s="1">
        <v>40746</v>
      </c>
      <c r="G13">
        <v>370569774</v>
      </c>
      <c r="H13">
        <v>124</v>
      </c>
      <c r="I13">
        <v>140000000</v>
      </c>
      <c r="J13" t="s">
        <v>89</v>
      </c>
      <c r="K13" t="s">
        <v>34</v>
      </c>
      <c r="L13" t="s">
        <v>88</v>
      </c>
      <c r="M13" t="s">
        <v>90</v>
      </c>
      <c r="N13">
        <v>6.2662000000000004</v>
      </c>
      <c r="O13" t="s">
        <v>91</v>
      </c>
      <c r="P13" t="s">
        <v>92</v>
      </c>
      <c r="Q13" t="s">
        <v>79</v>
      </c>
      <c r="R13" t="s">
        <v>39</v>
      </c>
      <c r="S13" t="s">
        <v>93</v>
      </c>
      <c r="T13" t="s">
        <v>94</v>
      </c>
      <c r="U13" t="s">
        <v>95</v>
      </c>
      <c r="V13" t="s">
        <v>96</v>
      </c>
      <c r="W13" t="s">
        <v>97</v>
      </c>
      <c r="X13" t="s">
        <v>98</v>
      </c>
      <c r="Y13" t="s">
        <v>99</v>
      </c>
      <c r="Z13">
        <v>6.9</v>
      </c>
      <c r="AA13">
        <v>950736</v>
      </c>
      <c r="AB13" t="s">
        <v>100</v>
      </c>
      <c r="AC13">
        <v>7</v>
      </c>
      <c r="AD13">
        <v>2011</v>
      </c>
      <c r="AE13">
        <v>29</v>
      </c>
      <c r="AF13">
        <f>SUBTOTAL(109,[27]!Table1[score])</f>
        <v>49.332668780835881</v>
      </c>
    </row>
    <row r="14" spans="1:32" x14ac:dyDescent="0.2">
      <c r="A14">
        <v>100402</v>
      </c>
      <c r="B14" t="s">
        <v>135</v>
      </c>
      <c r="C14">
        <v>7.6550000000000002</v>
      </c>
      <c r="D14">
        <v>19498</v>
      </c>
      <c r="E14" t="s">
        <v>32</v>
      </c>
      <c r="F14" s="1">
        <v>41718</v>
      </c>
      <c r="G14">
        <v>714766572</v>
      </c>
      <c r="H14">
        <v>136</v>
      </c>
      <c r="I14">
        <v>170000000</v>
      </c>
      <c r="J14" t="s">
        <v>136</v>
      </c>
      <c r="K14" t="s">
        <v>34</v>
      </c>
      <c r="L14" t="s">
        <v>135</v>
      </c>
      <c r="M14" t="s">
        <v>137</v>
      </c>
      <c r="N14">
        <v>5.8014999999999999</v>
      </c>
      <c r="O14" t="s">
        <v>138</v>
      </c>
      <c r="P14" t="s">
        <v>92</v>
      </c>
      <c r="Q14" t="s">
        <v>105</v>
      </c>
      <c r="R14" t="s">
        <v>39</v>
      </c>
      <c r="S14" t="s">
        <v>80</v>
      </c>
      <c r="T14" t="s">
        <v>139</v>
      </c>
      <c r="U14" t="s">
        <v>140</v>
      </c>
      <c r="V14" t="s">
        <v>141</v>
      </c>
      <c r="W14" t="s">
        <v>142</v>
      </c>
      <c r="X14" t="s">
        <v>143</v>
      </c>
      <c r="Y14" t="s">
        <v>144</v>
      </c>
      <c r="Z14">
        <v>7.7</v>
      </c>
      <c r="AA14">
        <v>954218</v>
      </c>
      <c r="AB14" t="s">
        <v>145</v>
      </c>
      <c r="AC14">
        <v>3</v>
      </c>
      <c r="AD14">
        <v>2014</v>
      </c>
      <c r="AE14">
        <v>12</v>
      </c>
      <c r="AF14">
        <f>SUBTOTAL(109,[28]!Table1[score])</f>
        <v>66.294096640332626</v>
      </c>
    </row>
    <row r="15" spans="1:32" x14ac:dyDescent="0.2">
      <c r="A15">
        <v>299537</v>
      </c>
      <c r="B15" t="s">
        <v>259</v>
      </c>
      <c r="C15">
        <v>6.7910000000000004</v>
      </c>
      <c r="D15">
        <v>16324</v>
      </c>
      <c r="E15" t="s">
        <v>32</v>
      </c>
      <c r="F15" s="1">
        <v>43530</v>
      </c>
      <c r="G15">
        <v>1131416446</v>
      </c>
      <c r="H15">
        <v>124</v>
      </c>
      <c r="I15">
        <v>152000000</v>
      </c>
      <c r="J15" t="s">
        <v>260</v>
      </c>
      <c r="K15" t="s">
        <v>34</v>
      </c>
      <c r="L15" t="s">
        <v>259</v>
      </c>
      <c r="M15" t="s">
        <v>261</v>
      </c>
      <c r="N15">
        <v>9.8559999999999999</v>
      </c>
      <c r="O15" t="s">
        <v>262</v>
      </c>
      <c r="P15" t="s">
        <v>92</v>
      </c>
      <c r="Q15" t="s">
        <v>105</v>
      </c>
      <c r="R15" t="s">
        <v>39</v>
      </c>
      <c r="S15" t="s">
        <v>80</v>
      </c>
      <c r="T15" t="s">
        <v>263</v>
      </c>
      <c r="U15" t="s">
        <v>264</v>
      </c>
      <c r="V15" t="s">
        <v>152</v>
      </c>
      <c r="W15" t="s">
        <v>265</v>
      </c>
      <c r="X15" t="s">
        <v>266</v>
      </c>
      <c r="Y15" t="s">
        <v>267</v>
      </c>
      <c r="Z15">
        <v>6.7</v>
      </c>
      <c r="AA15">
        <v>646468</v>
      </c>
      <c r="AB15" t="s">
        <v>268</v>
      </c>
      <c r="AC15">
        <v>3</v>
      </c>
      <c r="AD15">
        <v>2019</v>
      </c>
      <c r="AE15">
        <v>10</v>
      </c>
      <c r="AF15">
        <f>SUBTOTAL(109,[4]!Table1[score])</f>
        <v>43.637569817636013</v>
      </c>
    </row>
    <row r="16" spans="1:32" x14ac:dyDescent="0.2">
      <c r="A16">
        <v>533535</v>
      </c>
      <c r="B16" t="s">
        <v>399</v>
      </c>
      <c r="C16">
        <v>7.5709999999999997</v>
      </c>
      <c r="D16">
        <v>7906</v>
      </c>
      <c r="E16" t="s">
        <v>32</v>
      </c>
      <c r="F16" s="1">
        <v>45497</v>
      </c>
      <c r="G16">
        <v>1338073645</v>
      </c>
      <c r="H16">
        <v>128</v>
      </c>
      <c r="I16">
        <v>200000000</v>
      </c>
      <c r="J16" t="s">
        <v>400</v>
      </c>
      <c r="K16" t="s">
        <v>34</v>
      </c>
      <c r="L16" t="s">
        <v>399</v>
      </c>
      <c r="M16" t="s">
        <v>401</v>
      </c>
      <c r="N16">
        <v>27.9481</v>
      </c>
      <c r="O16" t="s">
        <v>402</v>
      </c>
      <c r="P16" t="s">
        <v>403</v>
      </c>
      <c r="Q16" t="s">
        <v>404</v>
      </c>
      <c r="R16" t="s">
        <v>39</v>
      </c>
      <c r="S16" t="s">
        <v>80</v>
      </c>
      <c r="T16" t="s">
        <v>405</v>
      </c>
      <c r="U16" t="s">
        <v>406</v>
      </c>
      <c r="V16" t="s">
        <v>407</v>
      </c>
      <c r="W16" t="s">
        <v>408</v>
      </c>
      <c r="X16" t="s">
        <v>409</v>
      </c>
      <c r="Y16" t="s">
        <v>410</v>
      </c>
      <c r="Z16">
        <v>7.5</v>
      </c>
      <c r="AA16">
        <v>537306</v>
      </c>
      <c r="AB16" t="s">
        <v>411</v>
      </c>
      <c r="AC16">
        <v>7</v>
      </c>
      <c r="AD16">
        <v>2024</v>
      </c>
      <c r="AE16">
        <v>30</v>
      </c>
      <c r="AF16">
        <f>SUBTOTAL(109,[5]!Table1[score])</f>
        <v>42.080279774497633</v>
      </c>
    </row>
    <row r="17" spans="1:32" x14ac:dyDescent="0.2">
      <c r="A17">
        <v>284052</v>
      </c>
      <c r="B17" t="s">
        <v>185</v>
      </c>
      <c r="C17">
        <v>7.4</v>
      </c>
      <c r="D17">
        <v>22899</v>
      </c>
      <c r="E17" t="s">
        <v>32</v>
      </c>
      <c r="F17" s="1">
        <v>42668</v>
      </c>
      <c r="G17">
        <v>676343174</v>
      </c>
      <c r="H17">
        <v>115</v>
      </c>
      <c r="I17">
        <v>180000000</v>
      </c>
      <c r="J17" t="s">
        <v>186</v>
      </c>
      <c r="K17" t="s">
        <v>34</v>
      </c>
      <c r="L17" t="s">
        <v>185</v>
      </c>
      <c r="M17" t="s">
        <v>187</v>
      </c>
      <c r="N17">
        <v>7.8118999999999996</v>
      </c>
      <c r="O17" t="s">
        <v>188</v>
      </c>
      <c r="P17" t="s">
        <v>189</v>
      </c>
      <c r="Q17" t="s">
        <v>105</v>
      </c>
      <c r="R17" t="s">
        <v>39</v>
      </c>
      <c r="S17" t="s">
        <v>80</v>
      </c>
      <c r="T17" t="s">
        <v>190</v>
      </c>
      <c r="U17" t="s">
        <v>191</v>
      </c>
      <c r="V17" t="s">
        <v>152</v>
      </c>
      <c r="W17" t="s">
        <v>192</v>
      </c>
      <c r="X17" t="s">
        <v>193</v>
      </c>
      <c r="Y17" t="s">
        <v>194</v>
      </c>
      <c r="Z17">
        <v>7.5</v>
      </c>
      <c r="AA17">
        <v>863217</v>
      </c>
      <c r="AB17" t="s">
        <v>195</v>
      </c>
      <c r="AC17">
        <v>10</v>
      </c>
      <c r="AD17">
        <v>2016</v>
      </c>
      <c r="AE17">
        <v>43</v>
      </c>
      <c r="AF17">
        <f>SUBTOTAL(109,[6]!Table1[score])</f>
        <v>59.35950402391056</v>
      </c>
    </row>
    <row r="18" spans="1:32" x14ac:dyDescent="0.2">
      <c r="A18">
        <v>453395</v>
      </c>
      <c r="B18" t="s">
        <v>333</v>
      </c>
      <c r="C18">
        <v>7.2</v>
      </c>
      <c r="D18">
        <v>9863</v>
      </c>
      <c r="E18" t="s">
        <v>32</v>
      </c>
      <c r="F18" s="1">
        <v>44685</v>
      </c>
      <c r="G18">
        <v>955775804</v>
      </c>
      <c r="H18">
        <v>126</v>
      </c>
      <c r="I18">
        <v>290000000</v>
      </c>
      <c r="J18" t="s">
        <v>334</v>
      </c>
      <c r="K18" t="s">
        <v>34</v>
      </c>
      <c r="L18" t="s">
        <v>333</v>
      </c>
      <c r="M18" t="s">
        <v>335</v>
      </c>
      <c r="N18">
        <v>11.261799999999999</v>
      </c>
      <c r="O18" t="s">
        <v>336</v>
      </c>
      <c r="P18" t="s">
        <v>337</v>
      </c>
      <c r="Q18" t="s">
        <v>338</v>
      </c>
      <c r="R18" t="s">
        <v>39</v>
      </c>
      <c r="S18" t="s">
        <v>339</v>
      </c>
      <c r="T18" t="s">
        <v>340</v>
      </c>
      <c r="U18" t="s">
        <v>341</v>
      </c>
      <c r="V18" t="s">
        <v>342</v>
      </c>
      <c r="W18" t="s">
        <v>343</v>
      </c>
      <c r="X18" t="s">
        <v>344</v>
      </c>
      <c r="Y18" t="s">
        <v>345</v>
      </c>
      <c r="Z18">
        <v>6.9</v>
      </c>
      <c r="AA18">
        <v>530699</v>
      </c>
      <c r="AB18" t="s">
        <v>346</v>
      </c>
      <c r="AC18">
        <v>5</v>
      </c>
      <c r="AD18">
        <v>2022</v>
      </c>
      <c r="AE18">
        <v>18</v>
      </c>
      <c r="AF18">
        <f>SUBTOTAL(109,[7]!Table1[score])</f>
        <v>28.962531727949177</v>
      </c>
    </row>
    <row r="19" spans="1:32" x14ac:dyDescent="0.2">
      <c r="A19">
        <v>524434</v>
      </c>
      <c r="B19" t="s">
        <v>314</v>
      </c>
      <c r="C19">
        <v>6.8</v>
      </c>
      <c r="D19">
        <v>8809</v>
      </c>
      <c r="E19" t="s">
        <v>32</v>
      </c>
      <c r="F19" s="1">
        <v>44503</v>
      </c>
      <c r="G19">
        <v>402064899</v>
      </c>
      <c r="H19">
        <v>156</v>
      </c>
      <c r="I19">
        <v>200000000</v>
      </c>
      <c r="J19" t="s">
        <v>315</v>
      </c>
      <c r="K19" t="s">
        <v>34</v>
      </c>
      <c r="L19" t="s">
        <v>314</v>
      </c>
      <c r="M19" t="s">
        <v>316</v>
      </c>
      <c r="N19">
        <v>11.218999999999999</v>
      </c>
      <c r="O19" t="s">
        <v>317</v>
      </c>
      <c r="P19" t="s">
        <v>52</v>
      </c>
      <c r="Q19" t="s">
        <v>105</v>
      </c>
      <c r="R19" t="s">
        <v>39</v>
      </c>
      <c r="S19" t="s">
        <v>318</v>
      </c>
      <c r="T19" t="s">
        <v>319</v>
      </c>
      <c r="U19" t="s">
        <v>320</v>
      </c>
      <c r="V19" t="s">
        <v>152</v>
      </c>
      <c r="W19" t="s">
        <v>321</v>
      </c>
      <c r="X19" t="s">
        <v>322</v>
      </c>
      <c r="Y19" t="s">
        <v>46</v>
      </c>
      <c r="Z19">
        <v>6.2</v>
      </c>
      <c r="AA19">
        <v>418364</v>
      </c>
      <c r="AB19" t="s">
        <v>323</v>
      </c>
      <c r="AC19">
        <v>11</v>
      </c>
      <c r="AD19">
        <v>2021</v>
      </c>
      <c r="AE19">
        <v>44</v>
      </c>
      <c r="AF19">
        <f>SUBTOTAL(109,[8]!Table1[score])</f>
        <v>40.611203550991448</v>
      </c>
    </row>
    <row r="20" spans="1:32" x14ac:dyDescent="0.2">
      <c r="A20">
        <v>118340</v>
      </c>
      <c r="B20" t="s">
        <v>146</v>
      </c>
      <c r="C20">
        <v>7.9050000000000002</v>
      </c>
      <c r="D20">
        <v>29010</v>
      </c>
      <c r="E20" t="s">
        <v>32</v>
      </c>
      <c r="F20" s="1">
        <v>41850</v>
      </c>
      <c r="G20">
        <v>772776600</v>
      </c>
      <c r="H20">
        <v>121</v>
      </c>
      <c r="I20">
        <v>170000000</v>
      </c>
      <c r="J20" t="s">
        <v>147</v>
      </c>
      <c r="K20" t="s">
        <v>34</v>
      </c>
      <c r="L20" t="s">
        <v>146</v>
      </c>
      <c r="M20" t="s">
        <v>148</v>
      </c>
      <c r="N20">
        <v>7.3178999999999998</v>
      </c>
      <c r="O20" t="s">
        <v>149</v>
      </c>
      <c r="P20" t="s">
        <v>37</v>
      </c>
      <c r="Q20" t="s">
        <v>105</v>
      </c>
      <c r="R20" t="s">
        <v>39</v>
      </c>
      <c r="S20" t="s">
        <v>80</v>
      </c>
      <c r="T20" t="s">
        <v>150</v>
      </c>
      <c r="U20" t="s">
        <v>151</v>
      </c>
      <c r="V20" t="s">
        <v>152</v>
      </c>
      <c r="W20" t="s">
        <v>153</v>
      </c>
      <c r="X20" t="s">
        <v>154</v>
      </c>
      <c r="Y20" t="s">
        <v>155</v>
      </c>
      <c r="Z20">
        <v>8</v>
      </c>
      <c r="AA20">
        <v>1340844</v>
      </c>
      <c r="AB20" t="s">
        <v>156</v>
      </c>
      <c r="AC20">
        <v>7</v>
      </c>
      <c r="AD20">
        <v>2014</v>
      </c>
      <c r="AE20">
        <v>31</v>
      </c>
      <c r="AF20">
        <f>SUBTOTAL(109,[9]!Table1[score])</f>
        <v>75.138968385017108</v>
      </c>
    </row>
    <row r="21" spans="1:32" x14ac:dyDescent="0.2">
      <c r="A21">
        <v>283995</v>
      </c>
      <c r="B21" t="s">
        <v>196</v>
      </c>
      <c r="C21">
        <v>7.6</v>
      </c>
      <c r="D21">
        <v>22391</v>
      </c>
      <c r="E21" t="s">
        <v>32</v>
      </c>
      <c r="F21" s="1">
        <v>42844</v>
      </c>
      <c r="G21">
        <v>863756051</v>
      </c>
      <c r="H21">
        <v>137</v>
      </c>
      <c r="I21">
        <v>200000000</v>
      </c>
      <c r="J21" t="s">
        <v>197</v>
      </c>
      <c r="K21" t="s">
        <v>34</v>
      </c>
      <c r="L21" t="s">
        <v>196</v>
      </c>
      <c r="M21" t="s">
        <v>198</v>
      </c>
      <c r="N21">
        <v>9.8728999999999996</v>
      </c>
      <c r="O21" t="s">
        <v>199</v>
      </c>
      <c r="P21" t="s">
        <v>200</v>
      </c>
      <c r="Q21" t="s">
        <v>105</v>
      </c>
      <c r="R21" t="s">
        <v>39</v>
      </c>
      <c r="S21" t="s">
        <v>80</v>
      </c>
      <c r="T21" t="s">
        <v>201</v>
      </c>
      <c r="U21" t="s">
        <v>151</v>
      </c>
      <c r="V21" t="s">
        <v>202</v>
      </c>
      <c r="W21" t="s">
        <v>203</v>
      </c>
      <c r="X21" t="s">
        <v>204</v>
      </c>
      <c r="Y21" t="s">
        <v>155</v>
      </c>
      <c r="Z21">
        <v>7.6</v>
      </c>
      <c r="AA21">
        <v>812186</v>
      </c>
      <c r="AB21" t="s">
        <v>205</v>
      </c>
      <c r="AC21">
        <v>4</v>
      </c>
      <c r="AD21">
        <v>2017</v>
      </c>
      <c r="AE21">
        <v>16</v>
      </c>
      <c r="AF21">
        <f>SUBTOTAL(109,[10]!Table1[score])</f>
        <v>37.25963501679702</v>
      </c>
    </row>
    <row r="22" spans="1:32" x14ac:dyDescent="0.2">
      <c r="A22">
        <v>447365</v>
      </c>
      <c r="B22" t="s">
        <v>377</v>
      </c>
      <c r="C22">
        <v>7.9320000000000004</v>
      </c>
      <c r="D22">
        <v>7779</v>
      </c>
      <c r="E22" t="s">
        <v>32</v>
      </c>
      <c r="F22" s="1">
        <v>45049</v>
      </c>
      <c r="G22">
        <v>845550000</v>
      </c>
      <c r="H22">
        <v>150</v>
      </c>
      <c r="I22">
        <v>250000000</v>
      </c>
      <c r="J22" t="s">
        <v>378</v>
      </c>
      <c r="K22" t="s">
        <v>34</v>
      </c>
      <c r="L22" t="s">
        <v>377</v>
      </c>
      <c r="M22" t="s">
        <v>379</v>
      </c>
      <c r="N22">
        <v>12.891299999999999</v>
      </c>
      <c r="O22" t="s">
        <v>380</v>
      </c>
      <c r="P22" t="s">
        <v>381</v>
      </c>
      <c r="Q22" t="s">
        <v>338</v>
      </c>
      <c r="R22" t="s">
        <v>39</v>
      </c>
      <c r="S22" t="s">
        <v>80</v>
      </c>
      <c r="T22" t="s">
        <v>382</v>
      </c>
      <c r="U22" t="s">
        <v>151</v>
      </c>
      <c r="V22" t="s">
        <v>202</v>
      </c>
      <c r="W22" t="s">
        <v>383</v>
      </c>
      <c r="X22" t="s">
        <v>384</v>
      </c>
      <c r="Y22" t="s">
        <v>385</v>
      </c>
      <c r="Z22">
        <v>7.9</v>
      </c>
      <c r="AA22">
        <v>452150</v>
      </c>
      <c r="AB22" t="s">
        <v>386</v>
      </c>
      <c r="AC22">
        <v>5</v>
      </c>
      <c r="AD22">
        <v>2023</v>
      </c>
      <c r="AE22">
        <v>18</v>
      </c>
      <c r="AF22">
        <f>SUBTOTAL(109,[11]!Table1[score])</f>
        <v>35.005673349471763</v>
      </c>
    </row>
    <row r="23" spans="1:32" x14ac:dyDescent="0.2">
      <c r="A23">
        <v>1726</v>
      </c>
      <c r="B23" t="s">
        <v>31</v>
      </c>
      <c r="C23">
        <v>7.6539999999999999</v>
      </c>
      <c r="D23">
        <v>27411</v>
      </c>
      <c r="E23" t="s">
        <v>32</v>
      </c>
      <c r="F23" s="1">
        <v>39568</v>
      </c>
      <c r="G23">
        <v>585174222</v>
      </c>
      <c r="H23">
        <v>126</v>
      </c>
      <c r="I23">
        <v>140000000</v>
      </c>
      <c r="J23" t="s">
        <v>33</v>
      </c>
      <c r="K23" t="s">
        <v>34</v>
      </c>
      <c r="L23" t="s">
        <v>31</v>
      </c>
      <c r="M23" t="s">
        <v>35</v>
      </c>
      <c r="N23">
        <v>18.1675</v>
      </c>
      <c r="O23" t="s">
        <v>36</v>
      </c>
      <c r="P23" t="s">
        <v>37</v>
      </c>
      <c r="Q23" t="s">
        <v>38</v>
      </c>
      <c r="R23" t="s">
        <v>39</v>
      </c>
      <c r="S23" t="s">
        <v>40</v>
      </c>
      <c r="T23" t="s">
        <v>41</v>
      </c>
      <c r="U23" t="s">
        <v>42</v>
      </c>
      <c r="V23" t="s">
        <v>43</v>
      </c>
      <c r="W23" t="s">
        <v>44</v>
      </c>
      <c r="X23" t="s">
        <v>45</v>
      </c>
      <c r="Y23" t="s">
        <v>46</v>
      </c>
      <c r="Z23">
        <v>7.9</v>
      </c>
      <c r="AA23">
        <v>1198446</v>
      </c>
      <c r="AB23" t="s">
        <v>47</v>
      </c>
      <c r="AC23">
        <v>4</v>
      </c>
      <c r="AD23">
        <v>2008</v>
      </c>
      <c r="AE23">
        <v>18</v>
      </c>
      <c r="AF23">
        <f>SUBTOTAL(109,[14]!Table1[score])</f>
        <v>75.024070320189338</v>
      </c>
    </row>
    <row r="24" spans="1:32" x14ac:dyDescent="0.2">
      <c r="A24">
        <v>10138</v>
      </c>
      <c r="B24" t="s">
        <v>62</v>
      </c>
      <c r="C24">
        <v>6.8</v>
      </c>
      <c r="D24">
        <v>21809</v>
      </c>
      <c r="E24" t="s">
        <v>32</v>
      </c>
      <c r="F24" s="1">
        <v>40296</v>
      </c>
      <c r="G24">
        <v>623933331</v>
      </c>
      <c r="H24">
        <v>124</v>
      </c>
      <c r="I24">
        <v>200000000</v>
      </c>
      <c r="J24" t="s">
        <v>63</v>
      </c>
      <c r="K24" t="s">
        <v>34</v>
      </c>
      <c r="L24" t="s">
        <v>62</v>
      </c>
      <c r="M24" t="s">
        <v>64</v>
      </c>
      <c r="N24">
        <v>17.036200000000001</v>
      </c>
      <c r="O24" t="s">
        <v>65</v>
      </c>
      <c r="P24" t="s">
        <v>66</v>
      </c>
      <c r="Q24" t="s">
        <v>67</v>
      </c>
      <c r="R24" t="s">
        <v>39</v>
      </c>
      <c r="S24" t="s">
        <v>68</v>
      </c>
      <c r="T24" t="s">
        <v>69</v>
      </c>
      <c r="U24" t="s">
        <v>42</v>
      </c>
      <c r="V24" t="s">
        <v>43</v>
      </c>
      <c r="W24" t="s">
        <v>70</v>
      </c>
      <c r="X24" t="s">
        <v>71</v>
      </c>
      <c r="Y24" t="s">
        <v>72</v>
      </c>
      <c r="Z24">
        <v>6.9</v>
      </c>
      <c r="AA24">
        <v>920331</v>
      </c>
      <c r="AB24" t="s">
        <v>73</v>
      </c>
      <c r="AC24">
        <v>4</v>
      </c>
      <c r="AD24">
        <v>2010</v>
      </c>
      <c r="AE24">
        <v>17</v>
      </c>
      <c r="AF24">
        <f>SUBTOTAL(109,[12]!Table1[score])</f>
        <v>56.131508360623982</v>
      </c>
    </row>
    <row r="25" spans="1:32" x14ac:dyDescent="0.2">
      <c r="A25">
        <v>68721</v>
      </c>
      <c r="B25" t="s">
        <v>113</v>
      </c>
      <c r="C25">
        <v>6.9</v>
      </c>
      <c r="D25">
        <v>22914</v>
      </c>
      <c r="E25" t="s">
        <v>32</v>
      </c>
      <c r="F25" s="1">
        <v>41382</v>
      </c>
      <c r="G25">
        <v>1215577205</v>
      </c>
      <c r="H25">
        <v>130</v>
      </c>
      <c r="I25">
        <v>200000000</v>
      </c>
      <c r="J25" t="s">
        <v>114</v>
      </c>
      <c r="K25" t="s">
        <v>34</v>
      </c>
      <c r="L25" t="s">
        <v>113</v>
      </c>
      <c r="M25" t="s">
        <v>115</v>
      </c>
      <c r="N25">
        <v>12.351599999999999</v>
      </c>
      <c r="O25" t="s">
        <v>116</v>
      </c>
      <c r="P25" t="s">
        <v>92</v>
      </c>
      <c r="Q25" t="s">
        <v>105</v>
      </c>
      <c r="R25" t="s">
        <v>39</v>
      </c>
      <c r="S25" t="s">
        <v>80</v>
      </c>
      <c r="T25" t="s">
        <v>117</v>
      </c>
      <c r="U25" t="s">
        <v>118</v>
      </c>
      <c r="V25" t="s">
        <v>119</v>
      </c>
      <c r="W25" t="s">
        <v>120</v>
      </c>
      <c r="X25" t="s">
        <v>121</v>
      </c>
      <c r="Y25" t="s">
        <v>122</v>
      </c>
      <c r="Z25">
        <v>7.1</v>
      </c>
      <c r="AA25">
        <v>948870</v>
      </c>
      <c r="AB25" t="s">
        <v>123</v>
      </c>
      <c r="AC25">
        <v>4</v>
      </c>
      <c r="AD25">
        <v>2013</v>
      </c>
      <c r="AE25">
        <v>16</v>
      </c>
      <c r="AF25">
        <f>SUBTOTAL(109,[13]!Table1[score])</f>
        <v>106.90693530935613</v>
      </c>
    </row>
    <row r="26" spans="1:32" x14ac:dyDescent="0.2">
      <c r="A26">
        <v>566525</v>
      </c>
      <c r="B26" t="s">
        <v>302</v>
      </c>
      <c r="C26">
        <v>7.5</v>
      </c>
      <c r="D26">
        <v>10022</v>
      </c>
      <c r="E26" t="s">
        <v>32</v>
      </c>
      <c r="F26" s="1">
        <v>44440</v>
      </c>
      <c r="G26">
        <v>432243292</v>
      </c>
      <c r="H26">
        <v>132</v>
      </c>
      <c r="I26">
        <v>150000000</v>
      </c>
      <c r="J26" t="s">
        <v>303</v>
      </c>
      <c r="K26" t="s">
        <v>34</v>
      </c>
      <c r="L26" t="s">
        <v>302</v>
      </c>
      <c r="M26" t="s">
        <v>304</v>
      </c>
      <c r="N26">
        <v>10.0442</v>
      </c>
      <c r="O26" t="s">
        <v>305</v>
      </c>
      <c r="P26" t="s">
        <v>128</v>
      </c>
      <c r="Q26" t="s">
        <v>105</v>
      </c>
      <c r="R26" t="s">
        <v>39</v>
      </c>
      <c r="S26" t="s">
        <v>306</v>
      </c>
      <c r="T26" t="s">
        <v>307</v>
      </c>
      <c r="U26" t="s">
        <v>308</v>
      </c>
      <c r="V26" t="s">
        <v>309</v>
      </c>
      <c r="W26" t="s">
        <v>310</v>
      </c>
      <c r="X26" t="s">
        <v>311</v>
      </c>
      <c r="Y26" t="s">
        <v>312</v>
      </c>
      <c r="Z26">
        <v>7.3</v>
      </c>
      <c r="AA26">
        <v>476907</v>
      </c>
      <c r="AB26" t="s">
        <v>313</v>
      </c>
      <c r="AC26">
        <v>9</v>
      </c>
      <c r="AD26">
        <v>2021</v>
      </c>
      <c r="AE26">
        <v>35</v>
      </c>
      <c r="AF26">
        <f>SUBTOTAL(109,[15]!Table1[score])</f>
        <v>42.639374151179076</v>
      </c>
    </row>
    <row r="27" spans="1:32" x14ac:dyDescent="0.2">
      <c r="A27">
        <v>429617</v>
      </c>
      <c r="B27" t="s">
        <v>279</v>
      </c>
      <c r="C27">
        <v>7.4</v>
      </c>
      <c r="D27">
        <v>16435</v>
      </c>
      <c r="E27" t="s">
        <v>32</v>
      </c>
      <c r="F27" s="1">
        <v>43644</v>
      </c>
      <c r="G27">
        <v>1131927996</v>
      </c>
      <c r="H27">
        <v>129</v>
      </c>
      <c r="I27">
        <v>160000000</v>
      </c>
      <c r="J27" t="s">
        <v>280</v>
      </c>
      <c r="K27" t="s">
        <v>34</v>
      </c>
      <c r="L27" t="s">
        <v>279</v>
      </c>
      <c r="M27" t="s">
        <v>281</v>
      </c>
      <c r="N27">
        <v>11.6478</v>
      </c>
      <c r="O27" t="s">
        <v>282</v>
      </c>
      <c r="P27" t="s">
        <v>92</v>
      </c>
      <c r="Q27" t="s">
        <v>283</v>
      </c>
      <c r="R27" t="s">
        <v>39</v>
      </c>
      <c r="S27" t="s">
        <v>284</v>
      </c>
      <c r="T27" t="s">
        <v>285</v>
      </c>
      <c r="U27" t="s">
        <v>212</v>
      </c>
      <c r="V27" t="s">
        <v>286</v>
      </c>
      <c r="W27" t="s">
        <v>287</v>
      </c>
      <c r="X27" t="s">
        <v>288</v>
      </c>
      <c r="Y27" t="s">
        <v>194</v>
      </c>
      <c r="Z27">
        <v>7.3</v>
      </c>
      <c r="AA27">
        <v>617892</v>
      </c>
      <c r="AB27" t="s">
        <v>289</v>
      </c>
      <c r="AC27">
        <v>6</v>
      </c>
      <c r="AD27">
        <v>2019</v>
      </c>
      <c r="AE27">
        <v>26</v>
      </c>
      <c r="AF27">
        <f>SUBTOTAL(109,[29]!Table1[score])</f>
        <v>52.506381349333246</v>
      </c>
    </row>
    <row r="28" spans="1:32" x14ac:dyDescent="0.2">
      <c r="A28">
        <v>315635</v>
      </c>
      <c r="B28" t="s">
        <v>206</v>
      </c>
      <c r="C28">
        <v>7.3289999999999997</v>
      </c>
      <c r="D28">
        <v>22596</v>
      </c>
      <c r="E28" t="s">
        <v>32</v>
      </c>
      <c r="F28" s="1">
        <v>42921</v>
      </c>
      <c r="G28">
        <v>880166924</v>
      </c>
      <c r="H28">
        <v>133</v>
      </c>
      <c r="I28">
        <v>175000000</v>
      </c>
      <c r="J28" t="s">
        <v>207</v>
      </c>
      <c r="K28" t="s">
        <v>34</v>
      </c>
      <c r="L28" t="s">
        <v>206</v>
      </c>
      <c r="M28" t="s">
        <v>208</v>
      </c>
      <c r="N28">
        <v>13.477600000000001</v>
      </c>
      <c r="O28" t="s">
        <v>209</v>
      </c>
      <c r="P28" t="s">
        <v>92</v>
      </c>
      <c r="Q28" t="s">
        <v>210</v>
      </c>
      <c r="R28" t="s">
        <v>39</v>
      </c>
      <c r="S28" t="s">
        <v>80</v>
      </c>
      <c r="T28" t="s">
        <v>211</v>
      </c>
      <c r="U28" t="s">
        <v>212</v>
      </c>
      <c r="V28" t="s">
        <v>213</v>
      </c>
      <c r="W28" t="s">
        <v>214</v>
      </c>
      <c r="X28" t="s">
        <v>215</v>
      </c>
      <c r="Y28" t="s">
        <v>194</v>
      </c>
      <c r="Z28">
        <v>7.4</v>
      </c>
      <c r="AA28">
        <v>777355</v>
      </c>
      <c r="AB28" t="s">
        <v>216</v>
      </c>
      <c r="AC28">
        <v>7</v>
      </c>
      <c r="AD28">
        <v>2017</v>
      </c>
      <c r="AE28">
        <v>27</v>
      </c>
      <c r="AF28">
        <f>SUBTOTAL(109,[30]!Table1[score])</f>
        <v>50.373520435647876</v>
      </c>
    </row>
    <row r="29" spans="1:32" x14ac:dyDescent="0.2">
      <c r="A29">
        <v>634649</v>
      </c>
      <c r="B29" t="s">
        <v>324</v>
      </c>
      <c r="C29">
        <v>7.9</v>
      </c>
      <c r="D29">
        <v>21259</v>
      </c>
      <c r="E29" t="s">
        <v>32</v>
      </c>
      <c r="F29" s="1">
        <v>44545</v>
      </c>
      <c r="G29">
        <v>1921847111</v>
      </c>
      <c r="H29">
        <v>148</v>
      </c>
      <c r="I29">
        <v>200000000</v>
      </c>
      <c r="J29" t="s">
        <v>325</v>
      </c>
      <c r="K29" t="s">
        <v>34</v>
      </c>
      <c r="L29" t="s">
        <v>324</v>
      </c>
      <c r="M29" t="s">
        <v>326</v>
      </c>
      <c r="N29">
        <v>16.731999999999999</v>
      </c>
      <c r="O29" t="s">
        <v>327</v>
      </c>
      <c r="P29" t="s">
        <v>92</v>
      </c>
      <c r="Q29" t="s">
        <v>283</v>
      </c>
      <c r="R29" t="s">
        <v>39</v>
      </c>
      <c r="S29" t="s">
        <v>244</v>
      </c>
      <c r="T29" t="s">
        <v>328</v>
      </c>
      <c r="U29" t="s">
        <v>212</v>
      </c>
      <c r="V29" t="s">
        <v>329</v>
      </c>
      <c r="W29" t="s">
        <v>330</v>
      </c>
      <c r="X29" t="s">
        <v>331</v>
      </c>
      <c r="Y29" t="s">
        <v>194</v>
      </c>
      <c r="Z29">
        <v>8.1999999999999993</v>
      </c>
      <c r="AA29">
        <v>985761</v>
      </c>
      <c r="AB29" t="s">
        <v>332</v>
      </c>
      <c r="AC29">
        <v>12</v>
      </c>
      <c r="AD29">
        <v>2021</v>
      </c>
      <c r="AE29">
        <v>50</v>
      </c>
      <c r="AF29">
        <f>SUBTOTAL(109,[31]!Table1[score])</f>
        <v>40.270163822714096</v>
      </c>
    </row>
    <row r="30" spans="1:32" x14ac:dyDescent="0.2">
      <c r="A30">
        <v>24428</v>
      </c>
      <c r="B30" t="s">
        <v>101</v>
      </c>
      <c r="C30">
        <v>7.8470000000000004</v>
      </c>
      <c r="D30">
        <v>33870</v>
      </c>
      <c r="E30" t="s">
        <v>32</v>
      </c>
      <c r="F30" s="1">
        <v>41024</v>
      </c>
      <c r="G30">
        <v>1518815515</v>
      </c>
      <c r="H30">
        <v>143</v>
      </c>
      <c r="I30">
        <v>220000000</v>
      </c>
      <c r="J30" t="s">
        <v>102</v>
      </c>
      <c r="K30" t="s">
        <v>34</v>
      </c>
      <c r="L30" t="s">
        <v>101</v>
      </c>
      <c r="M30" t="s">
        <v>103</v>
      </c>
      <c r="N30">
        <v>37.4148</v>
      </c>
      <c r="O30" t="s">
        <v>104</v>
      </c>
      <c r="P30" t="s">
        <v>52</v>
      </c>
      <c r="Q30" t="s">
        <v>105</v>
      </c>
      <c r="R30" t="s">
        <v>39</v>
      </c>
      <c r="S30" t="s">
        <v>106</v>
      </c>
      <c r="T30" t="s">
        <v>107</v>
      </c>
      <c r="U30" t="s">
        <v>108</v>
      </c>
      <c r="V30" t="s">
        <v>109</v>
      </c>
      <c r="W30" t="s">
        <v>110</v>
      </c>
      <c r="X30" t="s">
        <v>111</v>
      </c>
      <c r="Y30" t="s">
        <v>99</v>
      </c>
      <c r="Z30">
        <v>8</v>
      </c>
      <c r="AA30">
        <v>1532938</v>
      </c>
      <c r="AB30" t="s">
        <v>112</v>
      </c>
      <c r="AC30">
        <v>4</v>
      </c>
      <c r="AD30">
        <v>2012</v>
      </c>
      <c r="AE30">
        <v>17</v>
      </c>
      <c r="AF30">
        <f>SUBTOTAL(109,[16]!Table1[score])</f>
        <v>46.84074386967189</v>
      </c>
    </row>
    <row r="31" spans="1:32" x14ac:dyDescent="0.2">
      <c r="A31">
        <v>617126</v>
      </c>
      <c r="B31" t="s">
        <v>435</v>
      </c>
      <c r="C31">
        <v>7.0810000000000004</v>
      </c>
      <c r="D31">
        <v>2317</v>
      </c>
      <c r="E31" t="s">
        <v>32</v>
      </c>
      <c r="F31" s="1">
        <v>45861</v>
      </c>
      <c r="G31">
        <v>520652419</v>
      </c>
      <c r="H31">
        <v>115</v>
      </c>
      <c r="I31">
        <v>200000000</v>
      </c>
      <c r="J31" t="s">
        <v>436</v>
      </c>
      <c r="K31" t="s">
        <v>34</v>
      </c>
      <c r="L31" t="s">
        <v>437</v>
      </c>
      <c r="M31" t="s">
        <v>438</v>
      </c>
      <c r="N31">
        <v>114.2105</v>
      </c>
      <c r="O31" t="s">
        <v>439</v>
      </c>
      <c r="P31" t="s">
        <v>200</v>
      </c>
      <c r="Q31" t="s">
        <v>338</v>
      </c>
      <c r="R31" t="s">
        <v>39</v>
      </c>
      <c r="S31" t="s">
        <v>440</v>
      </c>
      <c r="T31" t="s">
        <v>441</v>
      </c>
      <c r="U31" t="s">
        <v>442</v>
      </c>
      <c r="V31" t="s">
        <v>443</v>
      </c>
      <c r="W31" t="s">
        <v>444</v>
      </c>
      <c r="X31" t="s">
        <v>445</v>
      </c>
      <c r="Y31" t="s">
        <v>194</v>
      </c>
      <c r="Z31">
        <v>7</v>
      </c>
      <c r="AA31">
        <v>194620</v>
      </c>
      <c r="AB31" t="s">
        <v>446</v>
      </c>
      <c r="AC31">
        <v>7</v>
      </c>
      <c r="AD31">
        <v>2025</v>
      </c>
      <c r="AE31">
        <v>30</v>
      </c>
      <c r="AF31">
        <f>SUBTOTAL(109,[32]!Table1[score])</f>
        <v>52.533149816766731</v>
      </c>
    </row>
    <row r="32" spans="1:32" x14ac:dyDescent="0.2">
      <c r="A32">
        <v>1724</v>
      </c>
      <c r="B32" t="s">
        <v>48</v>
      </c>
      <c r="C32">
        <v>6.2249999999999996</v>
      </c>
      <c r="D32">
        <v>12321</v>
      </c>
      <c r="E32" t="s">
        <v>32</v>
      </c>
      <c r="F32" s="1">
        <v>39611</v>
      </c>
      <c r="G32">
        <v>264770996</v>
      </c>
      <c r="H32">
        <v>114</v>
      </c>
      <c r="I32">
        <v>150000000</v>
      </c>
      <c r="J32" t="s">
        <v>49</v>
      </c>
      <c r="K32" t="s">
        <v>34</v>
      </c>
      <c r="L32" t="s">
        <v>48</v>
      </c>
      <c r="M32" t="s">
        <v>50</v>
      </c>
      <c r="N32">
        <v>8.9863999999999997</v>
      </c>
      <c r="O32" t="s">
        <v>51</v>
      </c>
      <c r="P32" t="s">
        <v>52</v>
      </c>
      <c r="Q32" t="s">
        <v>53</v>
      </c>
      <c r="R32" t="s">
        <v>39</v>
      </c>
      <c r="S32" t="s">
        <v>54</v>
      </c>
      <c r="T32" t="s">
        <v>55</v>
      </c>
      <c r="U32" t="s">
        <v>56</v>
      </c>
      <c r="V32" t="s">
        <v>57</v>
      </c>
      <c r="W32" t="s">
        <v>58</v>
      </c>
      <c r="X32" t="s">
        <v>59</v>
      </c>
      <c r="Y32" t="s">
        <v>60</v>
      </c>
      <c r="Z32">
        <v>6.6</v>
      </c>
      <c r="AA32">
        <v>554880</v>
      </c>
      <c r="AB32" t="s">
        <v>61</v>
      </c>
      <c r="AC32">
        <v>6</v>
      </c>
      <c r="AD32">
        <v>2008</v>
      </c>
      <c r="AE32">
        <v>24</v>
      </c>
      <c r="AF32">
        <f>SUBTOTAL(109,[17]!Table1[score])</f>
        <v>72.681182797373353</v>
      </c>
    </row>
    <row r="33" spans="1:32" x14ac:dyDescent="0.2">
      <c r="A33">
        <v>609681</v>
      </c>
      <c r="B33" t="s">
        <v>387</v>
      </c>
      <c r="C33">
        <v>6</v>
      </c>
      <c r="D33">
        <v>3144</v>
      </c>
      <c r="E33" t="s">
        <v>32</v>
      </c>
      <c r="F33" s="1">
        <v>45238</v>
      </c>
      <c r="G33">
        <v>206136825</v>
      </c>
      <c r="H33">
        <v>105</v>
      </c>
      <c r="I33">
        <v>274800000</v>
      </c>
      <c r="J33" t="s">
        <v>388</v>
      </c>
      <c r="K33" t="s">
        <v>34</v>
      </c>
      <c r="L33" t="s">
        <v>387</v>
      </c>
      <c r="M33" t="s">
        <v>389</v>
      </c>
      <c r="N33">
        <v>7.4642999999999997</v>
      </c>
      <c r="O33" t="s">
        <v>390</v>
      </c>
      <c r="P33" t="s">
        <v>200</v>
      </c>
      <c r="Q33" t="s">
        <v>338</v>
      </c>
      <c r="R33" t="s">
        <v>39</v>
      </c>
      <c r="S33" t="s">
        <v>391</v>
      </c>
      <c r="T33" t="s">
        <v>392</v>
      </c>
      <c r="U33" t="s">
        <v>393</v>
      </c>
      <c r="V33" t="s">
        <v>394</v>
      </c>
      <c r="W33" t="s">
        <v>395</v>
      </c>
      <c r="X33" t="s">
        <v>396</v>
      </c>
      <c r="Y33" t="s">
        <v>397</v>
      </c>
      <c r="Z33">
        <v>5.5</v>
      </c>
      <c r="AA33">
        <v>157753</v>
      </c>
      <c r="AB33" t="s">
        <v>398</v>
      </c>
      <c r="AC33">
        <v>11</v>
      </c>
      <c r="AD33">
        <v>2023</v>
      </c>
      <c r="AE33">
        <v>45</v>
      </c>
      <c r="AF33">
        <f>SUBTOTAL(109,[18]!Table1[strength])</f>
        <v>838.45996505415508</v>
      </c>
    </row>
    <row r="34" spans="1:32" x14ac:dyDescent="0.2">
      <c r="A34">
        <v>10195</v>
      </c>
      <c r="B34" t="s">
        <v>74</v>
      </c>
      <c r="C34">
        <v>6.7679999999999998</v>
      </c>
      <c r="D34">
        <v>21838</v>
      </c>
      <c r="E34" t="s">
        <v>32</v>
      </c>
      <c r="F34" s="1">
        <v>40654</v>
      </c>
      <c r="G34">
        <v>449326618</v>
      </c>
      <c r="H34">
        <v>115</v>
      </c>
      <c r="I34">
        <v>150000000</v>
      </c>
      <c r="J34" t="s">
        <v>75</v>
      </c>
      <c r="K34" t="s">
        <v>34</v>
      </c>
      <c r="L34" t="s">
        <v>74</v>
      </c>
      <c r="M34" t="s">
        <v>76</v>
      </c>
      <c r="N34">
        <v>12.8066</v>
      </c>
      <c r="O34" t="s">
        <v>77</v>
      </c>
      <c r="P34" t="s">
        <v>78</v>
      </c>
      <c r="Q34" t="s">
        <v>79</v>
      </c>
      <c r="R34" t="s">
        <v>39</v>
      </c>
      <c r="S34" t="s">
        <v>80</v>
      </c>
      <c r="T34" t="s">
        <v>81</v>
      </c>
      <c r="U34" t="s">
        <v>82</v>
      </c>
      <c r="V34" t="s">
        <v>83</v>
      </c>
      <c r="W34" t="s">
        <v>84</v>
      </c>
      <c r="X34" t="s">
        <v>85</v>
      </c>
      <c r="Y34" t="s">
        <v>86</v>
      </c>
      <c r="Z34">
        <v>7</v>
      </c>
      <c r="AA34">
        <v>949982</v>
      </c>
      <c r="AB34" t="s">
        <v>87</v>
      </c>
      <c r="AC34">
        <v>4</v>
      </c>
      <c r="AD34">
        <v>2011</v>
      </c>
      <c r="AE34">
        <v>16</v>
      </c>
      <c r="AF34">
        <f>SUBTOTAL(109,[19]!Table1[score])</f>
        <v>74.826064106485731</v>
      </c>
    </row>
    <row r="35" spans="1:32" x14ac:dyDescent="0.2">
      <c r="A35">
        <v>616037</v>
      </c>
      <c r="B35" t="s">
        <v>347</v>
      </c>
      <c r="C35">
        <v>6.3929999999999998</v>
      </c>
      <c r="D35">
        <v>8177</v>
      </c>
      <c r="E35" t="s">
        <v>32</v>
      </c>
      <c r="F35" s="1">
        <v>44748</v>
      </c>
      <c r="G35">
        <v>760900000</v>
      </c>
      <c r="H35">
        <v>119</v>
      </c>
      <c r="I35">
        <v>250000000</v>
      </c>
      <c r="J35" t="s">
        <v>348</v>
      </c>
      <c r="K35" t="s">
        <v>34</v>
      </c>
      <c r="L35" t="s">
        <v>347</v>
      </c>
      <c r="M35" t="s">
        <v>349</v>
      </c>
      <c r="N35">
        <v>13.105700000000001</v>
      </c>
      <c r="O35" t="s">
        <v>350</v>
      </c>
      <c r="P35" t="s">
        <v>351</v>
      </c>
      <c r="Q35" t="s">
        <v>338</v>
      </c>
      <c r="R35" t="s">
        <v>39</v>
      </c>
      <c r="S35" t="s">
        <v>80</v>
      </c>
      <c r="T35" t="s">
        <v>352</v>
      </c>
      <c r="U35" t="s">
        <v>222</v>
      </c>
      <c r="V35" t="s">
        <v>353</v>
      </c>
      <c r="W35" t="s">
        <v>354</v>
      </c>
      <c r="X35" t="s">
        <v>355</v>
      </c>
      <c r="Y35" t="s">
        <v>356</v>
      </c>
      <c r="Z35">
        <v>6.1</v>
      </c>
      <c r="AA35">
        <v>447909</v>
      </c>
      <c r="AB35" t="s">
        <v>357</v>
      </c>
      <c r="AC35">
        <v>7</v>
      </c>
      <c r="AD35">
        <v>2022</v>
      </c>
      <c r="AE35">
        <v>27</v>
      </c>
      <c r="AF35">
        <f>SUBTOTAL(109,[33]!Table1[score])</f>
        <v>28.73356478685373</v>
      </c>
    </row>
    <row r="36" spans="1:32" x14ac:dyDescent="0.2">
      <c r="A36">
        <v>284053</v>
      </c>
      <c r="B36" t="s">
        <v>217</v>
      </c>
      <c r="C36">
        <v>7.6</v>
      </c>
      <c r="D36">
        <v>21492</v>
      </c>
      <c r="E36" t="s">
        <v>32</v>
      </c>
      <c r="F36" s="1">
        <v>43010</v>
      </c>
      <c r="G36">
        <v>855301806</v>
      </c>
      <c r="H36">
        <v>131</v>
      </c>
      <c r="I36">
        <v>180000000</v>
      </c>
      <c r="J36" t="s">
        <v>218</v>
      </c>
      <c r="K36" t="s">
        <v>34</v>
      </c>
      <c r="L36" t="s">
        <v>217</v>
      </c>
      <c r="M36" t="s">
        <v>219</v>
      </c>
      <c r="N36">
        <v>8.6611999999999991</v>
      </c>
      <c r="O36" t="s">
        <v>220</v>
      </c>
      <c r="P36" t="s">
        <v>92</v>
      </c>
      <c r="Q36" t="s">
        <v>105</v>
      </c>
      <c r="R36" t="s">
        <v>39</v>
      </c>
      <c r="S36" t="s">
        <v>80</v>
      </c>
      <c r="T36" t="s">
        <v>221</v>
      </c>
      <c r="U36" t="s">
        <v>222</v>
      </c>
      <c r="V36" t="s">
        <v>223</v>
      </c>
      <c r="W36" t="s">
        <v>224</v>
      </c>
      <c r="X36" t="s">
        <v>225</v>
      </c>
      <c r="Y36" t="s">
        <v>226</v>
      </c>
      <c r="Z36">
        <v>7.9</v>
      </c>
      <c r="AA36">
        <v>875616</v>
      </c>
      <c r="AB36" t="s">
        <v>227</v>
      </c>
      <c r="AC36">
        <v>10</v>
      </c>
      <c r="AD36">
        <v>2017</v>
      </c>
      <c r="AE36">
        <v>40</v>
      </c>
      <c r="AF36">
        <f>SUBTOTAL(109,[34]!Table1[score])</f>
        <v>82.183825100117417</v>
      </c>
    </row>
    <row r="37" spans="1:32" x14ac:dyDescent="0.2">
      <c r="A37">
        <v>76338</v>
      </c>
      <c r="B37" t="s">
        <v>124</v>
      </c>
      <c r="C37">
        <v>6.5110000000000001</v>
      </c>
      <c r="D37">
        <v>17864</v>
      </c>
      <c r="E37" t="s">
        <v>32</v>
      </c>
      <c r="F37" s="1">
        <v>41577</v>
      </c>
      <c r="G37">
        <v>644783140</v>
      </c>
      <c r="H37">
        <v>112</v>
      </c>
      <c r="I37">
        <v>170000000</v>
      </c>
      <c r="J37" t="s">
        <v>125</v>
      </c>
      <c r="K37" t="s">
        <v>34</v>
      </c>
      <c r="L37" t="s">
        <v>124</v>
      </c>
      <c r="M37" t="s">
        <v>126</v>
      </c>
      <c r="N37">
        <v>8.1958000000000002</v>
      </c>
      <c r="O37" t="s">
        <v>127</v>
      </c>
      <c r="P37" t="s">
        <v>128</v>
      </c>
      <c r="Q37" t="s">
        <v>105</v>
      </c>
      <c r="R37" t="s">
        <v>39</v>
      </c>
      <c r="S37" t="s">
        <v>80</v>
      </c>
      <c r="T37" t="s">
        <v>129</v>
      </c>
      <c r="U37" t="s">
        <v>130</v>
      </c>
      <c r="V37" t="s">
        <v>131</v>
      </c>
      <c r="W37" t="s">
        <v>132</v>
      </c>
      <c r="X37" t="s">
        <v>133</v>
      </c>
      <c r="Y37" t="s">
        <v>122</v>
      </c>
      <c r="Z37">
        <v>6.7</v>
      </c>
      <c r="AA37">
        <v>764838</v>
      </c>
      <c r="AB37" t="s">
        <v>134</v>
      </c>
      <c r="AC37">
        <v>10</v>
      </c>
      <c r="AD37">
        <v>2013</v>
      </c>
      <c r="AE37">
        <v>44</v>
      </c>
      <c r="AF37">
        <f>SUBTOTAL(109,[35]!Table1[score])</f>
        <v>80.650528978938794</v>
      </c>
    </row>
    <row r="38" spans="1:32" x14ac:dyDescent="0.2">
      <c r="A38">
        <v>986056</v>
      </c>
      <c r="B38" t="s">
        <v>423</v>
      </c>
      <c r="C38">
        <v>7.3129999999999997</v>
      </c>
      <c r="D38">
        <v>2867</v>
      </c>
      <c r="E38" t="s">
        <v>32</v>
      </c>
      <c r="F38" s="1">
        <v>45777</v>
      </c>
      <c r="G38">
        <v>382436917</v>
      </c>
      <c r="H38">
        <v>127</v>
      </c>
      <c r="I38">
        <v>180000000</v>
      </c>
      <c r="J38" t="s">
        <v>424</v>
      </c>
      <c r="K38" t="s">
        <v>34</v>
      </c>
      <c r="L38" t="s">
        <v>423</v>
      </c>
      <c r="M38" t="s">
        <v>425</v>
      </c>
      <c r="N38">
        <v>21.5441</v>
      </c>
      <c r="O38" t="s">
        <v>426</v>
      </c>
      <c r="P38" t="s">
        <v>37</v>
      </c>
      <c r="Q38" t="s">
        <v>338</v>
      </c>
      <c r="R38" t="s">
        <v>39</v>
      </c>
      <c r="S38" t="s">
        <v>427</v>
      </c>
      <c r="T38" t="s">
        <v>428</v>
      </c>
      <c r="U38" t="s">
        <v>429</v>
      </c>
      <c r="V38" t="s">
        <v>430</v>
      </c>
      <c r="W38" t="s">
        <v>431</v>
      </c>
      <c r="X38" t="s">
        <v>432</v>
      </c>
      <c r="Y38" t="s">
        <v>433</v>
      </c>
      <c r="Z38">
        <v>7.1</v>
      </c>
      <c r="AA38">
        <v>238846</v>
      </c>
      <c r="AB38" t="s">
        <v>434</v>
      </c>
      <c r="AC38">
        <v>4</v>
      </c>
      <c r="AD38">
        <v>2025</v>
      </c>
      <c r="AE38">
        <v>18</v>
      </c>
      <c r="AF38">
        <f>SUBTOTAL(109,[36]!Table1[score])</f>
        <v>46.353305416420092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marvel_movies_full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ksarav</cp:lastModifiedBy>
  <dcterms:created xsi:type="dcterms:W3CDTF">2025-12-16T10:32:12Z</dcterms:created>
  <dcterms:modified xsi:type="dcterms:W3CDTF">2026-02-18T04:29:11Z</dcterms:modified>
</cp:coreProperties>
</file>